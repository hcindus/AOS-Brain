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<sst xmlns="http://schemas.openxmlformats.org/spreadsheetml/2006/main" count="211" uniqueCount="81">
  <si>
    <t xml:space="preserve">Section</t>
  </si>
  <si>
    <t xml:space="preserve">Item Section</t>
  </si>
  <si>
    <t xml:space="preserve">Cost Type</t>
  </si>
  <si>
    <t xml:space="preserve">Unit Cost</t>
  </si>
  <si>
    <t xml:space="preserve">Quantity</t>
  </si>
  <si>
    <t xml:space="preserve">Purchase Unit</t>
  </si>
  <si>
    <t xml:space="preserve">Extended Cost</t>
  </si>
  <si>
    <t xml:space="preserve">Roof</t>
  </si>
  <si>
    <t xml:space="preserve">Ice &amp; Water Shield</t>
  </si>
  <si>
    <t xml:space="preserve">Material</t>
  </si>
  <si>
    <t xml:space="preserve">Rolls</t>
  </si>
  <si>
    <t xml:space="preserve">SSR 22 Ga 12" Panels</t>
  </si>
  <si>
    <t xml:space="preserve">SqFt</t>
  </si>
  <si>
    <t xml:space="preserve">Metal Roof</t>
  </si>
  <si>
    <t xml:space="preserve">Clip - 4" Sliding 4-3/8" (High)</t>
  </si>
  <si>
    <t xml:space="preserve">Pieces</t>
  </si>
  <si>
    <t xml:space="preserve">Staples 1/2" - 5000 Count</t>
  </si>
  <si>
    <t xml:space="preserve">Packs</t>
  </si>
  <si>
    <t xml:space="preserve">1-1/2 in. x 1/4 in. 18-Gauge Galvanized Narrow Staples (5,000-Pack)</t>
  </si>
  <si>
    <t xml:space="preserve">Roof Area (METAL STANDING SEAM)</t>
  </si>
  <si>
    <t xml:space="preserve">Summary</t>
  </si>
  <si>
    <t xml:space="preserve">This commonly specified and wide used panel is provides excellent protections against wind, snow and rain. Available in wide variety of colors, primarily in 24 gauge steel. Minimum 1:12 roof pitch. Easy to install, with concealed fastening system.</t>
  </si>
  <si>
    <t xml:space="preserve">Owens Corning ProArmour Synthetic Underlayment (48" x 250' roll)</t>
  </si>
  <si>
    <t xml:space="preserve">roll</t>
  </si>
  <si>
    <t xml:space="preserve">Underlayment</t>
  </si>
  <si>
    <t xml:space="preserve">Slab</t>
  </si>
  <si>
    <t xml:space="preserve">Aggregate Base</t>
  </si>
  <si>
    <t xml:space="preserve">Ton</t>
  </si>
  <si>
    <t xml:space="preserve">???</t>
  </si>
  <si>
    <t xml:space="preserve">Cubic Yards</t>
  </si>
  <si>
    <t xml:space="preserve">Concrete</t>
  </si>
  <si>
    <t xml:space="preserve">Cu Yd</t>
  </si>
  <si>
    <t xml:space="preserve">Project Details  Project cost: $9,753 - $20,392</t>
  </si>
  <si>
    <t xml:space="preserve">Concrete Flatwork Labor</t>
  </si>
  <si>
    <t xml:space="preserve">Labor</t>
  </si>
  <si>
    <t xml:space="preserve">Sq Ft</t>
  </si>
  <si>
    <t xml:space="preserve">Rebar (Flatwork)</t>
  </si>
  <si>
    <t xml:space="preserve">Lin Ft</t>
  </si>
  <si>
    <t xml:space="preserve">Rebar</t>
  </si>
  <si>
    <t xml:space="preserve">Vapor Barrier</t>
  </si>
  <si>
    <t xml:space="preserve">Roll</t>
  </si>
  <si>
    <t xml:space="preserve">1000sqft NASATECH (6 Mil Reinforced Scrim) White/Foil (Waterproof) Vapor Barrier 4ft x 250ft Encapsulation Pier Wrap Crawlspace (White/Foil) Solid Super Strong Reinforced Scrim</t>
  </si>
  <si>
    <t xml:space="preserve">Walls Outside</t>
  </si>
  <si>
    <t xml:space="preserve">3-5/8 in x 20 gauge track</t>
  </si>
  <si>
    <t xml:space="preserve">Track</t>
  </si>
  <si>
    <t xml:space="preserve">LF</t>
  </si>
  <si>
    <t xml:space="preserve">3-5/8 in x 20 gauge - 10 ft high</t>
  </si>
  <si>
    <t xml:space="preserve">10 ft Studs</t>
  </si>
  <si>
    <t xml:space="preserve">EA</t>
  </si>
  <si>
    <t xml:space="preserve">ProSTUD 25 3-5/8 in. x 10 ft. 25-Gauge EQ Galvanized Steel Wall Framing Stud</t>
  </si>
  <si>
    <t xml:space="preserve">5/8 in 30 Min. Drywall - 4 ft x 10 ft</t>
  </si>
  <si>
    <t xml:space="preserve">Drywall</t>
  </si>
  <si>
    <t xml:space="preserve">Sheets</t>
  </si>
  <si>
    <t xml:space="preserve">5/8 in. x 4 ft. x 12 ft. Firecode X Drywall</t>
  </si>
  <si>
    <t xml:space="preserve">R-19 Faced Insulation</t>
  </si>
  <si>
    <t xml:space="preserve">Insulation</t>
  </si>
  <si>
    <t xml:space="preserve">SF</t>
  </si>
  <si>
    <t xml:space="preserve">JOHNS MANVILLE INTL 90003720 Series R19 23"x39' Kraft Roll</t>
  </si>
  <si>
    <t xml:space="preserve">Drywall Finish @ Walls - Level 4</t>
  </si>
  <si>
    <t xml:space="preserve">Screws, Pro-Twist #7 7/16"</t>
  </si>
  <si>
    <t xml:space="preserve">Box of 1,000</t>
  </si>
  <si>
    <t xml:space="preserve">Pro-Twist#7 x 7/16 in. Phillips Pan-Head Self-Drilling Screws (1 lb. Pack)</t>
  </si>
  <si>
    <t xml:space="preserve">Powder Activated Fastener, 3/4"</t>
  </si>
  <si>
    <t xml:space="preserve">Box of 100</t>
  </si>
  <si>
    <t xml:space="preserve">Metal Partition</t>
  </si>
  <si>
    <t xml:space="preserve">Linear Feet</t>
  </si>
  <si>
    <t xml:space="preserve">All Purpose Joint Compound (4.5 Gallon Pail)</t>
  </si>
  <si>
    <t xml:space="preserve">Pails</t>
  </si>
  <si>
    <t xml:space="preserve">Westpac Materials3-1/2 Qt. All-Purpose Pre-Mixed Joint Compound</t>
  </si>
  <si>
    <t xml:space="preserve">Joint Treatment Tape - 250 ft</t>
  </si>
  <si>
    <t xml:space="preserve">1-5/8 in. x 50 ft. Butyl Joist Tape</t>
  </si>
  <si>
    <t xml:space="preserve">Gypsum Board Area to Hang @ Wall</t>
  </si>
  <si>
    <t xml:space="preserve">American Gypsum 1/4-in x 4-ft x 8-ft Drywall Panel</t>
  </si>
  <si>
    <t xml:space="preserve">Drywall Screws #6 x 1.25" (5 lb box)</t>
  </si>
  <si>
    <t xml:space="preserve">Boxes</t>
  </si>
  <si>
    <t xml:space="preserve">Grip-Rite#6 x 1-1/4 in. Philips Bugle-Head Coarse Thread Sharp (5 lb./pack)</t>
  </si>
  <si>
    <t xml:space="preserve">Walls DW</t>
  </si>
  <si>
    <t xml:space="preserve">Pro-Twist#7 x 7/16 in. Phillips Pan-Head Self-Drilling Screws (1 lb. Pack) </t>
  </si>
  <si>
    <t xml:space="preserve">Total Cost of Materials for Project</t>
  </si>
  <si>
    <t xml:space="preserve">Item List</t>
  </si>
  <si>
    <t xml:space="preserve">Description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</si>
</sst>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estbuymetals.com/through-fastened-panels/tuff-rib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40" activeCellId="0" sqref="H4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5.34"/>
    <col collapsed="false" customWidth="true" hidden="false" outlineLevel="0" max="2" min="2" style="0" width="10.6"/>
    <col collapsed="false" customWidth="true" hidden="false" outlineLevel="0" max="3" min="3" style="0" width="9.63"/>
    <col collapsed="false" customWidth="true" hidden="false" outlineLevel="0" max="6" min="4" style="0" width="12.96"/>
    <col collapsed="false" customWidth="true" hidden="false" outlineLevel="0" max="7" min="7" style="0" width="13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</row>
    <row r="3" s="1" customFormat="true" ht="12.8" hidden="false" customHeight="false" outlineLevel="0" collapsed="false">
      <c r="A3" s="1" t="s">
        <v>7</v>
      </c>
    </row>
    <row r="4" customFormat="false" ht="12.8" hidden="false" customHeight="false" outlineLevel="0" collapsed="false">
      <c r="A4" s="0" t="s">
        <v>8</v>
      </c>
      <c r="C4" s="0" t="s">
        <v>9</v>
      </c>
      <c r="D4" s="2" t="n">
        <v>208.02</v>
      </c>
      <c r="E4" s="0" t="n">
        <v>0.76</v>
      </c>
      <c r="F4" s="0" t="s">
        <v>10</v>
      </c>
      <c r="G4" s="2" t="n">
        <f aca="false">SUM(D4*E4)</f>
        <v>158.0952</v>
      </c>
    </row>
    <row r="5" customFormat="false" ht="12.8" hidden="false" customHeight="false" outlineLevel="0" collapsed="false">
      <c r="A5" s="0" t="s">
        <v>11</v>
      </c>
      <c r="C5" s="0" t="s">
        <v>9</v>
      </c>
      <c r="D5" s="2" t="n">
        <v>1.79</v>
      </c>
      <c r="E5" s="0" t="n">
        <v>1495.41</v>
      </c>
      <c r="F5" s="0" t="s">
        <v>12</v>
      </c>
      <c r="G5" s="2" t="n">
        <f aca="false">SUM(D5*E5)</f>
        <v>2676.7839</v>
      </c>
      <c r="I5" s="3" t="s">
        <v>13</v>
      </c>
    </row>
    <row r="6" customFormat="false" ht="12.8" hidden="false" customHeight="false" outlineLevel="0" collapsed="false">
      <c r="A6" s="0" t="s">
        <v>14</v>
      </c>
      <c r="C6" s="0" t="s">
        <v>9</v>
      </c>
      <c r="D6" s="2" t="n">
        <v>0.37</v>
      </c>
      <c r="E6" s="0" t="n">
        <v>1121.56</v>
      </c>
      <c r="F6" s="0" t="s">
        <v>15</v>
      </c>
      <c r="G6" s="2" t="n">
        <f aca="false">SUM(D6*E6)</f>
        <v>414.9772</v>
      </c>
    </row>
    <row r="7" customFormat="false" ht="12.8" hidden="false" customHeight="false" outlineLevel="0" collapsed="false">
      <c r="A7" s="0" t="s">
        <v>16</v>
      </c>
      <c r="C7" s="0" t="s">
        <v>9</v>
      </c>
      <c r="D7" s="2" t="n">
        <v>34.98</v>
      </c>
      <c r="E7" s="0" t="n">
        <v>0.27</v>
      </c>
      <c r="F7" s="0" t="s">
        <v>17</v>
      </c>
      <c r="G7" s="2" t="n">
        <f aca="false">SUM(D7*E7)</f>
        <v>9.4446</v>
      </c>
      <c r="I7" s="0" t="s">
        <v>18</v>
      </c>
    </row>
    <row r="8" customFormat="false" ht="12.8" hidden="false" customHeight="false" outlineLevel="0" collapsed="false">
      <c r="A8" s="0" t="s">
        <v>19</v>
      </c>
      <c r="C8" s="0" t="s">
        <v>20</v>
      </c>
      <c r="D8" s="2" t="n">
        <v>0</v>
      </c>
      <c r="E8" s="0" t="n">
        <v>1359.47</v>
      </c>
      <c r="F8" s="0" t="s">
        <v>12</v>
      </c>
      <c r="G8" s="2" t="n">
        <f aca="false">SUM(D8*E8)</f>
        <v>0</v>
      </c>
      <c r="I8" s="0" t="s">
        <v>21</v>
      </c>
    </row>
    <row r="9" customFormat="false" ht="12.8" hidden="false" customHeight="false" outlineLevel="0" collapsed="false">
      <c r="A9" s="0" t="s">
        <v>22</v>
      </c>
      <c r="C9" s="0" t="s">
        <v>9</v>
      </c>
      <c r="D9" s="2" t="n">
        <v>199.99</v>
      </c>
      <c r="E9" s="0" t="n">
        <v>1.5</v>
      </c>
      <c r="F9" s="0" t="s">
        <v>23</v>
      </c>
      <c r="G9" s="2" t="n">
        <f aca="false">SUM(D9*E9)</f>
        <v>299.985</v>
      </c>
      <c r="I9" s="0" t="s">
        <v>24</v>
      </c>
    </row>
    <row r="10" customFormat="false" ht="12.8" hidden="false" customHeight="false" outlineLevel="0" collapsed="false">
      <c r="G10" s="2"/>
      <c r="H10" s="2" t="n">
        <f aca="false">SUM(G4:G9)</f>
        <v>3559.2859</v>
      </c>
    </row>
    <row r="11" s="1" customFormat="true" ht="12.8" hidden="false" customHeight="false" outlineLevel="0" collapsed="false">
      <c r="A11" s="1" t="s">
        <v>25</v>
      </c>
      <c r="G11" s="4"/>
    </row>
    <row r="12" customFormat="false" ht="12.8" hidden="false" customHeight="false" outlineLevel="0" collapsed="false">
      <c r="A12" s="0" t="s">
        <v>26</v>
      </c>
      <c r="C12" s="0" t="s">
        <v>9</v>
      </c>
      <c r="D12" s="2" t="n">
        <v>0</v>
      </c>
      <c r="E12" s="0" t="n">
        <v>11.16</v>
      </c>
      <c r="F12" s="0" t="s">
        <v>27</v>
      </c>
      <c r="G12" s="2" t="n">
        <f aca="false">SUM(D12*E12)</f>
        <v>0</v>
      </c>
    </row>
    <row r="13" s="5" customFormat="true" ht="12.8" hidden="false" customHeight="false" outlineLevel="0" collapsed="false">
      <c r="A13" s="5" t="s">
        <v>26</v>
      </c>
      <c r="B13" s="5" t="s">
        <v>28</v>
      </c>
      <c r="C13" s="5" t="s">
        <v>9</v>
      </c>
      <c r="D13" s="2" t="n">
        <v>55</v>
      </c>
      <c r="E13" s="5" t="n">
        <v>15</v>
      </c>
      <c r="F13" s="5" t="s">
        <v>29</v>
      </c>
      <c r="G13" s="2" t="n">
        <f aca="false">SUM(D13*E13)</f>
        <v>825</v>
      </c>
    </row>
    <row r="14" customFormat="false" ht="12.8" hidden="false" customHeight="false" outlineLevel="0" collapsed="false">
      <c r="A14" s="0" t="s">
        <v>30</v>
      </c>
      <c r="C14" s="0" t="s">
        <v>9</v>
      </c>
      <c r="D14" s="2" t="n">
        <v>144</v>
      </c>
      <c r="E14" s="0" t="n">
        <v>15.62</v>
      </c>
      <c r="F14" s="0" t="s">
        <v>31</v>
      </c>
      <c r="G14" s="2" t="n">
        <f aca="false">SUM(D14*E14)</f>
        <v>2249.28</v>
      </c>
      <c r="I14" s="0" t="s">
        <v>32</v>
      </c>
    </row>
    <row r="15" customFormat="false" ht="12.8" hidden="false" customHeight="false" outlineLevel="0" collapsed="false">
      <c r="A15" s="0" t="s">
        <v>33</v>
      </c>
      <c r="C15" s="6" t="s">
        <v>34</v>
      </c>
      <c r="D15" s="2" t="n">
        <v>0</v>
      </c>
      <c r="E15" s="0" t="n">
        <v>843.68</v>
      </c>
      <c r="F15" s="0" t="s">
        <v>35</v>
      </c>
      <c r="G15" s="2" t="n">
        <f aca="false">SUM(D15*E15)</f>
        <v>0</v>
      </c>
    </row>
    <row r="16" customFormat="false" ht="12.8" hidden="false" customHeight="false" outlineLevel="0" collapsed="false">
      <c r="A16" s="0" t="s">
        <v>36</v>
      </c>
      <c r="C16" s="0" t="s">
        <v>9</v>
      </c>
      <c r="D16" s="2" t="n">
        <v>0.7</v>
      </c>
      <c r="E16" s="0" t="n">
        <v>1687.36</v>
      </c>
      <c r="F16" s="0" t="s">
        <v>37</v>
      </c>
      <c r="G16" s="2" t="n">
        <f aca="false">SUM(D16*E16)</f>
        <v>1181.152</v>
      </c>
      <c r="I16" s="0" t="s">
        <v>38</v>
      </c>
    </row>
    <row r="17" customFormat="false" ht="12.8" hidden="false" customHeight="false" outlineLevel="0" collapsed="false">
      <c r="A17" s="0" t="s">
        <v>39</v>
      </c>
      <c r="C17" s="0" t="s">
        <v>9</v>
      </c>
      <c r="D17" s="2" t="n">
        <v>129.88</v>
      </c>
      <c r="E17" s="0" t="n">
        <v>2.53</v>
      </c>
      <c r="F17" s="0" t="s">
        <v>40</v>
      </c>
      <c r="G17" s="2" t="n">
        <f aca="false">SUM(D17*E17)</f>
        <v>328.5964</v>
      </c>
      <c r="I17" s="0" t="s">
        <v>41</v>
      </c>
    </row>
    <row r="18" customFormat="false" ht="12.8" hidden="false" customHeight="false" outlineLevel="0" collapsed="false">
      <c r="G18" s="2"/>
      <c r="H18" s="2" t="n">
        <f aca="false">SUM(G12:G17)</f>
        <v>4584.0284</v>
      </c>
    </row>
    <row r="19" s="1" customFormat="true" ht="12.8" hidden="false" customHeight="false" outlineLevel="0" collapsed="false">
      <c r="A19" s="1" t="s">
        <v>42</v>
      </c>
      <c r="G19" s="4"/>
    </row>
    <row r="20" customFormat="false" ht="12.8" hidden="false" customHeight="false" outlineLevel="0" collapsed="false">
      <c r="A20" s="0" t="s">
        <v>43</v>
      </c>
      <c r="B20" s="0" t="s">
        <v>44</v>
      </c>
      <c r="C20" s="0" t="s">
        <v>9</v>
      </c>
      <c r="D20" s="2" t="n">
        <v>0.97</v>
      </c>
      <c r="E20" s="0" t="n">
        <v>291.91</v>
      </c>
      <c r="F20" s="0" t="s">
        <v>45</v>
      </c>
      <c r="G20" s="2" t="n">
        <f aca="false">SUM(D20*E20)</f>
        <v>283.1527</v>
      </c>
    </row>
    <row r="21" customFormat="false" ht="12.8" hidden="false" customHeight="false" outlineLevel="0" collapsed="false">
      <c r="A21" s="0" t="s">
        <v>46</v>
      </c>
      <c r="B21" s="0" t="s">
        <v>47</v>
      </c>
      <c r="C21" s="0" t="s">
        <v>9</v>
      </c>
      <c r="D21" s="2" t="n">
        <v>9.67</v>
      </c>
      <c r="E21" s="0" t="n">
        <v>109.47</v>
      </c>
      <c r="F21" s="0" t="s">
        <v>48</v>
      </c>
      <c r="G21" s="2" t="n">
        <f aca="false">SUM(D21*E21)</f>
        <v>1058.5749</v>
      </c>
      <c r="I21" s="0" t="s">
        <v>49</v>
      </c>
    </row>
    <row r="22" customFormat="false" ht="12.8" hidden="false" customHeight="false" outlineLevel="0" collapsed="false">
      <c r="A22" s="0" t="s">
        <v>50</v>
      </c>
      <c r="B22" s="0" t="s">
        <v>51</v>
      </c>
      <c r="C22" s="0" t="s">
        <v>9</v>
      </c>
      <c r="D22" s="2" t="n">
        <v>19.79</v>
      </c>
      <c r="E22" s="0" t="n">
        <v>36.49</v>
      </c>
      <c r="F22" s="0" t="s">
        <v>52</v>
      </c>
      <c r="G22" s="2" t="n">
        <f aca="false">SUM(D22*E22)</f>
        <v>722.1371</v>
      </c>
      <c r="I22" s="0" t="s">
        <v>53</v>
      </c>
    </row>
    <row r="23" customFormat="false" ht="12.8" hidden="false" customHeight="false" outlineLevel="0" collapsed="false">
      <c r="A23" s="0" t="s">
        <v>54</v>
      </c>
      <c r="B23" s="0" t="s">
        <v>55</v>
      </c>
      <c r="C23" s="0" t="s">
        <v>9</v>
      </c>
      <c r="D23" s="2" t="n">
        <v>4.33</v>
      </c>
      <c r="E23" s="0" t="n">
        <v>1459.55</v>
      </c>
      <c r="F23" s="0" t="s">
        <v>56</v>
      </c>
      <c r="G23" s="2" t="n">
        <f aca="false">SUM(D23*E23)</f>
        <v>6319.8515</v>
      </c>
      <c r="I23" s="0" t="s">
        <v>57</v>
      </c>
    </row>
    <row r="24" customFormat="false" ht="12.8" hidden="false" customHeight="false" outlineLevel="0" collapsed="false">
      <c r="A24" s="0" t="s">
        <v>58</v>
      </c>
      <c r="C24" s="6" t="s">
        <v>34</v>
      </c>
      <c r="D24" s="2" t="n">
        <v>0</v>
      </c>
      <c r="E24" s="0" t="n">
        <v>1326.87</v>
      </c>
      <c r="F24" s="0" t="s">
        <v>56</v>
      </c>
      <c r="G24" s="2" t="n">
        <f aca="false">SUM(D24*E24)</f>
        <v>0</v>
      </c>
    </row>
    <row r="25" customFormat="false" ht="12.8" hidden="false" customHeight="false" outlineLevel="0" collapsed="false">
      <c r="A25" s="0" t="s">
        <v>59</v>
      </c>
      <c r="C25" s="0" t="s">
        <v>9</v>
      </c>
      <c r="D25" s="2" t="n">
        <v>12.98</v>
      </c>
      <c r="E25" s="0" t="n">
        <v>0.03</v>
      </c>
      <c r="F25" s="0" t="s">
        <v>60</v>
      </c>
      <c r="G25" s="2" t="n">
        <f aca="false">SUM(D25*E25)</f>
        <v>0.3894</v>
      </c>
      <c r="I25" s="0" t="s">
        <v>61</v>
      </c>
    </row>
    <row r="26" customFormat="false" ht="12.8" hidden="false" customHeight="false" outlineLevel="0" collapsed="false">
      <c r="A26" s="0" t="s">
        <v>62</v>
      </c>
      <c r="C26" s="0" t="s">
        <v>9</v>
      </c>
      <c r="D26" s="2" t="n">
        <v>100</v>
      </c>
      <c r="E26" s="0" t="n">
        <v>0.66</v>
      </c>
      <c r="F26" s="0" t="s">
        <v>63</v>
      </c>
      <c r="G26" s="2" t="n">
        <f aca="false">SUM(D26*E26)</f>
        <v>66</v>
      </c>
    </row>
    <row r="27" customFormat="false" ht="12.8" hidden="false" customHeight="false" outlineLevel="0" collapsed="false">
      <c r="A27" s="0" t="s">
        <v>64</v>
      </c>
      <c r="C27" s="0" t="s">
        <v>20</v>
      </c>
      <c r="D27" s="2" t="n">
        <v>2</v>
      </c>
      <c r="E27" s="0" t="n">
        <v>132.69</v>
      </c>
      <c r="F27" s="0" t="s">
        <v>65</v>
      </c>
      <c r="G27" s="2" t="n">
        <f aca="false">SUM(D27*E27)</f>
        <v>265.38</v>
      </c>
    </row>
    <row r="28" customFormat="false" ht="12.8" hidden="false" customHeight="false" outlineLevel="0" collapsed="false">
      <c r="A28" s="0" t="s">
        <v>66</v>
      </c>
      <c r="C28" s="0" t="s">
        <v>9</v>
      </c>
      <c r="D28" s="2" t="n">
        <v>10.28</v>
      </c>
      <c r="E28" s="0" t="n">
        <v>3.99</v>
      </c>
      <c r="F28" s="0" t="s">
        <v>67</v>
      </c>
      <c r="G28" s="2" t="n">
        <f aca="false">SUM(D28*E28)</f>
        <v>41.0172</v>
      </c>
      <c r="I28" s="0" t="s">
        <v>68</v>
      </c>
    </row>
    <row r="29" customFormat="false" ht="12.8" hidden="false" customHeight="false" outlineLevel="0" collapsed="false">
      <c r="A29" s="0" t="s">
        <v>69</v>
      </c>
      <c r="C29" s="0" t="s">
        <v>9</v>
      </c>
      <c r="D29" s="2" t="n">
        <v>17.98</v>
      </c>
      <c r="E29" s="0" t="n">
        <v>2.65</v>
      </c>
      <c r="F29" s="0" t="s">
        <v>10</v>
      </c>
      <c r="G29" s="2" t="n">
        <f aca="false">SUM(D29*E29)</f>
        <v>47.647</v>
      </c>
      <c r="I29" s="0" t="s">
        <v>70</v>
      </c>
    </row>
    <row r="30" customFormat="false" ht="12.8" hidden="false" customHeight="false" outlineLevel="0" collapsed="false">
      <c r="A30" s="0" t="s">
        <v>71</v>
      </c>
      <c r="C30" s="0" t="s">
        <v>20</v>
      </c>
      <c r="D30" s="2" t="n">
        <v>0.41</v>
      </c>
      <c r="E30" s="0" t="n">
        <v>1326.87</v>
      </c>
      <c r="F30" s="0" t="s">
        <v>35</v>
      </c>
      <c r="G30" s="2" t="n">
        <f aca="false">SUM(D30*E30)</f>
        <v>544.0167</v>
      </c>
      <c r="I30" s="0" t="s">
        <v>72</v>
      </c>
    </row>
    <row r="31" customFormat="false" ht="12.8" hidden="false" customHeight="false" outlineLevel="0" collapsed="false">
      <c r="A31" s="0" t="s">
        <v>73</v>
      </c>
      <c r="C31" s="0" t="s">
        <v>9</v>
      </c>
      <c r="D31" s="2" t="n">
        <v>25.98</v>
      </c>
      <c r="E31" s="0" t="n">
        <v>1</v>
      </c>
      <c r="F31" s="0" t="s">
        <v>74</v>
      </c>
      <c r="G31" s="2" t="n">
        <f aca="false">SUM(D31*E31)</f>
        <v>25.98</v>
      </c>
      <c r="I31" s="0" t="s">
        <v>75</v>
      </c>
    </row>
    <row r="32" customFormat="false" ht="12.8" hidden="false" customHeight="false" outlineLevel="0" collapsed="false">
      <c r="G32" s="2"/>
      <c r="H32" s="2" t="n">
        <f aca="false">SUM(G20:G31)</f>
        <v>9374.1465</v>
      </c>
    </row>
    <row r="33" s="1" customFormat="true" ht="12.8" hidden="false" customHeight="false" outlineLevel="0" collapsed="false">
      <c r="A33" s="1" t="s">
        <v>76</v>
      </c>
      <c r="G33" s="4"/>
    </row>
    <row r="34" customFormat="false" ht="12.8" hidden="false" customHeight="false" outlineLevel="0" collapsed="false">
      <c r="A34" s="0" t="s">
        <v>43</v>
      </c>
      <c r="B34" s="0" t="s">
        <v>44</v>
      </c>
      <c r="C34" s="0" t="s">
        <v>9</v>
      </c>
      <c r="D34" s="2" t="n">
        <v>0.97</v>
      </c>
      <c r="E34" s="0" t="n">
        <v>151</v>
      </c>
      <c r="F34" s="0" t="s">
        <v>45</v>
      </c>
      <c r="G34" s="2" t="n">
        <f aca="false">SUM(D34*E34)</f>
        <v>146.47</v>
      </c>
    </row>
    <row r="35" customFormat="false" ht="12.8" hidden="false" customHeight="false" outlineLevel="0" collapsed="false">
      <c r="A35" s="0" t="s">
        <v>46</v>
      </c>
      <c r="B35" s="0" t="s">
        <v>47</v>
      </c>
      <c r="C35" s="0" t="s">
        <v>9</v>
      </c>
      <c r="D35" s="2" t="n">
        <v>9.67</v>
      </c>
      <c r="E35" s="0" t="n">
        <v>56.62</v>
      </c>
      <c r="F35" s="0" t="s">
        <v>48</v>
      </c>
      <c r="G35" s="2" t="n">
        <f aca="false">SUM(D35*E35)</f>
        <v>547.5154</v>
      </c>
      <c r="I35" s="0" t="s">
        <v>49</v>
      </c>
    </row>
    <row r="36" customFormat="false" ht="12.8" hidden="false" customHeight="false" outlineLevel="0" collapsed="false">
      <c r="A36" s="0" t="s">
        <v>50</v>
      </c>
      <c r="B36" s="0" t="s">
        <v>51</v>
      </c>
      <c r="C36" s="0" t="s">
        <v>9</v>
      </c>
      <c r="D36" s="2" t="n">
        <v>19.79</v>
      </c>
      <c r="E36" s="0" t="n">
        <v>18.87</v>
      </c>
      <c r="F36" s="0" t="s">
        <v>52</v>
      </c>
      <c r="G36" s="2" t="n">
        <f aca="false">SUM(D36*E36)</f>
        <v>373.4373</v>
      </c>
      <c r="I36" s="0" t="s">
        <v>53</v>
      </c>
    </row>
    <row r="37" customFormat="false" ht="12.8" hidden="false" customHeight="false" outlineLevel="0" collapsed="false">
      <c r="A37" s="0" t="s">
        <v>54</v>
      </c>
      <c r="B37" s="0" t="s">
        <v>55</v>
      </c>
      <c r="C37" s="0" t="s">
        <v>9</v>
      </c>
      <c r="D37" s="2" t="n">
        <v>4.33</v>
      </c>
      <c r="E37" s="0" t="n">
        <v>754.98</v>
      </c>
      <c r="F37" s="0" t="s">
        <v>56</v>
      </c>
      <c r="G37" s="2" t="n">
        <f aca="false">SUM(D37*E37)</f>
        <v>3269.0634</v>
      </c>
      <c r="I37" s="0" t="s">
        <v>57</v>
      </c>
    </row>
    <row r="38" customFormat="false" ht="12.8" hidden="false" customHeight="false" outlineLevel="0" collapsed="false">
      <c r="A38" s="0" t="s">
        <v>58</v>
      </c>
      <c r="C38" s="6" t="s">
        <v>34</v>
      </c>
      <c r="D38" s="2" t="n">
        <v>0</v>
      </c>
      <c r="E38" s="0" t="n">
        <v>1372.7</v>
      </c>
      <c r="F38" s="0" t="s">
        <v>56</v>
      </c>
      <c r="G38" s="2" t="n">
        <f aca="false">SUM(D38*E38)</f>
        <v>0</v>
      </c>
    </row>
    <row r="39" customFormat="false" ht="12.8" hidden="false" customHeight="false" outlineLevel="0" collapsed="false">
      <c r="A39" s="0" t="s">
        <v>59</v>
      </c>
      <c r="C39" s="0" t="s">
        <v>9</v>
      </c>
      <c r="D39" s="2" t="n">
        <v>12.98</v>
      </c>
      <c r="E39" s="0" t="n">
        <v>0.02</v>
      </c>
      <c r="F39" s="0" t="s">
        <v>60</v>
      </c>
      <c r="G39" s="2" t="n">
        <f aca="false">SUM(D39*E39)</f>
        <v>0.2596</v>
      </c>
      <c r="I39" s="0" t="s">
        <v>77</v>
      </c>
    </row>
    <row r="40" customFormat="false" ht="12.8" hidden="false" customHeight="false" outlineLevel="0" collapsed="false">
      <c r="H40" s="2" t="n">
        <f aca="false">SUM(G34:G39)</f>
        <v>4336.7457</v>
      </c>
    </row>
    <row r="41" customFormat="false" ht="12.8" hidden="false" customHeight="false" outlineLevel="0" collapsed="false">
      <c r="A41" s="0" t="s">
        <v>78</v>
      </c>
      <c r="G41" s="2" t="n">
        <f aca="false">SUM(G4:G39)</f>
        <v>21854.2065</v>
      </c>
    </row>
    <row r="43" customFormat="false" ht="12.8" hidden="false" customHeight="false" outlineLevel="0" collapsed="false">
      <c r="A43" s="0" t="s">
        <v>79</v>
      </c>
      <c r="B43" s="0" t="s">
        <v>80</v>
      </c>
      <c r="C43" s="0" t="s">
        <v>4</v>
      </c>
      <c r="D43" s="0" t="s">
        <v>5</v>
      </c>
    </row>
    <row r="44" customFormat="false" ht="12.8" hidden="false" customHeight="false" outlineLevel="0" collapsed="false">
      <c r="A44" s="0" t="s">
        <v>26</v>
      </c>
      <c r="C44" s="0" t="n">
        <v>11.16</v>
      </c>
      <c r="D44" s="0" t="s">
        <v>27</v>
      </c>
    </row>
    <row r="45" customFormat="false" ht="12.8" hidden="false" customHeight="false" outlineLevel="0" collapsed="false">
      <c r="A45" s="0" t="s">
        <v>30</v>
      </c>
      <c r="C45" s="0" t="n">
        <v>15.62</v>
      </c>
      <c r="D45" s="0" t="s">
        <v>31</v>
      </c>
    </row>
    <row r="46" customFormat="false" ht="12.8" hidden="false" customHeight="false" outlineLevel="0" collapsed="false">
      <c r="A46" s="0" t="s">
        <v>33</v>
      </c>
      <c r="C46" s="0" t="n">
        <v>843.68</v>
      </c>
      <c r="D46" s="0" t="s">
        <v>35</v>
      </c>
    </row>
    <row r="47" customFormat="false" ht="12.8" hidden="false" customHeight="false" outlineLevel="0" collapsed="false">
      <c r="A47" s="0" t="s">
        <v>36</v>
      </c>
      <c r="C47" s="0" t="n">
        <v>1687.36</v>
      </c>
      <c r="D47" s="0" t="s">
        <v>37</v>
      </c>
    </row>
    <row r="48" customFormat="false" ht="12.8" hidden="false" customHeight="false" outlineLevel="0" collapsed="false">
      <c r="A48" s="0" t="s">
        <v>39</v>
      </c>
      <c r="C48" s="0" t="n">
        <v>2.53</v>
      </c>
      <c r="D48" s="0" t="s">
        <v>40</v>
      </c>
    </row>
    <row r="49" customFormat="false" ht="12.8" hidden="false" customHeight="false" outlineLevel="0" collapsed="false">
      <c r="A49" s="0" t="s">
        <v>43</v>
      </c>
      <c r="B49" s="0" t="s">
        <v>44</v>
      </c>
      <c r="C49" s="0" t="n">
        <v>442.91</v>
      </c>
      <c r="D49" s="0" t="s">
        <v>45</v>
      </c>
    </row>
    <row r="50" customFormat="false" ht="12.8" hidden="false" customHeight="false" outlineLevel="0" collapsed="false">
      <c r="A50" s="0" t="s">
        <v>46</v>
      </c>
      <c r="B50" s="0" t="s">
        <v>47</v>
      </c>
      <c r="C50" s="0" t="n">
        <v>166.09</v>
      </c>
      <c r="D50" s="0" t="s">
        <v>48</v>
      </c>
    </row>
    <row r="51" customFormat="false" ht="12.8" hidden="false" customHeight="false" outlineLevel="0" collapsed="false">
      <c r="A51" s="0" t="s">
        <v>50</v>
      </c>
      <c r="B51" s="0" t="s">
        <v>51</v>
      </c>
      <c r="C51" s="0" t="n">
        <v>55.36</v>
      </c>
      <c r="D51" s="0" t="s">
        <v>52</v>
      </c>
    </row>
    <row r="52" customFormat="false" ht="12.8" hidden="false" customHeight="false" outlineLevel="0" collapsed="false">
      <c r="A52" s="0" t="s">
        <v>54</v>
      </c>
      <c r="B52" s="0" t="s">
        <v>55</v>
      </c>
      <c r="C52" s="0" t="n">
        <v>2214.54</v>
      </c>
      <c r="D52" s="0" t="s">
        <v>56</v>
      </c>
    </row>
    <row r="53" customFormat="false" ht="12.8" hidden="false" customHeight="false" outlineLevel="0" collapsed="false">
      <c r="A53" s="0" t="s">
        <v>58</v>
      </c>
      <c r="C53" s="0" t="n">
        <v>2699.57</v>
      </c>
      <c r="D53" s="0" t="s">
        <v>56</v>
      </c>
    </row>
    <row r="54" customFormat="false" ht="12.8" hidden="false" customHeight="false" outlineLevel="0" collapsed="false">
      <c r="A54" s="0" t="s">
        <v>59</v>
      </c>
      <c r="C54" s="0" t="n">
        <v>0.05</v>
      </c>
      <c r="D54" s="0" t="s">
        <v>60</v>
      </c>
    </row>
    <row r="55" customFormat="false" ht="12.8" hidden="false" customHeight="false" outlineLevel="0" collapsed="false">
      <c r="A55" s="0" t="s">
        <v>62</v>
      </c>
      <c r="C55" s="0" t="n">
        <v>1.01</v>
      </c>
      <c r="D55" s="0" t="s">
        <v>63</v>
      </c>
    </row>
    <row r="56" customFormat="false" ht="12.8" hidden="false" customHeight="false" outlineLevel="0" collapsed="false">
      <c r="A56" s="0" t="s">
        <v>64</v>
      </c>
      <c r="C56" s="0" t="n">
        <v>201.32</v>
      </c>
      <c r="D56" s="0" t="s">
        <v>65</v>
      </c>
    </row>
    <row r="57" customFormat="false" ht="12.8" hidden="false" customHeight="false" outlineLevel="0" collapsed="false">
      <c r="A57" s="0" t="s">
        <v>66</v>
      </c>
      <c r="C57" s="0" t="n">
        <v>6.08</v>
      </c>
      <c r="D57" s="0" t="s">
        <v>67</v>
      </c>
    </row>
    <row r="58" customFormat="false" ht="12.8" hidden="false" customHeight="false" outlineLevel="0" collapsed="false">
      <c r="A58" s="0" t="s">
        <v>69</v>
      </c>
      <c r="C58" s="0" t="n">
        <v>5.4</v>
      </c>
      <c r="D58" s="0" t="s">
        <v>10</v>
      </c>
    </row>
    <row r="59" customFormat="false" ht="12.8" hidden="false" customHeight="false" outlineLevel="0" collapsed="false">
      <c r="A59" s="0" t="s">
        <v>71</v>
      </c>
      <c r="C59" s="0" t="n">
        <v>2699.57</v>
      </c>
      <c r="D59" s="0" t="s">
        <v>35</v>
      </c>
    </row>
    <row r="60" customFormat="false" ht="12.8" hidden="false" customHeight="false" outlineLevel="0" collapsed="false">
      <c r="A60" s="0" t="s">
        <v>73</v>
      </c>
      <c r="C60" s="0" t="n">
        <v>2.03</v>
      </c>
      <c r="D60" s="0" t="s">
        <v>74</v>
      </c>
    </row>
  </sheetData>
  <hyperlinks>
    <hyperlink ref="I5" r:id="rId1" display="Metal Roo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7.97"/>
    <col collapsed="false" customWidth="true" hidden="false" outlineLevel="0" max="4" min="2" style="0" width="16.39"/>
  </cols>
  <sheetData>
    <row r="3" customFormat="false" ht="12.8" hidden="false" customHeight="false" outlineLevel="0" collapsed="false">
      <c r="A3" s="0" t="s">
        <v>79</v>
      </c>
    </row>
    <row r="4" customFormat="false" ht="12.8" hidden="false" customHeight="false" outlineLevel="0" collapsed="false">
      <c r="A4" s="0" t="s">
        <v>26</v>
      </c>
      <c r="C4" s="0" t="n">
        <v>11.16</v>
      </c>
      <c r="D4" s="0" t="s">
        <v>27</v>
      </c>
    </row>
    <row r="5" customFormat="false" ht="12.8" hidden="false" customHeight="false" outlineLevel="0" collapsed="false">
      <c r="A5" s="0" t="s">
        <v>30</v>
      </c>
      <c r="C5" s="0" t="n">
        <v>15.62</v>
      </c>
      <c r="D5" s="0" t="s">
        <v>31</v>
      </c>
    </row>
    <row r="6" customFormat="false" ht="12.8" hidden="false" customHeight="false" outlineLevel="0" collapsed="false">
      <c r="A6" s="0" t="s">
        <v>33</v>
      </c>
      <c r="C6" s="0" t="n">
        <v>843.68</v>
      </c>
      <c r="D6" s="0" t="s">
        <v>35</v>
      </c>
    </row>
    <row r="7" customFormat="false" ht="12.8" hidden="false" customHeight="false" outlineLevel="0" collapsed="false">
      <c r="A7" s="0" t="s">
        <v>36</v>
      </c>
      <c r="C7" s="0" t="n">
        <v>1687.36</v>
      </c>
      <c r="D7" s="0" t="s">
        <v>37</v>
      </c>
    </row>
    <row r="8" customFormat="false" ht="12.8" hidden="false" customHeight="false" outlineLevel="0" collapsed="false">
      <c r="A8" s="0" t="s">
        <v>39</v>
      </c>
      <c r="C8" s="0" t="n">
        <v>2.53</v>
      </c>
      <c r="D8" s="0" t="s">
        <v>40</v>
      </c>
    </row>
    <row r="9" customFormat="false" ht="12.8" hidden="false" customHeight="false" outlineLevel="0" collapsed="false">
      <c r="A9" s="0" t="s">
        <v>43</v>
      </c>
      <c r="B9" s="0" t="s">
        <v>44</v>
      </c>
      <c r="C9" s="0" t="n">
        <v>442.91</v>
      </c>
      <c r="D9" s="0" t="s">
        <v>45</v>
      </c>
    </row>
    <row r="10" customFormat="false" ht="12.8" hidden="false" customHeight="false" outlineLevel="0" collapsed="false">
      <c r="A10" s="0" t="s">
        <v>46</v>
      </c>
      <c r="B10" s="0" t="s">
        <v>47</v>
      </c>
      <c r="C10" s="0" t="n">
        <v>166.09</v>
      </c>
      <c r="D10" s="0" t="s">
        <v>48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n">
        <v>55.36</v>
      </c>
      <c r="D11" s="0" t="s">
        <v>52</v>
      </c>
    </row>
    <row r="12" customFormat="false" ht="12.8" hidden="false" customHeight="false" outlineLevel="0" collapsed="false">
      <c r="A12" s="0" t="s">
        <v>54</v>
      </c>
      <c r="B12" s="0" t="s">
        <v>55</v>
      </c>
      <c r="C12" s="0" t="n">
        <v>2214.54</v>
      </c>
      <c r="D12" s="0" t="s">
        <v>56</v>
      </c>
    </row>
    <row r="13" customFormat="false" ht="12.8" hidden="false" customHeight="false" outlineLevel="0" collapsed="false">
      <c r="A13" s="0" t="s">
        <v>58</v>
      </c>
      <c r="C13" s="0" t="n">
        <v>2699.57</v>
      </c>
      <c r="D13" s="0" t="s">
        <v>56</v>
      </c>
    </row>
    <row r="14" customFormat="false" ht="12.8" hidden="false" customHeight="false" outlineLevel="0" collapsed="false">
      <c r="A14" s="0" t="s">
        <v>59</v>
      </c>
      <c r="C14" s="0" t="n">
        <v>0.05</v>
      </c>
      <c r="D14" s="0" t="s">
        <v>60</v>
      </c>
    </row>
    <row r="15" customFormat="false" ht="12.8" hidden="false" customHeight="false" outlineLevel="0" collapsed="false">
      <c r="A15" s="0" t="s">
        <v>62</v>
      </c>
      <c r="C15" s="0" t="n">
        <v>1.01</v>
      </c>
      <c r="D15" s="0" t="s">
        <v>63</v>
      </c>
    </row>
    <row r="16" customFormat="false" ht="12.8" hidden="false" customHeight="false" outlineLevel="0" collapsed="false">
      <c r="A16" s="0" t="s">
        <v>64</v>
      </c>
      <c r="C16" s="0" t="n">
        <v>201.32</v>
      </c>
      <c r="D16" s="0" t="s">
        <v>65</v>
      </c>
    </row>
    <row r="17" customFormat="false" ht="12.8" hidden="false" customHeight="false" outlineLevel="0" collapsed="false">
      <c r="A17" s="0" t="s">
        <v>66</v>
      </c>
      <c r="C17" s="0" t="n">
        <v>6.08</v>
      </c>
      <c r="D17" s="0" t="s">
        <v>67</v>
      </c>
    </row>
    <row r="18" customFormat="false" ht="12.8" hidden="false" customHeight="false" outlineLevel="0" collapsed="false">
      <c r="A18" s="0" t="s">
        <v>69</v>
      </c>
      <c r="C18" s="0" t="n">
        <v>5.4</v>
      </c>
      <c r="D18" s="0" t="s">
        <v>10</v>
      </c>
    </row>
    <row r="19" customFormat="false" ht="12.8" hidden="false" customHeight="false" outlineLevel="0" collapsed="false">
      <c r="A19" s="0" t="s">
        <v>71</v>
      </c>
      <c r="C19" s="0" t="n">
        <v>2699.57</v>
      </c>
      <c r="D19" s="0" t="s">
        <v>35</v>
      </c>
    </row>
    <row r="20" customFormat="false" ht="12.8" hidden="false" customHeight="false" outlineLevel="0" collapsed="false">
      <c r="A20" s="0" t="s">
        <v>73</v>
      </c>
      <c r="C20" s="0" t="n">
        <v>2.03</v>
      </c>
      <c r="D20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2021-10-19T11:30:06Z</dcterms:created>
  <dc:creator/>
  <dc:description/>
  <dc:language>en-US</dc:language>
  <cp:lastModifiedBy/>
  <dcterms:modified xsi:type="dcterms:W3CDTF">2023-10-18T16:25:45Z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