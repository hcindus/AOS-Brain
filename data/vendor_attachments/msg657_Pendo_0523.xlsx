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Y" sheetId="1" state="visible" r:id="rId2"/>
    <sheet name="UNPAID" sheetId="2" state="visible" r:id="rId3"/>
    <sheet name="BY ALPHA" sheetId="3" state="visible" r:id="rId4"/>
    <sheet name="BY SALES" sheetId="4" state="visible" r:id="rId5"/>
    <sheet name="AFTERHR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<sst xmlns="http://schemas.openxmlformats.org/spreadsheetml/2006/main" count="1579" uniqueCount="190">
  <si>
    <t xml:space="preserve"> </t>
  </si>
  <si>
    <t xml:space="preserve">ACCOUNT</t>
  </si>
  <si>
    <t xml:space="preserve">LOCATION</t>
  </si>
  <si>
    <t xml:space="preserve">INVOICE#</t>
  </si>
  <si>
    <t xml:space="preserve">INV DATE</t>
  </si>
  <si>
    <t xml:space="preserve">PRODUCT</t>
  </si>
  <si>
    <t xml:space="preserve">POST DATE</t>
  </si>
  <si>
    <t xml:space="preserve">DIST</t>
  </si>
  <si>
    <t xml:space="preserve">EQUIP SALE</t>
  </si>
  <si>
    <t xml:space="preserve">EQUIP RENT</t>
  </si>
  <si>
    <t xml:space="preserve">EQUIP INST</t>
  </si>
  <si>
    <t xml:space="preserve">RESID-UAL</t>
  </si>
  <si>
    <t xml:space="preserve">MERCH</t>
  </si>
  <si>
    <t xml:space="preserve">HELP DESK</t>
  </si>
  <si>
    <t xml:space="preserve">HW PLAN</t>
  </si>
  <si>
    <t xml:space="preserve">T&amp;M PARTS</t>
  </si>
  <si>
    <t xml:space="preserve">T&amp;M LABOR</t>
  </si>
  <si>
    <t xml:space="preserve">T&amp;M TRAV</t>
  </si>
  <si>
    <t xml:space="preserve">SUPP TX</t>
  </si>
  <si>
    <t xml:space="preserve">FRT</t>
  </si>
  <si>
    <t xml:space="preserve">TAX</t>
  </si>
  <si>
    <t xml:space="preserve">TOTAL</t>
  </si>
  <si>
    <t xml:space="preserve">ST</t>
  </si>
  <si>
    <t xml:space="preserve">BY</t>
  </si>
  <si>
    <t xml:space="preserve">PAID?</t>
  </si>
  <si>
    <t xml:space="preserve">** </t>
  </si>
  <si>
    <t xml:space="preserve">AH</t>
  </si>
  <si>
    <t xml:space="preserve">BELLAM PRODUCE</t>
  </si>
  <si>
    <t xml:space="preserve">SAM 4S</t>
  </si>
  <si>
    <t xml:space="preserve">SR</t>
  </si>
  <si>
    <t xml:space="preserve">DEL</t>
  </si>
  <si>
    <t xml:space="preserve">PD</t>
  </si>
  <si>
    <t xml:space="preserve">DEP</t>
  </si>
  <si>
    <t xml:space="preserve">TOMATINA</t>
  </si>
  <si>
    <t xml:space="preserve">ALAMEDA</t>
  </si>
  <si>
    <t xml:space="preserve">SUPPLIES</t>
  </si>
  <si>
    <t xml:space="preserve">ALA</t>
  </si>
  <si>
    <t xml:space="preserve">UPS</t>
  </si>
  <si>
    <t xml:space="preserve">EL</t>
  </si>
  <si>
    <t xml:space="preserve">U</t>
  </si>
  <si>
    <t xml:space="preserve">DOLORES PARK CAFÉ</t>
  </si>
  <si>
    <t xml:space="preserve">SF</t>
  </si>
  <si>
    <t xml:space="preserve">LG</t>
  </si>
  <si>
    <t xml:space="preserve">THE CHEESE PARLOR</t>
  </si>
  <si>
    <t xml:space="preserve">LBL CASSETE</t>
  </si>
  <si>
    <t xml:space="preserve">PURITY MARKET</t>
  </si>
  <si>
    <t xml:space="preserve">FT BRAGG</t>
  </si>
  <si>
    <t xml:space="preserve">RF</t>
  </si>
  <si>
    <t xml:space="preserve">RA</t>
  </si>
  <si>
    <t xml:space="preserve">ALANA'S</t>
  </si>
  <si>
    <t xml:space="preserve">PH</t>
  </si>
  <si>
    <t xml:space="preserve">DK</t>
  </si>
  <si>
    <t xml:space="preserve">CLYDE'S LIQUOUR</t>
  </si>
  <si>
    <t xml:space="preserve">PETRIFIED FOREST GIFT SHOP</t>
  </si>
  <si>
    <t xml:space="preserve">RENTAL</t>
  </si>
  <si>
    <t xml:space="preserve">NAPA</t>
  </si>
  <si>
    <t xml:space="preserve">SOULTRAN'S SEAFOOD</t>
  </si>
  <si>
    <t xml:space="preserve">ONSITE</t>
  </si>
  <si>
    <t xml:space="preserve">SOL</t>
  </si>
  <si>
    <t xml:space="preserve">SUN'S MARKET</t>
  </si>
  <si>
    <t xml:space="preserve">CABLE</t>
  </si>
  <si>
    <t xml:space="preserve">SM</t>
  </si>
  <si>
    <t xml:space="preserve">EASY RIDER</t>
  </si>
  <si>
    <t xml:space="preserve">SON</t>
  </si>
  <si>
    <t xml:space="preserve">PD  </t>
  </si>
  <si>
    <t xml:space="preserve">CC</t>
  </si>
  <si>
    <t xml:space="preserve">UNPAID OLD BILLS</t>
  </si>
  <si>
    <t xml:space="preserve">&gt;30</t>
  </si>
  <si>
    <t xml:space="preserve">&gt;60</t>
  </si>
  <si>
    <t xml:space="preserve">&gt;90</t>
  </si>
  <si>
    <t xml:space="preserve">SP</t>
  </si>
  <si>
    <t xml:space="preserve">DATE</t>
  </si>
  <si>
    <t xml:space="preserve">SCH</t>
  </si>
  <si>
    <t xml:space="preserve">EQ</t>
  </si>
  <si>
    <t xml:space="preserve">RENT</t>
  </si>
  <si>
    <t xml:space="preserve">INST</t>
  </si>
  <si>
    <t xml:space="preserve">SUBSC</t>
  </si>
  <si>
    <t xml:space="preserve">HD</t>
  </si>
  <si>
    <t xml:space="preserve">HW</t>
  </si>
  <si>
    <t xml:space="preserve">PART</t>
  </si>
  <si>
    <t xml:space="preserve">LAB</t>
  </si>
  <si>
    <t xml:space="preserve">TRAV</t>
  </si>
  <si>
    <t xml:space="preserve">SUP</t>
  </si>
  <si>
    <t xml:space="preserve">PETITE LEFT BANK</t>
  </si>
  <si>
    <t xml:space="preserve">PU</t>
  </si>
  <si>
    <t xml:space="preserve">FRANK</t>
  </si>
  <si>
    <t xml:space="preserve">ANTONIO</t>
  </si>
  <si>
    <t xml:space="preserve">DOVRE CLUB</t>
  </si>
  <si>
    <t xml:space="preserve">FED</t>
  </si>
  <si>
    <t xml:space="preserve">THE FORGE HANDCRAFTED PIZZA</t>
  </si>
  <si>
    <t xml:space="preserve">VILLAGE GRILL</t>
  </si>
  <si>
    <t xml:space="preserve">GRAZIE</t>
  </si>
  <si>
    <t xml:space="preserve">GRAZIE RESTAURANT</t>
  </si>
  <si>
    <t xml:space="preserve">VIA PICCOLA</t>
  </si>
  <si>
    <t xml:space="preserve">ISABEL'S VINTAGE CAFÉ</t>
  </si>
  <si>
    <t xml:space="preserve">EL SOL FAMILY RESTAURANT</t>
  </si>
  <si>
    <t xml:space="preserve">VALENTI &amp; CO</t>
  </si>
  <si>
    <t xml:space="preserve">CHRISTIANO</t>
  </si>
  <si>
    <t xml:space="preserve">FATTORIA E MARE</t>
  </si>
  <si>
    <t xml:space="preserve">MONTI'S ROTISSERIE</t>
  </si>
  <si>
    <t xml:space="preserve">SPECIALTY'S CAFÉ</t>
  </si>
  <si>
    <t xml:space="preserve">ELLIS</t>
  </si>
  <si>
    <t xml:space="preserve">MD CARDS</t>
  </si>
  <si>
    <t xml:space="preserve">MOUNTAIN MIKE'S</t>
  </si>
  <si>
    <t xml:space="preserve">THE VILLAGE PIZZERIA</t>
  </si>
  <si>
    <t xml:space="preserve">THE FORGE PIZZA</t>
  </si>
  <si>
    <t xml:space="preserve">SAN RAFAEL JOE'S</t>
  </si>
  <si>
    <t xml:space="preserve">KARTUNZ</t>
  </si>
  <si>
    <t xml:space="preserve">FARMSTEAD</t>
  </si>
  <si>
    <t xml:space="preserve">MN</t>
  </si>
  <si>
    <t xml:space="preserve">HI DIVE</t>
  </si>
  <si>
    <t xml:space="preserve">THE TRIDENT</t>
  </si>
  <si>
    <t xml:space="preserve">JEFFREY</t>
  </si>
  <si>
    <t xml:space="preserve">PEPITO'S </t>
  </si>
  <si>
    <t xml:space="preserve">CANYON CREST</t>
  </si>
  <si>
    <t xml:space="preserve">U SAVE BEER &amp; WINE</t>
  </si>
  <si>
    <t xml:space="preserve">GR CHOCOLATE COLLECTION</t>
  </si>
  <si>
    <t xml:space="preserve">TERIYAKI MADNESS</t>
  </si>
  <si>
    <t xml:space="preserve">SANTA CLARA</t>
  </si>
  <si>
    <t xml:space="preserve">BIRD &amp; THE BOTTLE</t>
  </si>
  <si>
    <t xml:space="preserve">ANDI'S MARKET</t>
  </si>
  <si>
    <t xml:space="preserve">ACRE RESTAURANT</t>
  </si>
  <si>
    <t xml:space="preserve">CELIA'S</t>
  </si>
  <si>
    <t xml:space="preserve">SAN RAFAEL #5</t>
  </si>
  <si>
    <t xml:space="preserve">MAMITA</t>
  </si>
  <si>
    <t xml:space="preserve">KIMONO</t>
  </si>
  <si>
    <t xml:space="preserve">PLEASANTON</t>
  </si>
  <si>
    <t xml:space="preserve">STATE BIRD PROVISIONS</t>
  </si>
  <si>
    <t xml:space="preserve">CASA LUPE</t>
  </si>
  <si>
    <t xml:space="preserve">DROP</t>
  </si>
  <si>
    <t xml:space="preserve">HL</t>
  </si>
  <si>
    <t xml:space="preserve">VINTAGE WINE MERCHANT</t>
  </si>
  <si>
    <t xml:space="preserve">CAFÉ LOTUS</t>
  </si>
  <si>
    <t xml:space="preserve">THE WHARF</t>
  </si>
  <si>
    <t xml:space="preserve">WILLIE'S SEAFOOD &amp; RAW BAR</t>
  </si>
  <si>
    <t xml:space="preserve">SEABOWL</t>
  </si>
  <si>
    <t xml:space="preserve">VINTNER'S GOLF CLUB</t>
  </si>
  <si>
    <t xml:space="preserve">LOST MARBLES BREWPUB</t>
  </si>
  <si>
    <t xml:space="preserve">LEFT BANK BRASSERIE</t>
  </si>
  <si>
    <t xml:space="preserve">INSALATA'S</t>
  </si>
  <si>
    <t xml:space="preserve">VIA PICCOLA TRATTORIA</t>
  </si>
  <si>
    <t xml:space="preserve">FISH</t>
  </si>
  <si>
    <t xml:space="preserve">5TH STREET STEAK HOUSE</t>
  </si>
  <si>
    <t xml:space="preserve">GREAT FALLS</t>
  </si>
  <si>
    <t xml:space="preserve">SWEENEY'S GRILL &amp; BAR</t>
  </si>
  <si>
    <t xml:space="preserve">GUEST HOUSE RESTAURANT</t>
  </si>
  <si>
    <t xml:space="preserve">LAS GUITARRAS</t>
  </si>
  <si>
    <t xml:space="preserve">SEABREEZE</t>
  </si>
  <si>
    <t xml:space="preserve">POGGIO TRATTORIA</t>
  </si>
  <si>
    <t xml:space="preserve">BLUE HERON</t>
  </si>
  <si>
    <t xml:space="preserve">GROSSMAN'S NOSHERY &amp; BAR</t>
  </si>
  <si>
    <t xml:space="preserve">WALNUT CREEK</t>
  </si>
  <si>
    <t xml:space="preserve">ALOTTA'S DELI &amp; CATERING</t>
  </si>
  <si>
    <t xml:space="preserve">ONSITE SVC</t>
  </si>
  <si>
    <t xml:space="preserve">ARCANGELI GROCERY</t>
  </si>
  <si>
    <t xml:space="preserve">RICH</t>
  </si>
  <si>
    <t xml:space="preserve">CALISTIOGA INN</t>
  </si>
  <si>
    <t xml:space="preserve">CELIA'S/XALISCO CORP</t>
  </si>
  <si>
    <t xml:space="preserve">ROSENDO</t>
  </si>
  <si>
    <t xml:space="preserve">COASTAL PACIFIC</t>
  </si>
  <si>
    <t xml:space="preserve">STOCKTON</t>
  </si>
  <si>
    <t xml:space="preserve">COFFEE ROASTERY</t>
  </si>
  <si>
    <t xml:space="preserve">FFX</t>
  </si>
  <si>
    <t xml:space="preserve">DH</t>
  </si>
  <si>
    <t xml:space="preserve">S/A</t>
  </si>
  <si>
    <t xml:space="preserve">FRED'S LIQUOR</t>
  </si>
  <si>
    <t xml:space="preserve">SCANNER</t>
  </si>
  <si>
    <t xml:space="preserve">L&amp;L BBQ</t>
  </si>
  <si>
    <t xml:space="preserve">SAC</t>
  </si>
  <si>
    <t xml:space="preserve">PTR CBLS</t>
  </si>
  <si>
    <t xml:space="preserve">LAS MONTANAS MKT</t>
  </si>
  <si>
    <t xml:space="preserve">CONCORD</t>
  </si>
  <si>
    <t xml:space="preserve">WORKSTATION</t>
  </si>
  <si>
    <t xml:space="preserve">PANDA RESTAURANT GROUP</t>
  </si>
  <si>
    <t xml:space="preserve">CASH DRAWER</t>
  </si>
  <si>
    <t xml:space="preserve">PLAYA RESTAURANT</t>
  </si>
  <si>
    <t xml:space="preserve">ROKA AKOR</t>
  </si>
  <si>
    <t xml:space="preserve">DD</t>
  </si>
  <si>
    <t xml:space="preserve">ROB</t>
  </si>
  <si>
    <t xml:space="preserve">TACOS SINALOA</t>
  </si>
  <si>
    <t xml:space="preserve">BERKELEY</t>
  </si>
  <si>
    <t xml:space="preserve">TAQUERIA Y MARISCOS EL PONY</t>
  </si>
  <si>
    <t xml:space="preserve">JQ</t>
  </si>
  <si>
    <t xml:space="preserve">THE COOLER</t>
  </si>
  <si>
    <t xml:space="preserve">VESUVIO</t>
  </si>
  <si>
    <t xml:space="preserve">AFTER HOURS PHONES</t>
  </si>
  <si>
    <t xml:space="preserve">PRIMARY</t>
  </si>
  <si>
    <t xml:space="preserve">VACATION REMINDER</t>
  </si>
  <si>
    <t xml:space="preserve">PHONE PERSON</t>
  </si>
  <si>
    <t xml:space="preserve">DOUG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</si>
</sst>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/d;@"/>
    <numFmt numFmtId="166" formatCode="m/d"/>
    <numFmt numFmtId="167" formatCode="0"/>
    <numFmt numFmtId="168" formatCode="0.00"/>
    <numFmt numFmtId="169" formatCode="\$#,##0.00"/>
    <numFmt numFmtId="170" formatCode="d\-mmm"/>
    <numFmt numFmtId="171" formatCode="[$-409]d\-mmm;@"/>
    <numFmt numFmtId="172" formatCode="@"/>
    <numFmt numFmtId="173" formatCode="0.0%"/>
    <numFmt numFmtId="174" formatCode="0.000"/>
    <numFmt numFmtId="175" formatCode="m/d/yyyy"/>
  </numFmts>
  <fonts count="3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8"/>
      <color rgb="FFFF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name val="Comic Sans MS"/>
      <family val="4"/>
      <charset val="1"/>
    </font>
    <font>
      <b val="true"/>
      <sz val="14"/>
      <name val="바탕"/>
      <family val="1"/>
      <charset val="1"/>
    </font>
    <font>
      <b val="true"/>
      <sz val="8"/>
      <name val="바탕"/>
      <family val="1"/>
      <charset val="1"/>
    </font>
    <font>
      <b val="true"/>
      <sz val="9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Comic Sans MS"/>
      <family val="4"/>
      <charset val="1"/>
    </font>
    <font>
      <b val="true"/>
      <sz val="8"/>
      <color rgb="FFFF0000"/>
      <name val="Comic Sans MS"/>
      <family val="4"/>
      <charset val="1"/>
    </font>
    <font>
      <b val="true"/>
      <sz val="8"/>
      <color rgb="FF000000"/>
      <name val="Comic Sans MS"/>
      <family val="4"/>
      <charset val="1"/>
    </font>
    <font>
      <sz val="8"/>
      <name val="Comic Sans MS"/>
      <family val="4"/>
      <charset val="1"/>
    </font>
    <font>
      <b val="true"/>
      <sz val="10"/>
      <name val="Comic Sans MS"/>
      <family val="4"/>
      <charset val="1"/>
    </font>
    <font>
      <sz val="8"/>
      <color rgb="FFFF0000"/>
      <name val="Comic Sans MS"/>
      <family val="4"/>
      <charset val="1"/>
    </font>
    <font>
      <sz val="8"/>
      <color rgb="FF000000"/>
      <name val="Comic Sans MS"/>
      <family val="4"/>
      <charset val="1"/>
    </font>
    <font>
      <b val="true"/>
      <sz val="8"/>
      <color rgb="FF333399"/>
      <name val="Arial"/>
      <family val="2"/>
      <charset val="1"/>
    </font>
    <font>
      <b val="true"/>
      <sz val="8"/>
      <color rgb="FF99CCFF"/>
      <name val="Comic Sans MS"/>
      <family val="4"/>
      <charset val="1"/>
    </font>
    <font>
      <b val="true"/>
      <sz val="8"/>
      <color rgb="FFCCFFCC"/>
      <name val="Comic Sans MS"/>
      <family val="4"/>
      <charset val="1"/>
    </font>
    <font>
      <b val="true"/>
      <sz val="8"/>
      <color rgb="FFCCFFCC"/>
      <name val="Arial"/>
      <family val="2"/>
      <charset val="1"/>
    </font>
    <font>
      <b val="true"/>
      <sz val="10"/>
      <name val="바탕"/>
      <family val="1"/>
      <charset val="1"/>
    </font>
    <font>
      <sz val="10"/>
      <name val="바탕"/>
      <family val="1"/>
      <charset val="1"/>
    </font>
    <font>
      <sz val="8"/>
      <name val="바탕"/>
      <family val="1"/>
      <charset val="1"/>
    </font>
    <font>
      <sz val="9"/>
      <name val="바탕"/>
      <family val="1"/>
      <charset val="1"/>
    </font>
    <font>
      <b val="true"/>
      <sz val="12"/>
      <name val="바탕"/>
      <family val="1"/>
      <charset val="1"/>
    </font>
    <font>
      <b val="true"/>
      <sz val="9"/>
      <name val="바탕"/>
      <family val="1"/>
      <charset val="1"/>
    </font>
    <font>
      <sz val="12"/>
      <name val="바탕"/>
      <family val="1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99"/>
        <bgColor rgb="FFD7E4BD"/>
      </patternFill>
    </fill>
    <fill>
      <patternFill patternType="solid">
        <fgColor rgb="FFFFFFFF"/>
        <bgColor rgb="FFCCFFFF"/>
      </patternFill>
    </fill>
    <fill>
      <patternFill patternType="solid">
        <fgColor rgb="FF93CDDD"/>
        <bgColor rgb="FF99CCFF"/>
      </patternFill>
    </fill>
    <fill>
      <patternFill patternType="solid">
        <fgColor rgb="FFD7E4BD"/>
        <bgColor rgb="FFC3D69B"/>
      </patternFill>
    </fill>
    <fill>
      <patternFill patternType="solid">
        <fgColor rgb="FFFFCC99"/>
        <bgColor rgb="FFFAC090"/>
      </patternFill>
    </fill>
    <fill>
      <patternFill patternType="solid">
        <fgColor rgb="FFFCD5B5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C3D69B"/>
        <bgColor rgb="FFD7E4BD"/>
      </patternFill>
    </fill>
    <fill>
      <patternFill patternType="solid">
        <fgColor rgb="FFFAC090"/>
        <bgColor rgb="FFFFCC99"/>
      </patternFill>
    </fill>
    <fill>
      <patternFill patternType="solid">
        <fgColor rgb="FFFF99CC"/>
        <bgColor rgb="FFCC99FF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8" fillId="4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8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7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9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1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1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1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13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9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3CDDD"/>
      <rgbColor rgb="FF993366"/>
      <rgbColor rgb="FFFCD5B5"/>
      <rgbColor rgb="FFCCFFFF"/>
      <rgbColor rgb="FF660066"/>
      <rgbColor rgb="FFFAC09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39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pane xSplit="0" ySplit="3" topLeftCell="A4" activePane="bottomLeft" state="frozen"/>
      <selection pane="topLeft" activeCell="A1" activeCellId="0" sqref="A1"/>
      <selection pane="bottomLeft" activeCell="I18" activeCellId="0" sqref="1:1048576"/>
    </sheetView>
  </sheetViews>
  <sheetFormatPr defaultColWidth="9.12109375" defaultRowHeight="9" zeroHeight="false" outlineLevelRow="0" outlineLevelCol="0"/>
  <cols>
    <col collapsed="false" customWidth="true" hidden="false" outlineLevel="0" max="1" min="1" style="1" width="5.55"/>
    <col collapsed="false" customWidth="true" hidden="false" outlineLevel="0" max="2" min="2" style="2" width="18.56"/>
    <col collapsed="false" customWidth="true" hidden="false" outlineLevel="0" max="3" min="3" style="3" width="12.33"/>
    <col collapsed="false" customWidth="true" hidden="false" outlineLevel="0" max="4" min="4" style="3" width="8.44"/>
    <col collapsed="false" customWidth="true" hidden="false" outlineLevel="0" max="5" min="5" style="4" width="5.01"/>
    <col collapsed="false" customWidth="true" hidden="false" outlineLevel="0" max="6" min="6" style="3" width="10.66"/>
    <col collapsed="false" customWidth="true" hidden="false" outlineLevel="0" max="7" min="7" style="5" width="5.33"/>
    <col collapsed="false" customWidth="true" hidden="false" outlineLevel="0" max="8" min="8" style="6" width="6.44"/>
    <col collapsed="false" customWidth="true" hidden="false" outlineLevel="0" max="9" min="9" style="7" width="7.34"/>
    <col collapsed="false" customWidth="true" hidden="false" outlineLevel="0" max="10" min="10" style="7" width="6.11"/>
    <col collapsed="false" customWidth="true" hidden="false" outlineLevel="0" max="11" min="11" style="7" width="8.11"/>
    <col collapsed="false" customWidth="true" hidden="false" outlineLevel="0" max="12" min="12" style="7" width="7"/>
    <col collapsed="false" customWidth="true" hidden="false" outlineLevel="0" max="13" min="13" style="7" width="7.56"/>
    <col collapsed="false" customWidth="true" hidden="false" outlineLevel="0" max="14" min="14" style="7" width="6.44"/>
    <col collapsed="false" customWidth="true" hidden="false" outlineLevel="0" max="15" min="15" style="7" width="5.55"/>
    <col collapsed="false" customWidth="true" hidden="false" outlineLevel="0" max="16" min="16" style="7" width="6.34"/>
    <col collapsed="false" customWidth="true" hidden="false" outlineLevel="0" max="17" min="17" style="7" width="6.44"/>
    <col collapsed="false" customWidth="true" hidden="false" outlineLevel="0" max="18" min="18" style="7" width="6.56"/>
    <col collapsed="false" customWidth="true" hidden="false" outlineLevel="0" max="19" min="19" style="7" width="7.67"/>
    <col collapsed="false" customWidth="true" hidden="false" outlineLevel="0" max="20" min="20" style="7" width="6.88"/>
    <col collapsed="false" customWidth="true" hidden="false" outlineLevel="0" max="21" min="21" style="8" width="7"/>
    <col collapsed="false" customWidth="true" hidden="false" outlineLevel="0" max="22" min="22" style="9" width="12.56"/>
    <col collapsed="false" customWidth="true" hidden="false" outlineLevel="0" max="23" min="23" style="2" width="3.99"/>
    <col collapsed="false" customWidth="true" hidden="false" outlineLevel="0" max="24" min="24" style="10" width="3.11"/>
    <col collapsed="false" customWidth="true" hidden="false" outlineLevel="0" max="25" min="25" style="10" width="4.1"/>
    <col collapsed="false" customWidth="true" hidden="false" outlineLevel="0" max="26" min="26" style="11" width="11.66"/>
    <col collapsed="false" customWidth="true" hidden="false" outlineLevel="0" max="27" min="27" style="12" width="8.33"/>
    <col collapsed="false" customWidth="false" hidden="false" outlineLevel="0" max="1024" min="28" style="2" width="9.11"/>
  </cols>
  <sheetData>
    <row r="1" s="22" customFormat="true" ht="19.95" hidden="false" customHeight="true" outlineLevel="0" collapsed="false">
      <c r="A1" s="13" t="n">
        <v>45048</v>
      </c>
      <c r="B1" s="13"/>
      <c r="C1" s="14" t="s">
        <v>0</v>
      </c>
      <c r="D1" s="15"/>
      <c r="E1" s="16"/>
      <c r="F1" s="17"/>
      <c r="G1" s="18"/>
      <c r="H1" s="19"/>
      <c r="I1" s="20"/>
      <c r="J1" s="21"/>
      <c r="K1" s="20"/>
      <c r="L1" s="20"/>
      <c r="M1" s="20"/>
      <c r="N1" s="20"/>
      <c r="P1" s="20"/>
      <c r="Q1" s="20"/>
      <c r="R1" s="20"/>
      <c r="S1" s="20"/>
      <c r="T1" s="20"/>
      <c r="U1" s="23"/>
      <c r="V1" s="24"/>
      <c r="W1" s="25"/>
      <c r="Z1" s="26"/>
      <c r="AA1" s="27"/>
    </row>
    <row r="2" s="10" customFormat="true" ht="31.5" hidden="false" customHeight="true" outlineLevel="0" collapsed="false">
      <c r="A2" s="28"/>
      <c r="B2" s="29" t="s">
        <v>1</v>
      </c>
      <c r="C2" s="30" t="s">
        <v>2</v>
      </c>
      <c r="D2" s="31" t="s">
        <v>3</v>
      </c>
      <c r="E2" s="32" t="s">
        <v>4</v>
      </c>
      <c r="F2" s="33" t="s">
        <v>5</v>
      </c>
      <c r="G2" s="34" t="s">
        <v>6</v>
      </c>
      <c r="H2" s="35" t="s">
        <v>7</v>
      </c>
      <c r="I2" s="36" t="s">
        <v>8</v>
      </c>
      <c r="J2" s="37" t="s">
        <v>9</v>
      </c>
      <c r="K2" s="38" t="s">
        <v>10</v>
      </c>
      <c r="L2" s="39" t="s">
        <v>11</v>
      </c>
      <c r="M2" s="40" t="s">
        <v>12</v>
      </c>
      <c r="N2" s="41" t="s">
        <v>13</v>
      </c>
      <c r="O2" s="42" t="s">
        <v>14</v>
      </c>
      <c r="P2" s="43" t="s">
        <v>15</v>
      </c>
      <c r="Q2" s="43" t="s">
        <v>16</v>
      </c>
      <c r="R2" s="43" t="s">
        <v>17</v>
      </c>
      <c r="S2" s="44" t="s">
        <v>18</v>
      </c>
      <c r="T2" s="45" t="s">
        <v>19</v>
      </c>
      <c r="U2" s="46" t="s">
        <v>20</v>
      </c>
      <c r="V2" s="47" t="s">
        <v>21</v>
      </c>
      <c r="W2" s="48" t="s">
        <v>22</v>
      </c>
      <c r="X2" s="49" t="s">
        <v>23</v>
      </c>
      <c r="Y2" s="49" t="s">
        <v>24</v>
      </c>
      <c r="Z2" s="50"/>
      <c r="AA2" s="51"/>
    </row>
    <row r="3" s="10" customFormat="true" ht="6.75" hidden="false" customHeight="true" outlineLevel="0" collapsed="false">
      <c r="A3" s="52"/>
      <c r="B3" s="53"/>
      <c r="C3" s="54"/>
      <c r="D3" s="55"/>
      <c r="E3" s="56"/>
      <c r="F3" s="57"/>
      <c r="G3" s="58"/>
      <c r="H3" s="59"/>
      <c r="I3" s="60"/>
      <c r="J3" s="61"/>
      <c r="K3" s="61"/>
      <c r="L3" s="61"/>
      <c r="M3" s="61"/>
      <c r="N3" s="60"/>
      <c r="O3" s="61"/>
      <c r="P3" s="60"/>
      <c r="Q3" s="62"/>
      <c r="R3" s="63"/>
      <c r="S3" s="60"/>
      <c r="T3" s="63"/>
      <c r="U3" s="64"/>
      <c r="V3" s="65"/>
      <c r="W3" s="66"/>
      <c r="X3" s="67"/>
      <c r="Y3" s="67"/>
      <c r="Z3" s="68"/>
      <c r="AA3" s="51"/>
    </row>
    <row r="4" customFormat="false" ht="15.75" hidden="false" customHeight="true" outlineLevel="0" collapsed="false">
      <c r="A4" s="69" t="s">
        <v>25</v>
      </c>
      <c r="B4" s="70"/>
      <c r="C4" s="71"/>
      <c r="D4" s="71"/>
      <c r="E4" s="72"/>
      <c r="F4" s="71"/>
      <c r="G4" s="73"/>
      <c r="H4" s="74"/>
      <c r="I4" s="75"/>
      <c r="J4" s="76"/>
      <c r="K4" s="75"/>
      <c r="L4" s="75"/>
      <c r="M4" s="75"/>
      <c r="N4" s="75"/>
      <c r="O4" s="76"/>
      <c r="P4" s="75"/>
      <c r="Q4" s="75"/>
      <c r="R4" s="75"/>
      <c r="S4" s="75"/>
      <c r="T4" s="75"/>
      <c r="U4" s="77"/>
      <c r="V4" s="78"/>
      <c r="W4" s="79"/>
      <c r="X4" s="70"/>
      <c r="Y4" s="80"/>
      <c r="Z4" s="81"/>
    </row>
    <row r="5" customFormat="false" ht="9" hidden="false" customHeight="true" outlineLevel="0" collapsed="false">
      <c r="A5" s="82"/>
      <c r="B5" s="83"/>
      <c r="C5" s="84"/>
      <c r="D5" s="85"/>
      <c r="E5" s="86"/>
      <c r="F5" s="87"/>
      <c r="G5" s="88"/>
      <c r="H5" s="89"/>
      <c r="I5" s="90"/>
      <c r="J5" s="91"/>
      <c r="K5" s="91"/>
      <c r="L5" s="91"/>
      <c r="M5" s="91"/>
      <c r="N5" s="90"/>
      <c r="O5" s="91"/>
      <c r="P5" s="90"/>
      <c r="Q5" s="92"/>
      <c r="R5" s="93"/>
      <c r="S5" s="90"/>
      <c r="T5" s="93"/>
      <c r="U5" s="94"/>
      <c r="V5" s="95"/>
      <c r="W5" s="96"/>
      <c r="X5" s="97"/>
      <c r="Y5" s="98"/>
      <c r="Z5" s="99"/>
    </row>
    <row r="6" s="10" customFormat="true" ht="14.1" hidden="false" customHeight="true" outlineLevel="0" collapsed="false">
      <c r="A6" s="100" t="s">
        <v>26</v>
      </c>
      <c r="B6" s="2" t="s">
        <v>27</v>
      </c>
      <c r="C6" s="3"/>
      <c r="D6" s="101" t="n">
        <v>4283101</v>
      </c>
      <c r="E6" s="102" t="n">
        <v>45044</v>
      </c>
      <c r="F6" s="103" t="s">
        <v>28</v>
      </c>
      <c r="G6" s="5" t="n">
        <v>45047</v>
      </c>
      <c r="H6" s="104" t="s">
        <v>29</v>
      </c>
      <c r="I6" s="105" t="n">
        <v>895</v>
      </c>
      <c r="J6" s="106"/>
      <c r="K6" s="106"/>
      <c r="L6" s="106"/>
      <c r="M6" s="106"/>
      <c r="N6" s="105"/>
      <c r="O6" s="106"/>
      <c r="P6" s="105"/>
      <c r="Q6" s="7" t="n">
        <v>80</v>
      </c>
      <c r="R6" s="107" t="n">
        <v>45</v>
      </c>
      <c r="S6" s="105"/>
      <c r="T6" s="107"/>
      <c r="U6" s="108" t="n">
        <v>82.79</v>
      </c>
      <c r="V6" s="95" t="n">
        <f aca="false">SUM(I6:U6)</f>
        <v>1102.79</v>
      </c>
      <c r="W6" s="109" t="s">
        <v>30</v>
      </c>
      <c r="X6" s="10" t="s">
        <v>26</v>
      </c>
      <c r="Y6" s="110" t="s">
        <v>31</v>
      </c>
      <c r="Z6" s="111" t="n">
        <v>550</v>
      </c>
      <c r="AA6" s="112" t="s">
        <v>32</v>
      </c>
    </row>
    <row r="7" s="10" customFormat="true" ht="14.1" hidden="false" customHeight="true" outlineLevel="0" collapsed="false">
      <c r="A7" s="100" t="s">
        <v>26</v>
      </c>
      <c r="B7" s="2" t="s">
        <v>33</v>
      </c>
      <c r="C7" s="3" t="s">
        <v>34</v>
      </c>
      <c r="D7" s="101" t="n">
        <v>4283104</v>
      </c>
      <c r="E7" s="102" t="n">
        <v>45044</v>
      </c>
      <c r="F7" s="103" t="s">
        <v>35</v>
      </c>
      <c r="G7" s="5" t="n">
        <v>45047</v>
      </c>
      <c r="H7" s="104" t="s">
        <v>36</v>
      </c>
      <c r="I7" s="105"/>
      <c r="J7" s="106"/>
      <c r="K7" s="106"/>
      <c r="L7" s="106"/>
      <c r="M7" s="106"/>
      <c r="N7" s="105"/>
      <c r="O7" s="106"/>
      <c r="P7" s="105"/>
      <c r="Q7" s="7"/>
      <c r="R7" s="107"/>
      <c r="S7" s="105" t="n">
        <v>90</v>
      </c>
      <c r="T7" s="107" t="n">
        <v>25</v>
      </c>
      <c r="U7" s="108" t="n">
        <v>9.68</v>
      </c>
      <c r="V7" s="95" t="n">
        <f aca="false">SUM(I7:U7)</f>
        <v>124.68</v>
      </c>
      <c r="W7" s="109" t="s">
        <v>37</v>
      </c>
      <c r="X7" s="10" t="s">
        <v>38</v>
      </c>
      <c r="Y7" s="110" t="s">
        <v>39</v>
      </c>
      <c r="Z7" s="111"/>
      <c r="AA7" s="51"/>
    </row>
    <row r="8" s="10" customFormat="true" ht="14.1" hidden="false" customHeight="true" outlineLevel="0" collapsed="false">
      <c r="A8" s="100" t="s">
        <v>26</v>
      </c>
      <c r="B8" s="2" t="s">
        <v>40</v>
      </c>
      <c r="C8" s="3"/>
      <c r="D8" s="101" t="n">
        <v>4283105</v>
      </c>
      <c r="E8" s="102" t="n">
        <v>45044</v>
      </c>
      <c r="F8" s="103" t="s">
        <v>35</v>
      </c>
      <c r="G8" s="5" t="n">
        <v>45047</v>
      </c>
      <c r="H8" s="104" t="s">
        <v>41</v>
      </c>
      <c r="I8" s="105"/>
      <c r="J8" s="106"/>
      <c r="K8" s="106"/>
      <c r="L8" s="106"/>
      <c r="M8" s="106"/>
      <c r="N8" s="105"/>
      <c r="O8" s="106"/>
      <c r="P8" s="105"/>
      <c r="Q8" s="7"/>
      <c r="R8" s="107"/>
      <c r="S8" s="105" t="n">
        <v>39</v>
      </c>
      <c r="T8" s="107" t="n">
        <v>12.5</v>
      </c>
      <c r="U8" s="108" t="n">
        <v>3.36</v>
      </c>
      <c r="V8" s="95" t="n">
        <f aca="false">SUM(I8:U8)</f>
        <v>54.86</v>
      </c>
      <c r="W8" s="109" t="s">
        <v>37</v>
      </c>
      <c r="X8" s="10" t="s">
        <v>38</v>
      </c>
      <c r="Y8" s="110" t="s">
        <v>39</v>
      </c>
      <c r="Z8" s="111"/>
      <c r="AA8" s="51"/>
    </row>
    <row r="9" s="10" customFormat="true" ht="14.1" hidden="false" customHeight="true" outlineLevel="0" collapsed="false">
      <c r="A9" s="100" t="s">
        <v>42</v>
      </c>
      <c r="B9" s="2" t="s">
        <v>43</v>
      </c>
      <c r="C9" s="3"/>
      <c r="D9" s="101" t="n">
        <v>4283062</v>
      </c>
      <c r="E9" s="102" t="n">
        <v>45044</v>
      </c>
      <c r="F9" s="103" t="s">
        <v>44</v>
      </c>
      <c r="G9" s="5" t="n">
        <v>45047</v>
      </c>
      <c r="H9" s="104" t="s">
        <v>36</v>
      </c>
      <c r="I9" s="105"/>
      <c r="J9" s="106"/>
      <c r="K9" s="106"/>
      <c r="L9" s="106"/>
      <c r="M9" s="106"/>
      <c r="N9" s="105"/>
      <c r="O9" s="106"/>
      <c r="P9" s="105" t="n">
        <v>55</v>
      </c>
      <c r="Q9" s="7"/>
      <c r="R9" s="107"/>
      <c r="S9" s="105"/>
      <c r="T9" s="107" t="n">
        <v>12.5</v>
      </c>
      <c r="U9" s="108" t="n">
        <v>5.64</v>
      </c>
      <c r="V9" s="95" t="n">
        <f aca="false">SUM(I9:U9)</f>
        <v>73.14</v>
      </c>
      <c r="W9" s="109" t="s">
        <v>37</v>
      </c>
      <c r="X9" s="10" t="s">
        <v>38</v>
      </c>
      <c r="Y9" s="110" t="s">
        <v>39</v>
      </c>
      <c r="Z9" s="111"/>
      <c r="AA9" s="51"/>
    </row>
    <row r="10" s="10" customFormat="true" ht="14.1" hidden="false" customHeight="true" outlineLevel="0" collapsed="false">
      <c r="A10" s="100" t="s">
        <v>26</v>
      </c>
      <c r="B10" s="2" t="s">
        <v>45</v>
      </c>
      <c r="C10" s="3"/>
      <c r="D10" s="101" t="n">
        <v>4283064</v>
      </c>
      <c r="E10" s="102" t="n">
        <v>45044</v>
      </c>
      <c r="F10" s="103" t="s">
        <v>35</v>
      </c>
      <c r="G10" s="5" t="n">
        <v>45047</v>
      </c>
      <c r="H10" s="104" t="s">
        <v>46</v>
      </c>
      <c r="I10" s="105"/>
      <c r="J10" s="106"/>
      <c r="K10" s="106"/>
      <c r="L10" s="106"/>
      <c r="M10" s="106"/>
      <c r="N10" s="105"/>
      <c r="O10" s="106"/>
      <c r="P10" s="105"/>
      <c r="Q10" s="7"/>
      <c r="R10" s="107"/>
      <c r="S10" s="105" t="n">
        <v>350</v>
      </c>
      <c r="T10" s="107" t="n">
        <v>28</v>
      </c>
      <c r="U10" s="108" t="n">
        <v>31.06</v>
      </c>
      <c r="V10" s="95" t="n">
        <f aca="false">SUM(I10:U10)</f>
        <v>409.06</v>
      </c>
      <c r="W10" s="109" t="s">
        <v>37</v>
      </c>
      <c r="X10" s="10" t="s">
        <v>47</v>
      </c>
      <c r="Y10" s="110" t="s">
        <v>39</v>
      </c>
      <c r="Z10" s="111"/>
      <c r="AA10" s="51"/>
    </row>
    <row r="11" s="10" customFormat="true" ht="14.1" hidden="false" customHeight="true" outlineLevel="0" collapsed="false">
      <c r="A11" s="100" t="s">
        <v>48</v>
      </c>
      <c r="B11" s="2" t="s">
        <v>49</v>
      </c>
      <c r="C11" s="3"/>
      <c r="D11" s="101" t="n">
        <v>5013051</v>
      </c>
      <c r="E11" s="102" t="n">
        <v>45047</v>
      </c>
      <c r="F11" s="103" t="s">
        <v>13</v>
      </c>
      <c r="G11" s="5" t="n">
        <v>45047</v>
      </c>
      <c r="H11" s="104" t="s">
        <v>29</v>
      </c>
      <c r="I11" s="105"/>
      <c r="J11" s="106"/>
      <c r="K11" s="106"/>
      <c r="L11" s="106"/>
      <c r="M11" s="106"/>
      <c r="N11" s="105" t="n">
        <v>88</v>
      </c>
      <c r="O11" s="106"/>
      <c r="P11" s="105"/>
      <c r="Q11" s="7"/>
      <c r="R11" s="107"/>
      <c r="S11" s="105"/>
      <c r="T11" s="107"/>
      <c r="U11" s="108"/>
      <c r="V11" s="95" t="n">
        <f aca="false">SUM(I11:U11)</f>
        <v>88</v>
      </c>
      <c r="W11" s="109" t="s">
        <v>50</v>
      </c>
      <c r="X11" s="10" t="s">
        <v>48</v>
      </c>
      <c r="Y11" s="110" t="s">
        <v>39</v>
      </c>
      <c r="Z11" s="111"/>
      <c r="AA11" s="51"/>
    </row>
    <row r="12" s="10" customFormat="true" ht="14.1" hidden="false" customHeight="true" outlineLevel="0" collapsed="false">
      <c r="A12" s="100" t="s">
        <v>51</v>
      </c>
      <c r="B12" s="2" t="s">
        <v>52</v>
      </c>
      <c r="C12" s="3"/>
      <c r="D12" s="101" t="n">
        <v>5013052</v>
      </c>
      <c r="E12" s="102" t="n">
        <v>45047</v>
      </c>
      <c r="F12" s="103" t="s">
        <v>13</v>
      </c>
      <c r="G12" s="5" t="n">
        <v>45047</v>
      </c>
      <c r="H12" s="104" t="s">
        <v>29</v>
      </c>
      <c r="I12" s="105"/>
      <c r="J12" s="106"/>
      <c r="K12" s="106"/>
      <c r="L12" s="106"/>
      <c r="M12" s="106"/>
      <c r="N12" s="105" t="n">
        <v>49</v>
      </c>
      <c r="O12" s="106"/>
      <c r="P12" s="105"/>
      <c r="Q12" s="7"/>
      <c r="R12" s="107"/>
      <c r="S12" s="105"/>
      <c r="T12" s="107"/>
      <c r="U12" s="108"/>
      <c r="V12" s="95" t="n">
        <f aca="false">SUM(I12:U12)</f>
        <v>49</v>
      </c>
      <c r="W12" s="109" t="s">
        <v>50</v>
      </c>
      <c r="X12" s="10" t="s">
        <v>51</v>
      </c>
      <c r="Y12" s="110" t="s">
        <v>39</v>
      </c>
      <c r="Z12" s="111"/>
      <c r="AA12" s="51"/>
    </row>
    <row r="13" s="10" customFormat="true" ht="14.1" hidden="false" customHeight="true" outlineLevel="0" collapsed="false">
      <c r="A13" s="100" t="s">
        <v>26</v>
      </c>
      <c r="B13" s="2" t="s">
        <v>53</v>
      </c>
      <c r="C13" s="3"/>
      <c r="D13" s="101" t="n">
        <v>5013053</v>
      </c>
      <c r="E13" s="102" t="n">
        <v>45047</v>
      </c>
      <c r="F13" s="103" t="s">
        <v>54</v>
      </c>
      <c r="G13" s="5" t="n">
        <v>45047</v>
      </c>
      <c r="H13" s="104" t="s">
        <v>55</v>
      </c>
      <c r="I13" s="105"/>
      <c r="J13" s="106" t="n">
        <v>99</v>
      </c>
      <c r="K13" s="106"/>
      <c r="L13" s="106"/>
      <c r="M13" s="106"/>
      <c r="N13" s="105"/>
      <c r="O13" s="106"/>
      <c r="P13" s="105"/>
      <c r="Q13" s="7"/>
      <c r="R13" s="107"/>
      <c r="S13" s="105"/>
      <c r="T13" s="107"/>
      <c r="U13" s="108" t="n">
        <v>7.67</v>
      </c>
      <c r="V13" s="95" t="n">
        <f aca="false">SUM(I13:U13)</f>
        <v>106.67</v>
      </c>
      <c r="W13" s="109" t="s">
        <v>50</v>
      </c>
      <c r="X13" s="10" t="s">
        <v>26</v>
      </c>
      <c r="Y13" s="110" t="s">
        <v>39</v>
      </c>
      <c r="Z13" s="111"/>
      <c r="AA13" s="51"/>
    </row>
    <row r="14" s="10" customFormat="true" ht="14.1" hidden="false" customHeight="true" outlineLevel="0" collapsed="false">
      <c r="A14" s="100" t="s">
        <v>26</v>
      </c>
      <c r="B14" s="2" t="s">
        <v>56</v>
      </c>
      <c r="C14" s="3"/>
      <c r="D14" s="101" t="n">
        <v>5013261</v>
      </c>
      <c r="E14" s="102" t="n">
        <v>45047</v>
      </c>
      <c r="F14" s="103" t="s">
        <v>57</v>
      </c>
      <c r="G14" s="5" t="n">
        <v>45047</v>
      </c>
      <c r="H14" s="104" t="s">
        <v>58</v>
      </c>
      <c r="I14" s="105"/>
      <c r="J14" s="106"/>
      <c r="K14" s="106"/>
      <c r="L14" s="106"/>
      <c r="M14" s="106"/>
      <c r="N14" s="105"/>
      <c r="O14" s="106"/>
      <c r="P14" s="105"/>
      <c r="Q14" s="7" t="n">
        <v>45</v>
      </c>
      <c r="R14" s="107" t="n">
        <v>45</v>
      </c>
      <c r="S14" s="105"/>
      <c r="T14" s="107"/>
      <c r="U14" s="108"/>
      <c r="V14" s="95" t="n">
        <f aca="false">SUM(I14:U14)</f>
        <v>90</v>
      </c>
      <c r="W14" s="109" t="s">
        <v>30</v>
      </c>
      <c r="X14" s="10" t="s">
        <v>42</v>
      </c>
      <c r="Y14" s="110" t="s">
        <v>39</v>
      </c>
      <c r="Z14" s="111"/>
      <c r="AA14" s="51"/>
    </row>
    <row r="15" s="10" customFormat="true" ht="14.1" hidden="false" customHeight="true" outlineLevel="0" collapsed="false">
      <c r="A15" s="100" t="s">
        <v>42</v>
      </c>
      <c r="B15" s="2" t="s">
        <v>59</v>
      </c>
      <c r="C15" s="3"/>
      <c r="D15" s="101" t="n">
        <v>5013262</v>
      </c>
      <c r="E15" s="102" t="n">
        <v>45047</v>
      </c>
      <c r="F15" s="103" t="s">
        <v>60</v>
      </c>
      <c r="G15" s="5" t="n">
        <v>45047</v>
      </c>
      <c r="H15" s="104" t="s">
        <v>61</v>
      </c>
      <c r="I15" s="105"/>
      <c r="J15" s="106"/>
      <c r="K15" s="106"/>
      <c r="L15" s="106"/>
      <c r="M15" s="106"/>
      <c r="N15" s="105"/>
      <c r="O15" s="106"/>
      <c r="P15" s="105" t="n">
        <v>37.5</v>
      </c>
      <c r="Q15" s="7"/>
      <c r="R15" s="107"/>
      <c r="S15" s="105"/>
      <c r="T15" s="107" t="n">
        <v>12.5</v>
      </c>
      <c r="U15" s="108" t="n">
        <v>3.52</v>
      </c>
      <c r="V15" s="95" t="n">
        <f aca="false">SUM(I15:U15)</f>
        <v>53.52</v>
      </c>
      <c r="W15" s="109" t="s">
        <v>30</v>
      </c>
      <c r="X15" s="10" t="s">
        <v>42</v>
      </c>
      <c r="Y15" s="110" t="s">
        <v>39</v>
      </c>
      <c r="Z15" s="111"/>
      <c r="AA15" s="51"/>
    </row>
    <row r="16" s="10" customFormat="true" ht="14.1" hidden="false" customHeight="true" outlineLevel="0" collapsed="false">
      <c r="A16" s="100" t="s">
        <v>26</v>
      </c>
      <c r="B16" s="2" t="s">
        <v>62</v>
      </c>
      <c r="C16" s="3"/>
      <c r="D16" s="101" t="n">
        <v>5013101</v>
      </c>
      <c r="E16" s="102" t="n">
        <v>45047</v>
      </c>
      <c r="F16" s="103" t="s">
        <v>35</v>
      </c>
      <c r="G16" s="5" t="n">
        <v>45047</v>
      </c>
      <c r="H16" s="104" t="s">
        <v>63</v>
      </c>
      <c r="I16" s="105"/>
      <c r="J16" s="106"/>
      <c r="K16" s="106"/>
      <c r="L16" s="106"/>
      <c r="M16" s="106"/>
      <c r="N16" s="105"/>
      <c r="O16" s="106"/>
      <c r="P16" s="105"/>
      <c r="Q16" s="7"/>
      <c r="R16" s="107"/>
      <c r="S16" s="105" t="n">
        <v>253</v>
      </c>
      <c r="T16" s="107" t="n">
        <v>50</v>
      </c>
      <c r="U16" s="108" t="n">
        <v>24.04</v>
      </c>
      <c r="V16" s="95" t="n">
        <f aca="false">SUM(I16:U16)</f>
        <v>327.04</v>
      </c>
      <c r="W16" s="109" t="s">
        <v>37</v>
      </c>
      <c r="X16" s="10" t="s">
        <v>47</v>
      </c>
      <c r="Y16" s="110" t="s">
        <v>64</v>
      </c>
      <c r="Z16" s="111" t="s">
        <v>65</v>
      </c>
      <c r="AA16" s="51"/>
    </row>
    <row r="17" s="10" customFormat="true" ht="14.1" hidden="false" customHeight="true" outlineLevel="0" collapsed="false">
      <c r="A17" s="100"/>
      <c r="B17" s="2"/>
      <c r="C17" s="3"/>
      <c r="D17" s="101"/>
      <c r="E17" s="102"/>
      <c r="F17" s="103"/>
      <c r="G17" s="5"/>
      <c r="H17" s="104"/>
      <c r="I17" s="105"/>
      <c r="J17" s="106"/>
      <c r="K17" s="106"/>
      <c r="L17" s="106"/>
      <c r="M17" s="106"/>
      <c r="N17" s="105"/>
      <c r="O17" s="106"/>
      <c r="P17" s="105"/>
      <c r="Q17" s="7"/>
      <c r="R17" s="107"/>
      <c r="S17" s="105"/>
      <c r="T17" s="107"/>
      <c r="U17" s="108"/>
      <c r="V17" s="95" t="n">
        <f aca="false">SUM(I17:U17)</f>
        <v>0</v>
      </c>
      <c r="W17" s="109"/>
      <c r="Y17" s="110"/>
      <c r="Z17" s="111"/>
      <c r="AA17" s="51"/>
    </row>
    <row r="18" s="10" customFormat="true" ht="14.1" hidden="false" customHeight="true" outlineLevel="0" collapsed="false">
      <c r="A18" s="100"/>
      <c r="B18" s="2"/>
      <c r="C18" s="3"/>
      <c r="D18" s="101"/>
      <c r="E18" s="102"/>
      <c r="F18" s="103"/>
      <c r="G18" s="5"/>
      <c r="H18" s="104"/>
      <c r="I18" s="105"/>
      <c r="J18" s="106"/>
      <c r="K18" s="106"/>
      <c r="L18" s="106"/>
      <c r="M18" s="106"/>
      <c r="N18" s="105"/>
      <c r="O18" s="106"/>
      <c r="P18" s="105"/>
      <c r="Q18" s="7"/>
      <c r="R18" s="107"/>
      <c r="S18" s="105"/>
      <c r="T18" s="107"/>
      <c r="U18" s="108"/>
      <c r="V18" s="95" t="n">
        <f aca="false">SUM(I18:U18)</f>
        <v>0</v>
      </c>
      <c r="W18" s="109"/>
      <c r="Y18" s="110"/>
      <c r="Z18" s="111"/>
      <c r="AA18" s="51"/>
    </row>
    <row r="19" s="10" customFormat="true" ht="14.1" hidden="false" customHeight="true" outlineLevel="0" collapsed="false">
      <c r="A19" s="100"/>
      <c r="B19" s="2"/>
      <c r="C19" s="3"/>
      <c r="D19" s="101"/>
      <c r="E19" s="102"/>
      <c r="F19" s="103"/>
      <c r="G19" s="5"/>
      <c r="H19" s="104"/>
      <c r="I19" s="105"/>
      <c r="J19" s="106"/>
      <c r="K19" s="106"/>
      <c r="L19" s="106"/>
      <c r="M19" s="106"/>
      <c r="N19" s="105"/>
      <c r="O19" s="106"/>
      <c r="P19" s="105"/>
      <c r="Q19" s="7"/>
      <c r="R19" s="107"/>
      <c r="S19" s="105"/>
      <c r="T19" s="107"/>
      <c r="U19" s="108"/>
      <c r="V19" s="95" t="n">
        <f aca="false">SUM(I19:U19)</f>
        <v>0</v>
      </c>
      <c r="W19" s="109"/>
      <c r="Y19" s="110"/>
      <c r="Z19" s="111"/>
      <c r="AA19" s="51"/>
    </row>
    <row r="20" s="10" customFormat="true" ht="14.1" hidden="false" customHeight="true" outlineLevel="0" collapsed="false">
      <c r="A20" s="100"/>
      <c r="B20" s="2"/>
      <c r="C20" s="3"/>
      <c r="D20" s="101"/>
      <c r="E20" s="102"/>
      <c r="F20" s="103"/>
      <c r="G20" s="5"/>
      <c r="H20" s="104"/>
      <c r="I20" s="105"/>
      <c r="J20" s="106"/>
      <c r="K20" s="106"/>
      <c r="L20" s="106"/>
      <c r="M20" s="106"/>
      <c r="N20" s="105"/>
      <c r="O20" s="106"/>
      <c r="P20" s="105"/>
      <c r="Q20" s="7"/>
      <c r="R20" s="107"/>
      <c r="S20" s="105"/>
      <c r="T20" s="107"/>
      <c r="U20" s="108"/>
      <c r="V20" s="95" t="n">
        <f aca="false">SUM(I20:U20)</f>
        <v>0</v>
      </c>
      <c r="W20" s="109"/>
      <c r="Y20" s="110"/>
      <c r="Z20" s="111"/>
      <c r="AA20" s="51"/>
    </row>
    <row r="21" s="10" customFormat="true" ht="14.1" hidden="false" customHeight="true" outlineLevel="0" collapsed="false">
      <c r="A21" s="100"/>
      <c r="B21" s="2"/>
      <c r="C21" s="3"/>
      <c r="D21" s="101"/>
      <c r="E21" s="102"/>
      <c r="F21" s="103"/>
      <c r="G21" s="5"/>
      <c r="H21" s="104"/>
      <c r="I21" s="105"/>
      <c r="J21" s="106"/>
      <c r="K21" s="106"/>
      <c r="L21" s="106"/>
      <c r="M21" s="106"/>
      <c r="N21" s="105"/>
      <c r="O21" s="106"/>
      <c r="P21" s="105"/>
      <c r="Q21" s="7"/>
      <c r="R21" s="107"/>
      <c r="S21" s="105"/>
      <c r="T21" s="107"/>
      <c r="U21" s="108"/>
      <c r="V21" s="95" t="n">
        <f aca="false">SUM(I21:U21)</f>
        <v>0</v>
      </c>
      <c r="W21" s="109"/>
      <c r="Y21" s="110"/>
      <c r="Z21" s="111"/>
      <c r="AA21" s="51"/>
    </row>
    <row r="22" s="10" customFormat="true" ht="14.1" hidden="false" customHeight="true" outlineLevel="0" collapsed="false">
      <c r="A22" s="100"/>
      <c r="B22" s="2"/>
      <c r="C22" s="3"/>
      <c r="D22" s="101"/>
      <c r="E22" s="102"/>
      <c r="F22" s="103"/>
      <c r="G22" s="5"/>
      <c r="H22" s="104"/>
      <c r="I22" s="105"/>
      <c r="J22" s="106"/>
      <c r="K22" s="106"/>
      <c r="L22" s="106"/>
      <c r="M22" s="106"/>
      <c r="N22" s="105"/>
      <c r="O22" s="106"/>
      <c r="P22" s="105"/>
      <c r="Q22" s="7"/>
      <c r="R22" s="107"/>
      <c r="S22" s="105"/>
      <c r="T22" s="107"/>
      <c r="U22" s="108"/>
      <c r="V22" s="95" t="n">
        <f aca="false">SUM(I22:U22)</f>
        <v>0</v>
      </c>
      <c r="W22" s="109"/>
      <c r="Y22" s="110"/>
      <c r="Z22" s="111"/>
      <c r="AA22" s="51"/>
    </row>
    <row r="23" s="10" customFormat="true" ht="14.1" hidden="false" customHeight="true" outlineLevel="0" collapsed="false">
      <c r="A23" s="100"/>
      <c r="B23" s="2"/>
      <c r="C23" s="3"/>
      <c r="D23" s="101"/>
      <c r="E23" s="102"/>
      <c r="F23" s="103"/>
      <c r="G23" s="5"/>
      <c r="H23" s="104"/>
      <c r="I23" s="105"/>
      <c r="J23" s="106"/>
      <c r="K23" s="106"/>
      <c r="L23" s="106"/>
      <c r="M23" s="106"/>
      <c r="N23" s="105"/>
      <c r="O23" s="106"/>
      <c r="P23" s="105"/>
      <c r="Q23" s="7"/>
      <c r="R23" s="107"/>
      <c r="S23" s="105"/>
      <c r="T23" s="107"/>
      <c r="U23" s="108"/>
      <c r="V23" s="95" t="n">
        <f aca="false">SUM(I23:U23)</f>
        <v>0</v>
      </c>
      <c r="W23" s="109"/>
      <c r="Y23" s="110"/>
      <c r="Z23" s="111"/>
      <c r="AA23" s="51"/>
    </row>
    <row r="24" s="10" customFormat="true" ht="14.1" hidden="false" customHeight="true" outlineLevel="0" collapsed="false">
      <c r="A24" s="100"/>
      <c r="B24" s="2"/>
      <c r="C24" s="3"/>
      <c r="D24" s="101"/>
      <c r="E24" s="102"/>
      <c r="F24" s="103"/>
      <c r="G24" s="5"/>
      <c r="H24" s="104"/>
      <c r="I24" s="105"/>
      <c r="J24" s="106"/>
      <c r="K24" s="106"/>
      <c r="L24" s="106"/>
      <c r="M24" s="106"/>
      <c r="N24" s="105"/>
      <c r="O24" s="106"/>
      <c r="P24" s="105"/>
      <c r="Q24" s="7"/>
      <c r="R24" s="107"/>
      <c r="S24" s="105"/>
      <c r="T24" s="107"/>
      <c r="U24" s="108"/>
      <c r="V24" s="95" t="n">
        <f aca="false">SUM(I24:U24)</f>
        <v>0</v>
      </c>
      <c r="W24" s="109"/>
      <c r="Y24" s="110"/>
      <c r="Z24" s="111"/>
      <c r="AA24" s="51"/>
    </row>
    <row r="25" s="10" customFormat="true" ht="14.1" hidden="false" customHeight="true" outlineLevel="0" collapsed="false">
      <c r="A25" s="100"/>
      <c r="B25" s="2"/>
      <c r="C25" s="3"/>
      <c r="D25" s="101"/>
      <c r="E25" s="102"/>
      <c r="F25" s="103"/>
      <c r="G25" s="5"/>
      <c r="H25" s="104"/>
      <c r="I25" s="105"/>
      <c r="J25" s="106"/>
      <c r="K25" s="106"/>
      <c r="L25" s="106"/>
      <c r="M25" s="106"/>
      <c r="N25" s="105"/>
      <c r="O25" s="106"/>
      <c r="P25" s="105"/>
      <c r="Q25" s="7"/>
      <c r="R25" s="107"/>
      <c r="S25" s="105"/>
      <c r="T25" s="107"/>
      <c r="U25" s="108"/>
      <c r="V25" s="95" t="n">
        <f aca="false">SUM(I25:U25)</f>
        <v>0</v>
      </c>
      <c r="W25" s="109"/>
      <c r="Y25" s="110"/>
      <c r="Z25" s="111"/>
      <c r="AA25" s="51"/>
    </row>
    <row r="26" s="10" customFormat="true" ht="14.1" hidden="false" customHeight="true" outlineLevel="0" collapsed="false">
      <c r="A26" s="100"/>
      <c r="B26" s="2"/>
      <c r="C26" s="3"/>
      <c r="D26" s="101"/>
      <c r="E26" s="102"/>
      <c r="F26" s="103"/>
      <c r="G26" s="5"/>
      <c r="H26" s="104"/>
      <c r="I26" s="105"/>
      <c r="J26" s="106"/>
      <c r="K26" s="106"/>
      <c r="L26" s="106"/>
      <c r="M26" s="106"/>
      <c r="N26" s="105"/>
      <c r="O26" s="106"/>
      <c r="P26" s="105"/>
      <c r="Q26" s="7"/>
      <c r="R26" s="107"/>
      <c r="S26" s="105"/>
      <c r="T26" s="107"/>
      <c r="U26" s="108"/>
      <c r="V26" s="95" t="n">
        <f aca="false">SUM(I26:U26)</f>
        <v>0</v>
      </c>
      <c r="W26" s="109"/>
      <c r="Y26" s="110"/>
      <c r="Z26" s="111"/>
      <c r="AA26" s="51"/>
    </row>
    <row r="27" s="10" customFormat="true" ht="14.1" hidden="false" customHeight="true" outlineLevel="0" collapsed="false">
      <c r="A27" s="100"/>
      <c r="B27" s="2"/>
      <c r="C27" s="3"/>
      <c r="D27" s="101"/>
      <c r="E27" s="102"/>
      <c r="F27" s="103"/>
      <c r="G27" s="5"/>
      <c r="H27" s="104"/>
      <c r="I27" s="105"/>
      <c r="J27" s="106"/>
      <c r="K27" s="106"/>
      <c r="L27" s="106"/>
      <c r="M27" s="106"/>
      <c r="N27" s="105"/>
      <c r="O27" s="106"/>
      <c r="P27" s="105"/>
      <c r="Q27" s="7"/>
      <c r="R27" s="107"/>
      <c r="S27" s="105"/>
      <c r="T27" s="107"/>
      <c r="U27" s="108"/>
      <c r="V27" s="95" t="n">
        <f aca="false">SUM(I27:U27)</f>
        <v>0</v>
      </c>
      <c r="W27" s="109"/>
      <c r="Y27" s="110"/>
      <c r="Z27" s="111"/>
      <c r="AA27" s="51"/>
    </row>
    <row r="28" s="10" customFormat="true" ht="14.1" hidden="false" customHeight="true" outlineLevel="0" collapsed="false">
      <c r="A28" s="100"/>
      <c r="B28" s="2"/>
      <c r="C28" s="3"/>
      <c r="D28" s="101"/>
      <c r="E28" s="102"/>
      <c r="F28" s="103"/>
      <c r="G28" s="5"/>
      <c r="H28" s="104"/>
      <c r="I28" s="105"/>
      <c r="J28" s="106"/>
      <c r="K28" s="106"/>
      <c r="L28" s="106"/>
      <c r="M28" s="106"/>
      <c r="N28" s="105"/>
      <c r="O28" s="106"/>
      <c r="P28" s="105"/>
      <c r="Q28" s="7"/>
      <c r="R28" s="107"/>
      <c r="S28" s="105"/>
      <c r="T28" s="107"/>
      <c r="U28" s="108"/>
      <c r="V28" s="95" t="n">
        <f aca="false">SUM(I28:U28)</f>
        <v>0</v>
      </c>
      <c r="W28" s="109"/>
      <c r="Y28" s="110"/>
      <c r="Z28" s="111"/>
      <c r="AA28" s="51"/>
    </row>
    <row r="29" s="10" customFormat="true" ht="14.1" hidden="false" customHeight="true" outlineLevel="0" collapsed="false">
      <c r="A29" s="100"/>
      <c r="B29" s="2"/>
      <c r="C29" s="3"/>
      <c r="D29" s="101"/>
      <c r="E29" s="102"/>
      <c r="F29" s="103"/>
      <c r="G29" s="5"/>
      <c r="H29" s="104"/>
      <c r="I29" s="105"/>
      <c r="J29" s="106"/>
      <c r="K29" s="106"/>
      <c r="L29" s="106"/>
      <c r="M29" s="106"/>
      <c r="N29" s="105"/>
      <c r="O29" s="106"/>
      <c r="P29" s="105"/>
      <c r="Q29" s="7"/>
      <c r="R29" s="107"/>
      <c r="S29" s="105"/>
      <c r="T29" s="107"/>
      <c r="U29" s="108"/>
      <c r="V29" s="95" t="n">
        <f aca="false">SUM(I29:U29)</f>
        <v>0</v>
      </c>
      <c r="W29" s="109"/>
      <c r="Y29" s="110"/>
      <c r="Z29" s="111"/>
      <c r="AA29" s="51"/>
    </row>
    <row r="30" s="10" customFormat="true" ht="14.1" hidden="false" customHeight="true" outlineLevel="0" collapsed="false">
      <c r="A30" s="100"/>
      <c r="B30" s="2"/>
      <c r="C30" s="3"/>
      <c r="D30" s="101"/>
      <c r="E30" s="102"/>
      <c r="F30" s="103"/>
      <c r="G30" s="5"/>
      <c r="H30" s="104"/>
      <c r="I30" s="105"/>
      <c r="J30" s="106"/>
      <c r="K30" s="106"/>
      <c r="L30" s="106"/>
      <c r="M30" s="106"/>
      <c r="N30" s="105"/>
      <c r="O30" s="106"/>
      <c r="P30" s="105"/>
      <c r="Q30" s="7"/>
      <c r="R30" s="107"/>
      <c r="S30" s="105"/>
      <c r="T30" s="107"/>
      <c r="U30" s="108"/>
      <c r="V30" s="95" t="n">
        <f aca="false">SUM(I30:U30)</f>
        <v>0</v>
      </c>
      <c r="W30" s="109"/>
      <c r="Y30" s="110"/>
      <c r="Z30" s="111"/>
      <c r="AA30" s="51"/>
    </row>
    <row r="31" s="10" customFormat="true" ht="14.1" hidden="false" customHeight="true" outlineLevel="0" collapsed="false">
      <c r="A31" s="100"/>
      <c r="B31" s="2"/>
      <c r="C31" s="3"/>
      <c r="D31" s="101"/>
      <c r="E31" s="102"/>
      <c r="F31" s="103"/>
      <c r="G31" s="5"/>
      <c r="H31" s="104"/>
      <c r="I31" s="105"/>
      <c r="J31" s="106"/>
      <c r="K31" s="106"/>
      <c r="L31" s="106"/>
      <c r="M31" s="106"/>
      <c r="N31" s="105"/>
      <c r="O31" s="106"/>
      <c r="P31" s="105"/>
      <c r="Q31" s="7"/>
      <c r="R31" s="107"/>
      <c r="S31" s="105"/>
      <c r="T31" s="107"/>
      <c r="U31" s="108"/>
      <c r="V31" s="95" t="n">
        <f aca="false">SUM(I31:U31)</f>
        <v>0</v>
      </c>
      <c r="W31" s="109"/>
      <c r="Y31" s="110"/>
      <c r="Z31" s="111"/>
      <c r="AA31" s="51"/>
    </row>
    <row r="32" s="10" customFormat="true" ht="14.1" hidden="false" customHeight="true" outlineLevel="0" collapsed="false">
      <c r="A32" s="100"/>
      <c r="B32" s="2"/>
      <c r="C32" s="3"/>
      <c r="D32" s="101"/>
      <c r="E32" s="102"/>
      <c r="F32" s="103"/>
      <c r="G32" s="5"/>
      <c r="H32" s="104"/>
      <c r="I32" s="105"/>
      <c r="J32" s="106"/>
      <c r="K32" s="106"/>
      <c r="L32" s="106"/>
      <c r="M32" s="106"/>
      <c r="N32" s="105"/>
      <c r="O32" s="106"/>
      <c r="P32" s="105"/>
      <c r="Q32" s="7"/>
      <c r="R32" s="107"/>
      <c r="S32" s="105"/>
      <c r="T32" s="107"/>
      <c r="U32" s="108"/>
      <c r="V32" s="95" t="n">
        <f aca="false">SUM(I32:U32)</f>
        <v>0</v>
      </c>
      <c r="W32" s="109"/>
      <c r="Y32" s="110"/>
      <c r="Z32" s="111"/>
      <c r="AA32" s="51"/>
    </row>
    <row r="33" s="10" customFormat="true" ht="14.1" hidden="false" customHeight="true" outlineLevel="0" collapsed="false">
      <c r="A33" s="100"/>
      <c r="B33" s="2"/>
      <c r="C33" s="3"/>
      <c r="D33" s="101"/>
      <c r="E33" s="102"/>
      <c r="F33" s="103"/>
      <c r="G33" s="5"/>
      <c r="H33" s="104"/>
      <c r="I33" s="105"/>
      <c r="J33" s="106"/>
      <c r="K33" s="106"/>
      <c r="L33" s="106"/>
      <c r="M33" s="106"/>
      <c r="N33" s="105"/>
      <c r="O33" s="106"/>
      <c r="P33" s="105"/>
      <c r="Q33" s="7"/>
      <c r="R33" s="107"/>
      <c r="S33" s="105"/>
      <c r="T33" s="107"/>
      <c r="U33" s="108"/>
      <c r="V33" s="95" t="n">
        <f aca="false">SUM(I33:U33)</f>
        <v>0</v>
      </c>
      <c r="W33" s="109"/>
      <c r="Y33" s="110"/>
      <c r="Z33" s="111"/>
      <c r="AA33" s="51"/>
    </row>
    <row r="34" s="10" customFormat="true" ht="14.1" hidden="false" customHeight="true" outlineLevel="0" collapsed="false">
      <c r="A34" s="100"/>
      <c r="B34" s="2"/>
      <c r="C34" s="3"/>
      <c r="D34" s="101"/>
      <c r="E34" s="102"/>
      <c r="F34" s="103"/>
      <c r="G34" s="5"/>
      <c r="H34" s="104"/>
      <c r="I34" s="105"/>
      <c r="J34" s="106"/>
      <c r="K34" s="106"/>
      <c r="L34" s="106"/>
      <c r="M34" s="106"/>
      <c r="N34" s="105"/>
      <c r="O34" s="106"/>
      <c r="P34" s="105"/>
      <c r="Q34" s="7"/>
      <c r="R34" s="107"/>
      <c r="S34" s="105"/>
      <c r="T34" s="107"/>
      <c r="U34" s="108"/>
      <c r="V34" s="95" t="n">
        <f aca="false">SUM(I34:U34)</f>
        <v>0</v>
      </c>
      <c r="W34" s="109"/>
      <c r="Y34" s="110"/>
      <c r="Z34" s="111"/>
      <c r="AA34" s="51"/>
    </row>
    <row r="35" s="10" customFormat="true" ht="14.1" hidden="false" customHeight="true" outlineLevel="0" collapsed="false">
      <c r="A35" s="100"/>
      <c r="B35" s="2"/>
      <c r="C35" s="3"/>
      <c r="D35" s="101"/>
      <c r="E35" s="102"/>
      <c r="F35" s="103"/>
      <c r="G35" s="5"/>
      <c r="H35" s="104"/>
      <c r="I35" s="105"/>
      <c r="J35" s="106"/>
      <c r="K35" s="106"/>
      <c r="L35" s="106"/>
      <c r="M35" s="106"/>
      <c r="N35" s="105"/>
      <c r="O35" s="106"/>
      <c r="P35" s="105"/>
      <c r="Q35" s="7"/>
      <c r="R35" s="107"/>
      <c r="S35" s="105"/>
      <c r="T35" s="107"/>
      <c r="U35" s="108"/>
      <c r="V35" s="95"/>
      <c r="W35" s="109"/>
      <c r="Y35" s="110"/>
      <c r="Z35" s="111"/>
      <c r="AA35" s="51"/>
    </row>
    <row r="36" s="10" customFormat="true" ht="14.1" hidden="false" customHeight="true" outlineLevel="0" collapsed="false">
      <c r="A36" s="113"/>
      <c r="B36" s="114" t="s">
        <v>21</v>
      </c>
      <c r="C36" s="115"/>
      <c r="D36" s="116"/>
      <c r="E36" s="117"/>
      <c r="F36" s="115"/>
      <c r="G36" s="118"/>
      <c r="H36" s="119"/>
      <c r="I36" s="120" t="n">
        <f aca="false">SUM(I5:I35)</f>
        <v>895</v>
      </c>
      <c r="J36" s="120" t="n">
        <f aca="false">SUM(J5:J35)</f>
        <v>99</v>
      </c>
      <c r="K36" s="120" t="n">
        <f aca="false">SUM(K5:K35)</f>
        <v>0</v>
      </c>
      <c r="L36" s="121" t="n">
        <f aca="false">SUM(L5:L35)</f>
        <v>0</v>
      </c>
      <c r="M36" s="122" t="n">
        <f aca="false">SUM(M5:M35)</f>
        <v>0</v>
      </c>
      <c r="N36" s="123" t="n">
        <f aca="false">SUM(N5:O35)</f>
        <v>137</v>
      </c>
      <c r="O36" s="123"/>
      <c r="P36" s="124" t="n">
        <f aca="false">SUM(P5:P35)</f>
        <v>92.5</v>
      </c>
      <c r="Q36" s="124" t="n">
        <f aca="false">SUM(Q5:Q35)</f>
        <v>125</v>
      </c>
      <c r="R36" s="124" t="n">
        <f aca="false">SUM(R5:R35)</f>
        <v>90</v>
      </c>
      <c r="S36" s="125" t="n">
        <f aca="false">SUM(S5:S35)</f>
        <v>732</v>
      </c>
      <c r="T36" s="125" t="n">
        <f aca="false">SUM(T5:T35)</f>
        <v>140.5</v>
      </c>
      <c r="U36" s="126" t="n">
        <f aca="false">SUM(U5:U35)</f>
        <v>167.76</v>
      </c>
      <c r="V36" s="127" t="n">
        <f aca="false">SUM(V5:V35)</f>
        <v>2478.76</v>
      </c>
      <c r="W36" s="128"/>
      <c r="X36" s="129"/>
      <c r="Y36" s="130"/>
      <c r="Z36" s="131"/>
      <c r="AA36" s="126" t="n">
        <f aca="false">SUM(AA5:AA35)</f>
        <v>0</v>
      </c>
    </row>
    <row r="37" s="8" customFormat="true" ht="12.75" hidden="false" customHeight="true" outlineLevel="0" collapsed="false">
      <c r="A37" s="1"/>
      <c r="C37" s="132"/>
      <c r="D37" s="132"/>
      <c r="F37" s="132"/>
      <c r="G37" s="133"/>
      <c r="H37" s="134"/>
      <c r="X37" s="9"/>
      <c r="Y37" s="9"/>
      <c r="Z37" s="135"/>
    </row>
    <row r="38" customFormat="false" ht="14.25" hidden="false" customHeight="true" outlineLevel="0" collapsed="false">
      <c r="S38" s="8"/>
    </row>
    <row r="39" customFormat="false" ht="9" hidden="false" customHeight="true" outlineLevel="0" collapsed="false">
      <c r="S39" s="8"/>
    </row>
  </sheetData>
  <mergeCells count="2">
    <mergeCell ref="A1:B1"/>
    <mergeCell ref="N36:O36"/>
  </mergeCells>
  <printOptions headings="false" gridLines="true" gridLinesSet="true" horizontalCentered="false" verticalCentered="false"/>
  <pageMargins left="0" right="0" top="0.5" bottom="0" header="0.2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>&amp;C&amp;"Arial,Bold"Page &amp;P of &amp;N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A74" activeCellId="0" sqref="1:1048576"/>
    </sheetView>
  </sheetViews>
  <sheetFormatPr defaultColWidth="6.89453125" defaultRowHeight="9.75" zeroHeight="false" outlineLevelRow="0" outlineLevelCol="0"/>
  <cols>
    <col collapsed="false" customWidth="true" hidden="false" outlineLevel="0" max="1" min="1" style="2" width="4.44"/>
    <col collapsed="false" customWidth="true" hidden="false" outlineLevel="0" max="2" min="2" style="2" width="18.33"/>
    <col collapsed="false" customWidth="true" hidden="false" outlineLevel="0" max="3" min="3" style="2" width="10.89"/>
    <col collapsed="false" customWidth="true" hidden="false" outlineLevel="0" max="4" min="4" style="136" width="9.11"/>
    <col collapsed="false" customWidth="true" hidden="false" outlineLevel="0" max="5" min="5" style="4" width="5.01"/>
    <col collapsed="false" customWidth="true" hidden="false" outlineLevel="0" max="6" min="6" style="137" width="10.33"/>
    <col collapsed="false" customWidth="true" hidden="false" outlineLevel="0" max="7" min="7" style="138" width="5.55"/>
    <col collapsed="false" customWidth="true" hidden="false" outlineLevel="0" max="8" min="8" style="7" width="6.66"/>
    <col collapsed="false" customWidth="true" hidden="false" outlineLevel="0" max="9" min="9" style="7" width="5.1"/>
    <col collapsed="false" customWidth="true" hidden="false" outlineLevel="0" max="10" min="10" style="7" width="5.55"/>
    <col collapsed="false" customWidth="true" hidden="false" outlineLevel="0" max="11" min="11" style="7" width="5.1"/>
    <col collapsed="false" customWidth="true" hidden="false" outlineLevel="0" max="12" min="12" style="7" width="4.89"/>
    <col collapsed="false" customWidth="true" hidden="false" outlineLevel="0" max="13" min="13" style="7" width="6.11"/>
    <col collapsed="false" customWidth="true" hidden="false" outlineLevel="0" max="14" min="14" style="7" width="5.44"/>
    <col collapsed="false" customWidth="true" hidden="false" outlineLevel="0" max="15" min="15" style="7" width="6.34"/>
    <col collapsed="false" customWidth="true" hidden="false" outlineLevel="0" max="16" min="16" style="7" width="6.66"/>
    <col collapsed="false" customWidth="true" hidden="false" outlineLevel="0" max="17" min="17" style="8" width="5.66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9" width="6.34"/>
    <col collapsed="false" customWidth="true" hidden="false" outlineLevel="0" max="21" min="21" style="140" width="9.11"/>
    <col collapsed="false" customWidth="true" hidden="false" outlineLevel="0" max="22" min="22" style="11" width="9"/>
    <col collapsed="false" customWidth="true" hidden="false" outlineLevel="0" max="23" min="23" style="10" width="6.66"/>
    <col collapsed="false" customWidth="true" hidden="false" outlineLevel="0" max="24" min="24" style="10" width="3.56"/>
    <col collapsed="false" customWidth="true" hidden="false" outlineLevel="0" max="25" min="25" style="3" width="7.56"/>
    <col collapsed="false" customWidth="true" hidden="false" outlineLevel="0" max="26" min="26" style="2" width="8.56"/>
    <col collapsed="false" customWidth="true" hidden="false" outlineLevel="0" max="27" min="27" style="2" width="7.44"/>
    <col collapsed="false" customWidth="false" hidden="false" outlineLevel="0" max="1024" min="28" style="2" width="6.88"/>
  </cols>
  <sheetData>
    <row r="1" customFormat="false" ht="18.75" hidden="false" customHeight="true" outlineLevel="0" collapsed="false">
      <c r="A1" s="141"/>
      <c r="B1" s="142" t="n">
        <v>45048</v>
      </c>
      <c r="C1" s="143"/>
      <c r="D1" s="144"/>
      <c r="E1" s="145" t="s">
        <v>66</v>
      </c>
      <c r="F1" s="146"/>
      <c r="G1" s="146"/>
      <c r="H1" s="147" t="s">
        <v>67</v>
      </c>
      <c r="I1" s="148"/>
      <c r="K1" s="149" t="s">
        <v>68</v>
      </c>
      <c r="L1" s="149"/>
      <c r="M1" s="150"/>
      <c r="N1" s="149"/>
      <c r="O1" s="151" t="s">
        <v>69</v>
      </c>
      <c r="P1" s="152"/>
      <c r="Q1" s="153"/>
      <c r="R1" s="154"/>
      <c r="S1" s="155"/>
      <c r="T1" s="156"/>
      <c r="U1" s="157"/>
      <c r="V1" s="158"/>
      <c r="W1" s="11"/>
      <c r="X1" s="11"/>
    </row>
    <row r="2" s="10" customFormat="true" ht="12.75" hidden="false" customHeight="true" outlineLevel="0" collapsed="false">
      <c r="A2" s="29" t="s">
        <v>70</v>
      </c>
      <c r="B2" s="159" t="s">
        <v>1</v>
      </c>
      <c r="C2" s="159"/>
      <c r="D2" s="160" t="s">
        <v>3</v>
      </c>
      <c r="E2" s="161" t="s">
        <v>71</v>
      </c>
      <c r="F2" s="162" t="s">
        <v>5</v>
      </c>
      <c r="G2" s="163" t="s">
        <v>72</v>
      </c>
      <c r="H2" s="164" t="s">
        <v>73</v>
      </c>
      <c r="I2" s="164" t="s">
        <v>74</v>
      </c>
      <c r="J2" s="164" t="s">
        <v>75</v>
      </c>
      <c r="K2" s="164" t="s">
        <v>76</v>
      </c>
      <c r="L2" s="129" t="s">
        <v>12</v>
      </c>
      <c r="M2" s="165" t="s">
        <v>77</v>
      </c>
      <c r="N2" s="129" t="s">
        <v>78</v>
      </c>
      <c r="O2" s="164" t="s">
        <v>79</v>
      </c>
      <c r="P2" s="164" t="s">
        <v>80</v>
      </c>
      <c r="Q2" s="129" t="s">
        <v>81</v>
      </c>
      <c r="R2" s="164" t="s">
        <v>82</v>
      </c>
      <c r="S2" s="164" t="s">
        <v>19</v>
      </c>
      <c r="T2" s="166" t="s">
        <v>20</v>
      </c>
      <c r="U2" s="159" t="s">
        <v>21</v>
      </c>
      <c r="V2" s="140"/>
      <c r="W2" s="167"/>
      <c r="X2" s="167"/>
      <c r="Y2" s="168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9"/>
      <c r="X3" s="169"/>
      <c r="Y3" s="170"/>
      <c r="Z3" s="171"/>
    </row>
    <row r="4" s="10" customFormat="true" ht="14.1" hidden="false" customHeight="true" outlineLevel="0" collapsed="false">
      <c r="A4" s="172" t="s">
        <v>26</v>
      </c>
      <c r="B4" s="173" t="s">
        <v>83</v>
      </c>
      <c r="C4" s="174"/>
      <c r="D4" s="175" t="n">
        <v>12162102</v>
      </c>
      <c r="E4" s="176" t="n">
        <v>44911</v>
      </c>
      <c r="F4" s="177" t="s">
        <v>35</v>
      </c>
      <c r="G4" s="178" t="n">
        <v>44911</v>
      </c>
      <c r="H4" s="179"/>
      <c r="I4" s="180"/>
      <c r="J4" s="180"/>
      <c r="K4" s="180"/>
      <c r="L4" s="180"/>
      <c r="M4" s="179"/>
      <c r="N4" s="180"/>
      <c r="O4" s="179"/>
      <c r="P4" s="181"/>
      <c r="Q4" s="182"/>
      <c r="R4" s="179" t="n">
        <v>149</v>
      </c>
      <c r="S4" s="182"/>
      <c r="T4" s="183" t="n">
        <v>12.29</v>
      </c>
      <c r="U4" s="184" t="n">
        <f aca="false">SUM(H4:T4)</f>
        <v>161.29</v>
      </c>
      <c r="V4" s="185" t="s">
        <v>84</v>
      </c>
      <c r="W4" s="186" t="s">
        <v>85</v>
      </c>
      <c r="X4" s="110" t="s">
        <v>39</v>
      </c>
      <c r="Y4" s="187" t="s">
        <v>86</v>
      </c>
      <c r="Z4" s="51"/>
    </row>
    <row r="5" s="10" customFormat="true" ht="14.1" hidden="false" customHeight="true" outlineLevel="0" collapsed="false">
      <c r="A5" s="172" t="s">
        <v>26</v>
      </c>
      <c r="B5" s="173" t="s">
        <v>87</v>
      </c>
      <c r="C5" s="174"/>
      <c r="D5" s="175" t="n">
        <v>12192104</v>
      </c>
      <c r="E5" s="176" t="n">
        <v>44914</v>
      </c>
      <c r="F5" s="177" t="s">
        <v>35</v>
      </c>
      <c r="G5" s="178" t="n">
        <v>44914</v>
      </c>
      <c r="H5" s="179"/>
      <c r="I5" s="180"/>
      <c r="J5" s="180"/>
      <c r="K5" s="180"/>
      <c r="L5" s="180"/>
      <c r="M5" s="179"/>
      <c r="N5" s="180"/>
      <c r="O5" s="179"/>
      <c r="P5" s="181"/>
      <c r="Q5" s="182"/>
      <c r="R5" s="179" t="n">
        <v>39</v>
      </c>
      <c r="S5" s="182" t="n">
        <v>10</v>
      </c>
      <c r="T5" s="183" t="n">
        <v>3.36</v>
      </c>
      <c r="U5" s="184" t="n">
        <f aca="false">SUM(H5:T5)</f>
        <v>52.36</v>
      </c>
      <c r="V5" s="185" t="s">
        <v>88</v>
      </c>
      <c r="W5" s="186" t="s">
        <v>38</v>
      </c>
      <c r="X5" s="110" t="s">
        <v>39</v>
      </c>
      <c r="Y5" s="187" t="s">
        <v>86</v>
      </c>
      <c r="Z5" s="51"/>
    </row>
    <row r="6" s="10" customFormat="true" ht="14.1" hidden="false" customHeight="true" outlineLevel="0" collapsed="false">
      <c r="A6" s="172" t="s">
        <v>26</v>
      </c>
      <c r="B6" s="173" t="s">
        <v>89</v>
      </c>
      <c r="C6" s="174"/>
      <c r="D6" s="175" t="n">
        <v>12212102</v>
      </c>
      <c r="E6" s="176" t="n">
        <v>44916</v>
      </c>
      <c r="F6" s="188" t="s">
        <v>35</v>
      </c>
      <c r="G6" s="178" t="n">
        <v>44916</v>
      </c>
      <c r="H6" s="179"/>
      <c r="I6" s="180"/>
      <c r="J6" s="180"/>
      <c r="K6" s="180"/>
      <c r="L6" s="180"/>
      <c r="M6" s="179"/>
      <c r="N6" s="180"/>
      <c r="O6" s="179"/>
      <c r="P6" s="181"/>
      <c r="Q6" s="182"/>
      <c r="R6" s="179" t="n">
        <v>233</v>
      </c>
      <c r="S6" s="182" t="n">
        <v>40</v>
      </c>
      <c r="T6" s="183" t="n">
        <v>23.88</v>
      </c>
      <c r="U6" s="184" t="n">
        <f aca="false">SUM(H6:T6)</f>
        <v>296.88</v>
      </c>
      <c r="V6" s="185" t="s">
        <v>88</v>
      </c>
      <c r="W6" s="186" t="s">
        <v>38</v>
      </c>
      <c r="X6" s="110" t="s">
        <v>39</v>
      </c>
      <c r="Y6" s="187" t="s">
        <v>86</v>
      </c>
      <c r="Z6" s="51"/>
    </row>
    <row r="7" s="10" customFormat="true" ht="14.1" hidden="false" customHeight="true" outlineLevel="0" collapsed="false">
      <c r="A7" s="172" t="s">
        <v>26</v>
      </c>
      <c r="B7" s="173" t="s">
        <v>90</v>
      </c>
      <c r="C7" s="174"/>
      <c r="D7" s="175" t="n">
        <v>12222102</v>
      </c>
      <c r="E7" s="176" t="n">
        <v>44917</v>
      </c>
      <c r="F7" s="177" t="s">
        <v>35</v>
      </c>
      <c r="G7" s="178" t="n">
        <v>44917</v>
      </c>
      <c r="H7" s="179"/>
      <c r="I7" s="180"/>
      <c r="J7" s="180"/>
      <c r="K7" s="180"/>
      <c r="L7" s="180"/>
      <c r="M7" s="179"/>
      <c r="N7" s="180"/>
      <c r="O7" s="179"/>
      <c r="P7" s="181"/>
      <c r="Q7" s="182"/>
      <c r="R7" s="179" t="n">
        <v>323</v>
      </c>
      <c r="S7" s="182" t="n">
        <v>70</v>
      </c>
      <c r="T7" s="183" t="n">
        <v>30.28</v>
      </c>
      <c r="U7" s="184" t="n">
        <f aca="false">SUM(H7:T7)</f>
        <v>423.28</v>
      </c>
      <c r="V7" s="185" t="s">
        <v>88</v>
      </c>
      <c r="W7" s="186" t="s">
        <v>38</v>
      </c>
      <c r="X7" s="110" t="s">
        <v>39</v>
      </c>
      <c r="Y7" s="187" t="s">
        <v>86</v>
      </c>
      <c r="Z7" s="51"/>
    </row>
    <row r="8" s="10" customFormat="true" ht="14.1" hidden="false" customHeight="true" outlineLevel="0" collapsed="false">
      <c r="A8" s="172" t="s">
        <v>26</v>
      </c>
      <c r="B8" s="173" t="s">
        <v>91</v>
      </c>
      <c r="C8" s="174"/>
      <c r="D8" s="175" t="n">
        <v>12272103</v>
      </c>
      <c r="E8" s="176" t="n">
        <v>44922</v>
      </c>
      <c r="F8" s="177" t="s">
        <v>35</v>
      </c>
      <c r="G8" s="178" t="n">
        <v>44922</v>
      </c>
      <c r="H8" s="179"/>
      <c r="I8" s="180"/>
      <c r="J8" s="180"/>
      <c r="K8" s="180"/>
      <c r="L8" s="180"/>
      <c r="M8" s="179"/>
      <c r="N8" s="180"/>
      <c r="O8" s="179"/>
      <c r="P8" s="181"/>
      <c r="Q8" s="182"/>
      <c r="R8" s="179" t="n">
        <v>149</v>
      </c>
      <c r="S8" s="182" t="n">
        <v>30</v>
      </c>
      <c r="T8" s="183" t="n">
        <v>12.67</v>
      </c>
      <c r="U8" s="184" t="n">
        <f aca="false">SUM(H8:T8)</f>
        <v>191.67</v>
      </c>
      <c r="V8" s="185" t="s">
        <v>88</v>
      </c>
      <c r="W8" s="186" t="s">
        <v>38</v>
      </c>
      <c r="X8" s="110" t="s">
        <v>39</v>
      </c>
      <c r="Y8" s="187" t="s">
        <v>86</v>
      </c>
      <c r="Z8" s="51"/>
    </row>
    <row r="9" s="10" customFormat="true" ht="14.1" hidden="false" customHeight="true" outlineLevel="0" collapsed="false">
      <c r="A9" s="172" t="s">
        <v>26</v>
      </c>
      <c r="B9" s="173" t="s">
        <v>92</v>
      </c>
      <c r="C9" s="174"/>
      <c r="D9" s="175" t="n">
        <v>12282103</v>
      </c>
      <c r="E9" s="176" t="n">
        <v>44923</v>
      </c>
      <c r="F9" s="177" t="s">
        <v>35</v>
      </c>
      <c r="G9" s="178" t="n">
        <v>44923</v>
      </c>
      <c r="H9" s="179"/>
      <c r="I9" s="180"/>
      <c r="J9" s="180"/>
      <c r="K9" s="180"/>
      <c r="L9" s="180"/>
      <c r="M9" s="179"/>
      <c r="N9" s="180"/>
      <c r="O9" s="179"/>
      <c r="P9" s="181"/>
      <c r="Q9" s="182"/>
      <c r="R9" s="179" t="n">
        <v>45</v>
      </c>
      <c r="S9" s="182" t="n">
        <v>10</v>
      </c>
      <c r="T9" s="183" t="n">
        <v>3.83</v>
      </c>
      <c r="U9" s="184" t="n">
        <f aca="false">SUM(H9:T9)</f>
        <v>58.83</v>
      </c>
      <c r="V9" s="185" t="s">
        <v>88</v>
      </c>
      <c r="W9" s="186" t="s">
        <v>47</v>
      </c>
      <c r="X9" s="110" t="s">
        <v>39</v>
      </c>
      <c r="Y9" s="187" t="s">
        <v>86</v>
      </c>
      <c r="Z9" s="51"/>
    </row>
    <row r="10" s="10" customFormat="true" ht="14.1" hidden="false" customHeight="true" outlineLevel="0" collapsed="false">
      <c r="A10" s="172" t="s">
        <v>26</v>
      </c>
      <c r="B10" s="173" t="s">
        <v>93</v>
      </c>
      <c r="C10" s="174"/>
      <c r="D10" s="175" t="n">
        <v>1093102</v>
      </c>
      <c r="E10" s="176" t="n">
        <v>44935</v>
      </c>
      <c r="F10" s="177" t="s">
        <v>35</v>
      </c>
      <c r="G10" s="178" t="n">
        <v>44935</v>
      </c>
      <c r="H10" s="179"/>
      <c r="I10" s="180"/>
      <c r="J10" s="180"/>
      <c r="K10" s="180"/>
      <c r="L10" s="180"/>
      <c r="M10" s="179"/>
      <c r="N10" s="180"/>
      <c r="O10" s="179"/>
      <c r="P10" s="181"/>
      <c r="Q10" s="182"/>
      <c r="R10" s="179" t="n">
        <v>169</v>
      </c>
      <c r="S10" s="182" t="n">
        <v>30</v>
      </c>
      <c r="T10" s="183" t="n">
        <v>13.94</v>
      </c>
      <c r="U10" s="184" t="n">
        <f aca="false">SUM(H10:T10)</f>
        <v>212.94</v>
      </c>
      <c r="V10" s="185" t="s">
        <v>88</v>
      </c>
      <c r="W10" s="186" t="s">
        <v>38</v>
      </c>
      <c r="X10" s="110" t="s">
        <v>39</v>
      </c>
      <c r="Y10" s="187" t="s">
        <v>86</v>
      </c>
      <c r="Z10" s="51"/>
    </row>
    <row r="11" s="10" customFormat="true" ht="14.1" hidden="false" customHeight="true" outlineLevel="0" collapsed="false">
      <c r="A11" s="172" t="s">
        <v>26</v>
      </c>
      <c r="B11" s="173" t="s">
        <v>94</v>
      </c>
      <c r="C11" s="174"/>
      <c r="D11" s="175" t="n">
        <v>1103101</v>
      </c>
      <c r="E11" s="176" t="n">
        <v>44936</v>
      </c>
      <c r="F11" s="177" t="s">
        <v>35</v>
      </c>
      <c r="G11" s="178" t="n">
        <v>44936</v>
      </c>
      <c r="H11" s="179"/>
      <c r="I11" s="180"/>
      <c r="J11" s="180"/>
      <c r="K11" s="180"/>
      <c r="L11" s="180"/>
      <c r="M11" s="179"/>
      <c r="N11" s="180"/>
      <c r="O11" s="179"/>
      <c r="P11" s="181"/>
      <c r="Q11" s="182"/>
      <c r="R11" s="179" t="n">
        <v>65</v>
      </c>
      <c r="S11" s="182" t="n">
        <v>10</v>
      </c>
      <c r="T11" s="183" t="n">
        <v>5.04</v>
      </c>
      <c r="U11" s="184" t="n">
        <f aca="false">SUM(H11:T11)</f>
        <v>80.04</v>
      </c>
      <c r="V11" s="185" t="s">
        <v>88</v>
      </c>
      <c r="W11" s="186" t="s">
        <v>38</v>
      </c>
      <c r="X11" s="110" t="s">
        <v>39</v>
      </c>
      <c r="Y11" s="187" t="s">
        <v>86</v>
      </c>
      <c r="Z11" s="51"/>
    </row>
    <row r="12" s="10" customFormat="true" ht="14.1" hidden="false" customHeight="true" outlineLevel="0" collapsed="false">
      <c r="A12" s="172" t="s">
        <v>26</v>
      </c>
      <c r="B12" s="173" t="s">
        <v>95</v>
      </c>
      <c r="C12" s="174"/>
      <c r="D12" s="175" t="n">
        <v>1123104</v>
      </c>
      <c r="E12" s="176" t="n">
        <v>44938</v>
      </c>
      <c r="F12" s="177" t="s">
        <v>35</v>
      </c>
      <c r="G12" s="178" t="n">
        <v>44938</v>
      </c>
      <c r="H12" s="179"/>
      <c r="I12" s="180"/>
      <c r="J12" s="180"/>
      <c r="K12" s="180"/>
      <c r="L12" s="180"/>
      <c r="M12" s="179"/>
      <c r="N12" s="180"/>
      <c r="O12" s="179"/>
      <c r="P12" s="181"/>
      <c r="Q12" s="182"/>
      <c r="R12" s="179" t="n">
        <v>39</v>
      </c>
      <c r="S12" s="182" t="n">
        <v>10</v>
      </c>
      <c r="T12" s="183" t="n">
        <v>4</v>
      </c>
      <c r="U12" s="184" t="n">
        <f aca="false">SUM(H12:T12)</f>
        <v>53</v>
      </c>
      <c r="V12" s="185" t="s">
        <v>88</v>
      </c>
      <c r="W12" s="186" t="s">
        <v>38</v>
      </c>
      <c r="X12" s="110" t="s">
        <v>39</v>
      </c>
      <c r="Y12" s="187" t="s">
        <v>86</v>
      </c>
      <c r="Z12" s="51"/>
    </row>
    <row r="13" s="10" customFormat="true" ht="14.1" hidden="false" customHeight="true" outlineLevel="0" collapsed="false">
      <c r="A13" s="172" t="s">
        <v>26</v>
      </c>
      <c r="B13" s="173" t="s">
        <v>96</v>
      </c>
      <c r="C13" s="174"/>
      <c r="D13" s="175" t="n">
        <v>1203102</v>
      </c>
      <c r="E13" s="176" t="n">
        <v>44946</v>
      </c>
      <c r="F13" s="177" t="s">
        <v>35</v>
      </c>
      <c r="G13" s="178" t="n">
        <v>44946</v>
      </c>
      <c r="H13" s="179"/>
      <c r="I13" s="180"/>
      <c r="J13" s="180"/>
      <c r="K13" s="180"/>
      <c r="L13" s="180"/>
      <c r="M13" s="179"/>
      <c r="N13" s="180"/>
      <c r="O13" s="179"/>
      <c r="P13" s="181"/>
      <c r="Q13" s="182"/>
      <c r="R13" s="179" t="n">
        <v>65</v>
      </c>
      <c r="S13" s="182"/>
      <c r="T13" s="183" t="n">
        <v>5.69</v>
      </c>
      <c r="U13" s="184" t="n">
        <f aca="false">SUM(H13:T13)</f>
        <v>70.69</v>
      </c>
      <c r="V13" s="185" t="s">
        <v>84</v>
      </c>
      <c r="W13" s="186" t="s">
        <v>97</v>
      </c>
      <c r="X13" s="110" t="s">
        <v>39</v>
      </c>
      <c r="Y13" s="187" t="s">
        <v>86</v>
      </c>
      <c r="Z13" s="51"/>
    </row>
    <row r="14" s="10" customFormat="true" ht="14.1" hidden="false" customHeight="true" outlineLevel="0" collapsed="false">
      <c r="A14" s="172"/>
      <c r="B14" s="173"/>
      <c r="C14" s="174"/>
      <c r="D14" s="175"/>
      <c r="E14" s="176"/>
      <c r="F14" s="177"/>
      <c r="G14" s="178"/>
      <c r="H14" s="179"/>
      <c r="I14" s="180"/>
      <c r="J14" s="180"/>
      <c r="K14" s="180"/>
      <c r="L14" s="180"/>
      <c r="M14" s="179"/>
      <c r="N14" s="180"/>
      <c r="O14" s="179"/>
      <c r="P14" s="181"/>
      <c r="Q14" s="182"/>
      <c r="R14" s="179"/>
      <c r="S14" s="182"/>
      <c r="T14" s="183"/>
      <c r="U14" s="184"/>
      <c r="V14" s="185"/>
      <c r="W14" s="186"/>
      <c r="X14" s="110"/>
      <c r="Y14" s="187"/>
      <c r="Z14" s="51"/>
    </row>
    <row r="15" s="10" customFormat="true" ht="14.1" hidden="false" customHeight="true" outlineLevel="0" collapsed="false">
      <c r="A15" s="172"/>
      <c r="B15" s="173"/>
      <c r="C15" s="174"/>
      <c r="D15" s="175"/>
      <c r="E15" s="176"/>
      <c r="F15" s="177"/>
      <c r="G15" s="178"/>
      <c r="H15" s="179"/>
      <c r="I15" s="180"/>
      <c r="J15" s="180"/>
      <c r="K15" s="180"/>
      <c r="L15" s="180"/>
      <c r="M15" s="179"/>
      <c r="N15" s="180"/>
      <c r="O15" s="179"/>
      <c r="P15" s="181"/>
      <c r="Q15" s="182"/>
      <c r="R15" s="179"/>
      <c r="S15" s="182"/>
      <c r="T15" s="183"/>
      <c r="U15" s="184"/>
      <c r="V15" s="185"/>
      <c r="W15" s="186"/>
      <c r="X15" s="110"/>
      <c r="Y15" s="187"/>
      <c r="Z15" s="51"/>
    </row>
    <row r="16" s="10" customFormat="true" ht="14.1" hidden="false" customHeight="true" outlineLevel="0" collapsed="false">
      <c r="A16" s="172"/>
      <c r="B16" s="173"/>
      <c r="C16" s="174"/>
      <c r="D16" s="175"/>
      <c r="E16" s="176"/>
      <c r="F16" s="177"/>
      <c r="G16" s="178"/>
      <c r="H16" s="179"/>
      <c r="I16" s="180"/>
      <c r="J16" s="180"/>
      <c r="K16" s="180"/>
      <c r="L16" s="180"/>
      <c r="M16" s="179"/>
      <c r="N16" s="180"/>
      <c r="O16" s="179"/>
      <c r="P16" s="181"/>
      <c r="Q16" s="182"/>
      <c r="R16" s="179"/>
      <c r="S16" s="182"/>
      <c r="T16" s="183"/>
      <c r="U16" s="184"/>
      <c r="V16" s="185"/>
      <c r="W16" s="186"/>
      <c r="X16" s="110"/>
      <c r="Y16" s="187"/>
      <c r="Z16" s="51"/>
    </row>
    <row r="17" s="10" customFormat="true" ht="14.1" hidden="false" customHeight="true" outlineLevel="0" collapsed="false">
      <c r="A17" s="189"/>
      <c r="B17" s="190"/>
      <c r="C17" s="191"/>
      <c r="D17" s="191"/>
      <c r="E17" s="192"/>
      <c r="F17" s="193"/>
      <c r="G17" s="194"/>
      <c r="H17" s="195"/>
      <c r="I17" s="195"/>
      <c r="J17" s="196"/>
      <c r="K17" s="196"/>
      <c r="L17" s="196"/>
      <c r="M17" s="195"/>
      <c r="N17" s="195"/>
      <c r="O17" s="195"/>
      <c r="P17" s="128"/>
      <c r="Q17" s="197"/>
      <c r="R17" s="195"/>
      <c r="S17" s="197"/>
      <c r="T17" s="198"/>
      <c r="U17" s="199"/>
      <c r="V17" s="200"/>
      <c r="W17" s="29"/>
      <c r="X17" s="29"/>
      <c r="Y17" s="201" t="n">
        <f aca="false">SUM(U4:U16)</f>
        <v>1600.98</v>
      </c>
      <c r="Z17" s="202" t="e">
        <f aca="false">Y17/V106</f>
        <v>#DIV/0!</v>
      </c>
      <c r="AA17" s="51"/>
    </row>
    <row r="18" s="10" customFormat="true" ht="14.1" hidden="false" customHeight="true" outlineLevel="0" collapsed="false">
      <c r="A18" s="203" t="s">
        <v>26</v>
      </c>
      <c r="B18" s="204" t="s">
        <v>98</v>
      </c>
      <c r="C18" s="205"/>
      <c r="D18" s="206" t="n">
        <v>2143103</v>
      </c>
      <c r="E18" s="207" t="n">
        <v>44971</v>
      </c>
      <c r="F18" s="208" t="s">
        <v>35</v>
      </c>
      <c r="G18" s="209" t="n">
        <v>44971</v>
      </c>
      <c r="H18" s="210"/>
      <c r="I18" s="211"/>
      <c r="J18" s="211"/>
      <c r="K18" s="211"/>
      <c r="L18" s="211"/>
      <c r="M18" s="210"/>
      <c r="N18" s="211"/>
      <c r="O18" s="210"/>
      <c r="P18" s="212"/>
      <c r="Q18" s="213"/>
      <c r="R18" s="210" t="n">
        <v>90</v>
      </c>
      <c r="S18" s="213" t="n">
        <v>10</v>
      </c>
      <c r="T18" s="214" t="n">
        <v>8.44</v>
      </c>
      <c r="U18" s="215" t="n">
        <f aca="false">SUM(H18:T18)</f>
        <v>108.44</v>
      </c>
      <c r="V18" s="216" t="s">
        <v>88</v>
      </c>
      <c r="W18" s="217" t="s">
        <v>26</v>
      </c>
      <c r="X18" s="110" t="s">
        <v>39</v>
      </c>
      <c r="Y18" s="187"/>
      <c r="Z18" s="51"/>
    </row>
    <row r="19" s="10" customFormat="true" ht="14.1" hidden="false" customHeight="true" outlineLevel="0" collapsed="false">
      <c r="A19" s="203" t="s">
        <v>26</v>
      </c>
      <c r="B19" s="204" t="s">
        <v>99</v>
      </c>
      <c r="C19" s="205"/>
      <c r="D19" s="206" t="n">
        <v>2143104</v>
      </c>
      <c r="E19" s="207" t="n">
        <v>44971</v>
      </c>
      <c r="F19" s="208" t="s">
        <v>35</v>
      </c>
      <c r="G19" s="209" t="n">
        <v>44971</v>
      </c>
      <c r="H19" s="210"/>
      <c r="I19" s="211"/>
      <c r="J19" s="211"/>
      <c r="K19" s="211"/>
      <c r="L19" s="211"/>
      <c r="M19" s="210"/>
      <c r="N19" s="211"/>
      <c r="O19" s="210"/>
      <c r="P19" s="212"/>
      <c r="Q19" s="213"/>
      <c r="R19" s="210" t="n">
        <v>515</v>
      </c>
      <c r="S19" s="213" t="n">
        <v>90</v>
      </c>
      <c r="T19" s="214" t="n">
        <v>47.64</v>
      </c>
      <c r="U19" s="215" t="n">
        <f aca="false">SUM(H19:T19)</f>
        <v>652.64</v>
      </c>
      <c r="V19" s="216" t="s">
        <v>88</v>
      </c>
      <c r="W19" s="217" t="s">
        <v>26</v>
      </c>
      <c r="X19" s="110" t="s">
        <v>39</v>
      </c>
      <c r="Y19" s="187"/>
      <c r="Z19" s="51"/>
    </row>
    <row r="20" s="10" customFormat="true" ht="14.1" hidden="false" customHeight="true" outlineLevel="0" collapsed="false">
      <c r="A20" s="203" t="s">
        <v>26</v>
      </c>
      <c r="B20" s="204" t="s">
        <v>100</v>
      </c>
      <c r="C20" s="205" t="s">
        <v>101</v>
      </c>
      <c r="D20" s="206" t="n">
        <v>2163107</v>
      </c>
      <c r="E20" s="207" t="n">
        <v>44973</v>
      </c>
      <c r="F20" s="208" t="s">
        <v>102</v>
      </c>
      <c r="G20" s="209" t="n">
        <v>44973</v>
      </c>
      <c r="H20" s="210"/>
      <c r="I20" s="211"/>
      <c r="J20" s="211"/>
      <c r="K20" s="211"/>
      <c r="L20" s="211"/>
      <c r="M20" s="210"/>
      <c r="N20" s="211"/>
      <c r="O20" s="210"/>
      <c r="P20" s="212"/>
      <c r="Q20" s="213"/>
      <c r="R20" s="210" t="n">
        <v>37.5</v>
      </c>
      <c r="S20" s="213" t="n">
        <v>10</v>
      </c>
      <c r="T20" s="214" t="n">
        <v>50.92</v>
      </c>
      <c r="U20" s="215" t="n">
        <f aca="false">SUM(H20:T20)</f>
        <v>98.42</v>
      </c>
      <c r="V20" s="216" t="s">
        <v>88</v>
      </c>
      <c r="W20" s="217" t="s">
        <v>38</v>
      </c>
      <c r="X20" s="110" t="s">
        <v>39</v>
      </c>
      <c r="Y20" s="187"/>
      <c r="Z20" s="51"/>
    </row>
    <row r="21" s="10" customFormat="true" ht="14.1" hidden="false" customHeight="true" outlineLevel="0" collapsed="false">
      <c r="A21" s="218" t="s">
        <v>26</v>
      </c>
      <c r="B21" s="219" t="s">
        <v>103</v>
      </c>
      <c r="C21" s="220"/>
      <c r="D21" s="221" t="n">
        <v>2273101</v>
      </c>
      <c r="E21" s="222" t="n">
        <v>44984</v>
      </c>
      <c r="F21" s="223" t="s">
        <v>35</v>
      </c>
      <c r="G21" s="209" t="n">
        <v>44984</v>
      </c>
      <c r="H21" s="224"/>
      <c r="I21" s="225"/>
      <c r="J21" s="225"/>
      <c r="K21" s="225"/>
      <c r="L21" s="225"/>
      <c r="M21" s="224"/>
      <c r="N21" s="225"/>
      <c r="O21" s="224"/>
      <c r="P21" s="226"/>
      <c r="Q21" s="227"/>
      <c r="R21" s="224" t="n">
        <v>110</v>
      </c>
      <c r="S21" s="227"/>
      <c r="T21" s="228" t="n">
        <v>9.22</v>
      </c>
      <c r="U21" s="229" t="n">
        <f aca="false">SUM(H21:T21)</f>
        <v>119.22</v>
      </c>
      <c r="V21" s="230" t="s">
        <v>88</v>
      </c>
      <c r="W21" s="231" t="s">
        <v>47</v>
      </c>
      <c r="X21" s="232" t="s">
        <v>39</v>
      </c>
      <c r="Y21" s="187"/>
      <c r="Z21" s="51"/>
    </row>
    <row r="22" s="10" customFormat="true" ht="14.1" hidden="false" customHeight="true" outlineLevel="0" collapsed="false">
      <c r="A22" s="218" t="s">
        <v>26</v>
      </c>
      <c r="B22" s="219" t="s">
        <v>104</v>
      </c>
      <c r="C22" s="220"/>
      <c r="D22" s="221" t="n">
        <v>2273108</v>
      </c>
      <c r="E22" s="222" t="n">
        <v>44984</v>
      </c>
      <c r="F22" s="223" t="s">
        <v>35</v>
      </c>
      <c r="G22" s="209" t="n">
        <v>44985</v>
      </c>
      <c r="H22" s="224"/>
      <c r="I22" s="225"/>
      <c r="J22" s="225"/>
      <c r="K22" s="225"/>
      <c r="L22" s="225"/>
      <c r="M22" s="224"/>
      <c r="N22" s="225"/>
      <c r="O22" s="224"/>
      <c r="P22" s="226"/>
      <c r="Q22" s="227"/>
      <c r="R22" s="224" t="n">
        <v>120</v>
      </c>
      <c r="S22" s="227" t="n">
        <v>25</v>
      </c>
      <c r="T22" s="228" t="n">
        <v>10.2</v>
      </c>
      <c r="U22" s="229" t="n">
        <f aca="false">SUM(H22:T22)</f>
        <v>155.2</v>
      </c>
      <c r="V22" s="230" t="s">
        <v>88</v>
      </c>
      <c r="W22" s="231" t="s">
        <v>38</v>
      </c>
      <c r="X22" s="232" t="s">
        <v>39</v>
      </c>
      <c r="Y22" s="187"/>
      <c r="Z22" s="51"/>
    </row>
    <row r="23" s="10" customFormat="true" ht="14.1" hidden="false" customHeight="true" outlineLevel="0" collapsed="false">
      <c r="A23" s="233" t="s">
        <v>26</v>
      </c>
      <c r="B23" s="204" t="s">
        <v>105</v>
      </c>
      <c r="C23" s="205"/>
      <c r="D23" s="206" t="n">
        <v>3023108</v>
      </c>
      <c r="E23" s="207" t="n">
        <v>44987</v>
      </c>
      <c r="F23" s="208" t="s">
        <v>35</v>
      </c>
      <c r="G23" s="209" t="n">
        <v>44987</v>
      </c>
      <c r="H23" s="210"/>
      <c r="I23" s="211"/>
      <c r="J23" s="211"/>
      <c r="K23" s="211"/>
      <c r="L23" s="211"/>
      <c r="M23" s="210"/>
      <c r="N23" s="211"/>
      <c r="O23" s="210"/>
      <c r="P23" s="212"/>
      <c r="Q23" s="213"/>
      <c r="R23" s="210" t="n">
        <v>213</v>
      </c>
      <c r="S23" s="213" t="n">
        <v>50</v>
      </c>
      <c r="T23" s="214" t="n">
        <v>21.83</v>
      </c>
      <c r="U23" s="215" t="n">
        <f aca="false">SUM(H23:T23)</f>
        <v>284.83</v>
      </c>
      <c r="V23" s="216" t="s">
        <v>88</v>
      </c>
      <c r="W23" s="217" t="s">
        <v>38</v>
      </c>
      <c r="X23" s="234" t="s">
        <v>39</v>
      </c>
      <c r="Y23" s="187"/>
      <c r="Z23" s="51"/>
    </row>
    <row r="24" s="10" customFormat="true" ht="14.1" hidden="false" customHeight="true" outlineLevel="0" collapsed="false">
      <c r="A24" s="203"/>
      <c r="B24" s="204"/>
      <c r="C24" s="205"/>
      <c r="D24" s="206"/>
      <c r="E24" s="207"/>
      <c r="F24" s="208"/>
      <c r="G24" s="209"/>
      <c r="H24" s="210"/>
      <c r="I24" s="211"/>
      <c r="J24" s="211"/>
      <c r="K24" s="211"/>
      <c r="L24" s="211"/>
      <c r="M24" s="210"/>
      <c r="N24" s="211"/>
      <c r="O24" s="210"/>
      <c r="P24" s="212"/>
      <c r="Q24" s="213"/>
      <c r="R24" s="210"/>
      <c r="S24" s="213"/>
      <c r="T24" s="214"/>
      <c r="U24" s="215"/>
      <c r="V24" s="216"/>
      <c r="W24" s="217"/>
      <c r="X24" s="110"/>
      <c r="Y24" s="187"/>
      <c r="Z24" s="51"/>
    </row>
    <row r="25" s="10" customFormat="true" ht="14.1" hidden="false" customHeight="true" outlineLevel="0" collapsed="false">
      <c r="A25" s="203"/>
      <c r="B25" s="204"/>
      <c r="C25" s="205"/>
      <c r="D25" s="206"/>
      <c r="E25" s="207"/>
      <c r="F25" s="208"/>
      <c r="G25" s="209"/>
      <c r="H25" s="210"/>
      <c r="I25" s="211"/>
      <c r="J25" s="211"/>
      <c r="K25" s="211"/>
      <c r="L25" s="211"/>
      <c r="M25" s="210"/>
      <c r="N25" s="211"/>
      <c r="O25" s="210"/>
      <c r="P25" s="212"/>
      <c r="Q25" s="213"/>
      <c r="R25" s="210"/>
      <c r="S25" s="213"/>
      <c r="T25" s="214"/>
      <c r="U25" s="215"/>
      <c r="V25" s="216"/>
      <c r="W25" s="217"/>
      <c r="X25" s="110"/>
      <c r="Y25" s="187"/>
      <c r="Z25" s="51"/>
    </row>
    <row r="26" s="237" customFormat="true" ht="14.1" hidden="false" customHeight="true" outlineLevel="0" collapsed="false">
      <c r="A26" s="203"/>
      <c r="B26" s="204"/>
      <c r="C26" s="205"/>
      <c r="D26" s="206"/>
      <c r="E26" s="207"/>
      <c r="F26" s="208"/>
      <c r="G26" s="209"/>
      <c r="H26" s="210"/>
      <c r="I26" s="211"/>
      <c r="J26" s="211"/>
      <c r="K26" s="211"/>
      <c r="L26" s="211"/>
      <c r="M26" s="210"/>
      <c r="N26" s="211"/>
      <c r="O26" s="210"/>
      <c r="P26" s="212"/>
      <c r="Q26" s="213"/>
      <c r="R26" s="210"/>
      <c r="S26" s="213"/>
      <c r="T26" s="214"/>
      <c r="U26" s="215"/>
      <c r="V26" s="216"/>
      <c r="W26" s="217"/>
      <c r="X26" s="110"/>
      <c r="Y26" s="235"/>
      <c r="Z26" s="236"/>
    </row>
    <row r="27" s="237" customFormat="true" ht="14.1" hidden="false" customHeight="true" outlineLevel="0" collapsed="false">
      <c r="A27" s="203"/>
      <c r="B27" s="204"/>
      <c r="C27" s="205"/>
      <c r="D27" s="206"/>
      <c r="E27" s="207"/>
      <c r="F27" s="208"/>
      <c r="G27" s="209"/>
      <c r="H27" s="210"/>
      <c r="I27" s="211"/>
      <c r="J27" s="211"/>
      <c r="K27" s="211"/>
      <c r="L27" s="211"/>
      <c r="M27" s="210"/>
      <c r="N27" s="211"/>
      <c r="O27" s="210"/>
      <c r="P27" s="212"/>
      <c r="Q27" s="213"/>
      <c r="R27" s="210"/>
      <c r="S27" s="213"/>
      <c r="T27" s="214"/>
      <c r="U27" s="215"/>
      <c r="V27" s="216"/>
      <c r="W27" s="217"/>
      <c r="X27" s="110"/>
      <c r="Y27" s="235"/>
      <c r="Z27" s="236"/>
    </row>
    <row r="28" s="240" customFormat="true" ht="14.1" hidden="false" customHeight="true" outlineLevel="0" collapsed="false">
      <c r="A28" s="203"/>
      <c r="B28" s="204"/>
      <c r="C28" s="205"/>
      <c r="D28" s="206"/>
      <c r="E28" s="207"/>
      <c r="F28" s="208"/>
      <c r="G28" s="209"/>
      <c r="H28" s="210"/>
      <c r="I28" s="211"/>
      <c r="J28" s="211"/>
      <c r="K28" s="211"/>
      <c r="L28" s="211"/>
      <c r="M28" s="210"/>
      <c r="N28" s="211"/>
      <c r="O28" s="210"/>
      <c r="P28" s="212"/>
      <c r="Q28" s="213"/>
      <c r="R28" s="210"/>
      <c r="S28" s="213"/>
      <c r="T28" s="214"/>
      <c r="U28" s="215"/>
      <c r="V28" s="216"/>
      <c r="W28" s="217"/>
      <c r="X28" s="110"/>
      <c r="Y28" s="238"/>
      <c r="Z28" s="239"/>
    </row>
    <row r="29" s="10" customFormat="true" ht="14.1" hidden="false" customHeight="true" outlineLevel="0" collapsed="false">
      <c r="A29" s="189"/>
      <c r="B29" s="190"/>
      <c r="C29" s="191"/>
      <c r="D29" s="191"/>
      <c r="E29" s="192"/>
      <c r="F29" s="193"/>
      <c r="G29" s="194"/>
      <c r="H29" s="195"/>
      <c r="I29" s="195"/>
      <c r="J29" s="196"/>
      <c r="K29" s="196"/>
      <c r="L29" s="196"/>
      <c r="M29" s="195"/>
      <c r="N29" s="195"/>
      <c r="O29" s="195"/>
      <c r="P29" s="128"/>
      <c r="Q29" s="197"/>
      <c r="R29" s="195"/>
      <c r="S29" s="197"/>
      <c r="T29" s="198"/>
      <c r="U29" s="199"/>
      <c r="V29" s="200"/>
      <c r="W29" s="29"/>
      <c r="X29" s="29"/>
      <c r="Y29" s="241" t="n">
        <f aca="false">SUM(U20:U28)</f>
        <v>657.67</v>
      </c>
      <c r="Z29" s="202" t="e">
        <f aca="false">Y29/V127</f>
        <v>#DIV/0!</v>
      </c>
      <c r="AA29" s="51"/>
    </row>
    <row r="30" s="10" customFormat="true" ht="14.1" hidden="false" customHeight="true" outlineLevel="0" collapsed="false">
      <c r="A30" s="242" t="s">
        <v>26</v>
      </c>
      <c r="B30" s="243" t="s">
        <v>106</v>
      </c>
      <c r="C30" s="244"/>
      <c r="D30" s="245" t="n">
        <v>3093103</v>
      </c>
      <c r="E30" s="246" t="n">
        <v>44994</v>
      </c>
      <c r="F30" s="247" t="s">
        <v>35</v>
      </c>
      <c r="G30" s="248" t="n">
        <v>44995</v>
      </c>
      <c r="H30" s="249"/>
      <c r="I30" s="250"/>
      <c r="J30" s="250"/>
      <c r="K30" s="250"/>
      <c r="L30" s="250"/>
      <c r="M30" s="249"/>
      <c r="N30" s="250"/>
      <c r="O30" s="249"/>
      <c r="P30" s="251"/>
      <c r="Q30" s="252"/>
      <c r="R30" s="249" t="n">
        <v>105</v>
      </c>
      <c r="S30" s="252" t="n">
        <v>37.5</v>
      </c>
      <c r="T30" s="253" t="n">
        <v>9.71</v>
      </c>
      <c r="U30" s="254" t="n">
        <f aca="false">SUM(H30:T30)</f>
        <v>152.21</v>
      </c>
      <c r="V30" s="255" t="s">
        <v>37</v>
      </c>
      <c r="W30" s="256" t="s">
        <v>38</v>
      </c>
      <c r="X30" s="110" t="s">
        <v>39</v>
      </c>
      <c r="Y30" s="187"/>
      <c r="Z30" s="51"/>
    </row>
    <row r="31" s="10" customFormat="true" ht="14.1" hidden="false" customHeight="true" outlineLevel="0" collapsed="false">
      <c r="A31" s="242" t="s">
        <v>26</v>
      </c>
      <c r="B31" s="243" t="s">
        <v>107</v>
      </c>
      <c r="C31" s="244"/>
      <c r="D31" s="245" t="n">
        <v>3093104</v>
      </c>
      <c r="E31" s="246" t="n">
        <v>44994</v>
      </c>
      <c r="F31" s="247" t="s">
        <v>35</v>
      </c>
      <c r="G31" s="248" t="n">
        <v>44995</v>
      </c>
      <c r="H31" s="249"/>
      <c r="I31" s="250"/>
      <c r="J31" s="250"/>
      <c r="K31" s="250"/>
      <c r="L31" s="250"/>
      <c r="M31" s="249"/>
      <c r="N31" s="250"/>
      <c r="O31" s="249"/>
      <c r="P31" s="251"/>
      <c r="Q31" s="252"/>
      <c r="R31" s="249" t="n">
        <v>39</v>
      </c>
      <c r="S31" s="252" t="n">
        <v>12.5</v>
      </c>
      <c r="T31" s="253" t="n">
        <v>4</v>
      </c>
      <c r="U31" s="254" t="n">
        <f aca="false">SUM(H31:T31)</f>
        <v>55.5</v>
      </c>
      <c r="V31" s="255" t="s">
        <v>37</v>
      </c>
      <c r="W31" s="256" t="s">
        <v>38</v>
      </c>
      <c r="X31" s="110" t="s">
        <v>39</v>
      </c>
      <c r="Y31" s="187"/>
      <c r="Z31" s="51"/>
    </row>
    <row r="32" s="10" customFormat="true" ht="14.1" hidden="false" customHeight="true" outlineLevel="0" collapsed="false">
      <c r="A32" s="242" t="s">
        <v>26</v>
      </c>
      <c r="B32" s="243" t="s">
        <v>108</v>
      </c>
      <c r="C32" s="244"/>
      <c r="D32" s="245" t="n">
        <v>3133101</v>
      </c>
      <c r="E32" s="246" t="n">
        <v>44998</v>
      </c>
      <c r="F32" s="247" t="s">
        <v>35</v>
      </c>
      <c r="G32" s="248" t="n">
        <v>44998</v>
      </c>
      <c r="H32" s="249"/>
      <c r="I32" s="250"/>
      <c r="J32" s="250"/>
      <c r="K32" s="250"/>
      <c r="L32" s="250"/>
      <c r="M32" s="249"/>
      <c r="N32" s="250"/>
      <c r="O32" s="249"/>
      <c r="P32" s="251"/>
      <c r="Q32" s="252"/>
      <c r="R32" s="249" t="n">
        <v>298</v>
      </c>
      <c r="S32" s="252" t="n">
        <v>62.5</v>
      </c>
      <c r="T32" s="253" t="n">
        <v>24.59</v>
      </c>
      <c r="U32" s="254" t="n">
        <f aca="false">SUM(H32:T32)</f>
        <v>385.09</v>
      </c>
      <c r="V32" s="255" t="s">
        <v>37</v>
      </c>
      <c r="W32" s="256" t="s">
        <v>109</v>
      </c>
      <c r="X32" s="110" t="s">
        <v>39</v>
      </c>
      <c r="Y32" s="187"/>
      <c r="Z32" s="51"/>
    </row>
    <row r="33" s="10" customFormat="true" ht="14.1" hidden="false" customHeight="true" outlineLevel="0" collapsed="false">
      <c r="A33" s="242" t="s">
        <v>26</v>
      </c>
      <c r="B33" s="243" t="s">
        <v>110</v>
      </c>
      <c r="C33" s="244"/>
      <c r="D33" s="245" t="n">
        <v>3203101</v>
      </c>
      <c r="E33" s="246" t="n">
        <v>45005</v>
      </c>
      <c r="F33" s="247" t="s">
        <v>35</v>
      </c>
      <c r="G33" s="248" t="n">
        <v>45005</v>
      </c>
      <c r="H33" s="249"/>
      <c r="I33" s="250"/>
      <c r="J33" s="250"/>
      <c r="K33" s="250"/>
      <c r="L33" s="250"/>
      <c r="M33" s="249"/>
      <c r="N33" s="250"/>
      <c r="O33" s="249"/>
      <c r="P33" s="251"/>
      <c r="Q33" s="252"/>
      <c r="R33" s="249" t="n">
        <v>130</v>
      </c>
      <c r="S33" s="252" t="n">
        <v>25</v>
      </c>
      <c r="T33" s="253" t="n">
        <v>11.21</v>
      </c>
      <c r="U33" s="254" t="n">
        <f aca="false">SUM(H33:T33)</f>
        <v>166.21</v>
      </c>
      <c r="V33" s="255" t="s">
        <v>37</v>
      </c>
      <c r="W33" s="256" t="s">
        <v>38</v>
      </c>
      <c r="X33" s="110" t="s">
        <v>39</v>
      </c>
      <c r="Y33" s="187"/>
      <c r="Z33" s="51"/>
    </row>
    <row r="34" s="10" customFormat="true" ht="14.1" hidden="false" customHeight="true" outlineLevel="0" collapsed="false">
      <c r="A34" s="242" t="s">
        <v>26</v>
      </c>
      <c r="B34" s="243" t="s">
        <v>111</v>
      </c>
      <c r="C34" s="244"/>
      <c r="D34" s="245" t="n">
        <v>3203103</v>
      </c>
      <c r="E34" s="246" t="n">
        <v>45005</v>
      </c>
      <c r="F34" s="247" t="s">
        <v>35</v>
      </c>
      <c r="G34" s="248" t="n">
        <v>45005</v>
      </c>
      <c r="H34" s="249"/>
      <c r="I34" s="250"/>
      <c r="J34" s="250"/>
      <c r="K34" s="250"/>
      <c r="L34" s="250"/>
      <c r="M34" s="249"/>
      <c r="N34" s="250"/>
      <c r="O34" s="249"/>
      <c r="P34" s="251"/>
      <c r="Q34" s="252"/>
      <c r="R34" s="249" t="n">
        <v>156</v>
      </c>
      <c r="S34" s="252"/>
      <c r="T34" s="253" t="n">
        <v>13.65</v>
      </c>
      <c r="U34" s="254" t="n">
        <f aca="false">SUM(H34:T34)</f>
        <v>169.65</v>
      </c>
      <c r="V34" s="255" t="s">
        <v>84</v>
      </c>
      <c r="W34" s="256" t="s">
        <v>112</v>
      </c>
      <c r="X34" s="110" t="s">
        <v>39</v>
      </c>
      <c r="Y34" s="187"/>
      <c r="Z34" s="51"/>
    </row>
    <row r="35" s="10" customFormat="true" ht="14.1" hidden="false" customHeight="true" outlineLevel="0" collapsed="false">
      <c r="A35" s="242" t="s">
        <v>26</v>
      </c>
      <c r="B35" s="243" t="s">
        <v>113</v>
      </c>
      <c r="C35" s="244" t="s">
        <v>114</v>
      </c>
      <c r="D35" s="245" t="n">
        <v>3213106</v>
      </c>
      <c r="E35" s="246" t="n">
        <v>45006</v>
      </c>
      <c r="F35" s="247" t="s">
        <v>35</v>
      </c>
      <c r="G35" s="248" t="n">
        <v>45006</v>
      </c>
      <c r="H35" s="249"/>
      <c r="I35" s="250"/>
      <c r="J35" s="250"/>
      <c r="K35" s="250"/>
      <c r="L35" s="250"/>
      <c r="M35" s="249"/>
      <c r="N35" s="250"/>
      <c r="O35" s="249"/>
      <c r="P35" s="251"/>
      <c r="Q35" s="252"/>
      <c r="R35" s="249" t="n">
        <v>45</v>
      </c>
      <c r="S35" s="252" t="n">
        <v>12.5</v>
      </c>
      <c r="T35" s="253" t="n">
        <v>3.94</v>
      </c>
      <c r="U35" s="254" t="n">
        <f aca="false">SUM(H35:T35)</f>
        <v>61.44</v>
      </c>
      <c r="V35" s="255" t="s">
        <v>37</v>
      </c>
      <c r="W35" s="256" t="s">
        <v>48</v>
      </c>
      <c r="X35" s="110" t="s">
        <v>39</v>
      </c>
      <c r="Y35" s="187"/>
      <c r="Z35" s="51"/>
    </row>
    <row r="36" s="10" customFormat="true" ht="14.1" hidden="false" customHeight="true" outlineLevel="0" collapsed="false">
      <c r="A36" s="242" t="s">
        <v>26</v>
      </c>
      <c r="B36" s="243" t="s">
        <v>115</v>
      </c>
      <c r="C36" s="244"/>
      <c r="D36" s="245" t="n">
        <v>3223101</v>
      </c>
      <c r="E36" s="246" t="n">
        <v>45007</v>
      </c>
      <c r="F36" s="247" t="s">
        <v>35</v>
      </c>
      <c r="G36" s="248" t="n">
        <v>45007</v>
      </c>
      <c r="H36" s="249"/>
      <c r="I36" s="250"/>
      <c r="J36" s="250"/>
      <c r="K36" s="250"/>
      <c r="L36" s="250"/>
      <c r="M36" s="249"/>
      <c r="N36" s="250"/>
      <c r="O36" s="249"/>
      <c r="P36" s="251"/>
      <c r="Q36" s="252"/>
      <c r="R36" s="249" t="n">
        <v>247</v>
      </c>
      <c r="S36" s="252" t="n">
        <v>62.5</v>
      </c>
      <c r="T36" s="253" t="n">
        <v>21</v>
      </c>
      <c r="U36" s="254" t="n">
        <f aca="false">SUM(H36:T36)</f>
        <v>330.5</v>
      </c>
      <c r="V36" s="255" t="s">
        <v>37</v>
      </c>
      <c r="W36" s="256" t="s">
        <v>38</v>
      </c>
      <c r="X36" s="110" t="s">
        <v>39</v>
      </c>
      <c r="Y36" s="187"/>
      <c r="Z36" s="51"/>
    </row>
    <row r="37" s="10" customFormat="true" ht="14.1" hidden="false" customHeight="true" outlineLevel="0" collapsed="false">
      <c r="A37" s="242" t="s">
        <v>26</v>
      </c>
      <c r="B37" s="243" t="s">
        <v>116</v>
      </c>
      <c r="C37" s="244"/>
      <c r="D37" s="245" t="n">
        <v>3223103</v>
      </c>
      <c r="E37" s="246" t="n">
        <v>45007</v>
      </c>
      <c r="F37" s="247" t="s">
        <v>35</v>
      </c>
      <c r="G37" s="248" t="n">
        <v>45007</v>
      </c>
      <c r="H37" s="249"/>
      <c r="I37" s="250"/>
      <c r="J37" s="250"/>
      <c r="K37" s="250"/>
      <c r="L37" s="250"/>
      <c r="M37" s="249"/>
      <c r="N37" s="250"/>
      <c r="O37" s="249"/>
      <c r="P37" s="251"/>
      <c r="Q37" s="252"/>
      <c r="R37" s="249" t="n">
        <v>188</v>
      </c>
      <c r="S37" s="252" t="n">
        <v>50</v>
      </c>
      <c r="T37" s="253" t="n">
        <v>16.22</v>
      </c>
      <c r="U37" s="254" t="n">
        <f aca="false">SUM(H37:T37)</f>
        <v>254.22</v>
      </c>
      <c r="V37" s="255" t="s">
        <v>37</v>
      </c>
      <c r="W37" s="256" t="s">
        <v>38</v>
      </c>
      <c r="X37" s="110" t="s">
        <v>39</v>
      </c>
      <c r="Y37" s="187"/>
      <c r="Z37" s="51"/>
    </row>
    <row r="38" s="10" customFormat="true" ht="14.1" hidden="false" customHeight="true" outlineLevel="0" collapsed="false">
      <c r="A38" s="242" t="s">
        <v>26</v>
      </c>
      <c r="B38" s="243" t="s">
        <v>113</v>
      </c>
      <c r="C38" s="244" t="s">
        <v>114</v>
      </c>
      <c r="D38" s="245" t="n">
        <v>3243105</v>
      </c>
      <c r="E38" s="246" t="n">
        <v>45009</v>
      </c>
      <c r="F38" s="247" t="s">
        <v>35</v>
      </c>
      <c r="G38" s="248" t="n">
        <v>45009</v>
      </c>
      <c r="H38" s="249"/>
      <c r="I38" s="250"/>
      <c r="J38" s="250"/>
      <c r="K38" s="250"/>
      <c r="L38" s="250"/>
      <c r="M38" s="249"/>
      <c r="N38" s="250"/>
      <c r="O38" s="249"/>
      <c r="P38" s="251"/>
      <c r="Q38" s="252"/>
      <c r="R38" s="249" t="n">
        <v>45</v>
      </c>
      <c r="S38" s="252" t="n">
        <v>12.5</v>
      </c>
      <c r="T38" s="253" t="n">
        <v>3.94</v>
      </c>
      <c r="U38" s="254" t="n">
        <f aca="false">SUM(H38:T38)</f>
        <v>61.44</v>
      </c>
      <c r="V38" s="255" t="s">
        <v>37</v>
      </c>
      <c r="W38" s="256" t="s">
        <v>38</v>
      </c>
      <c r="X38" s="110" t="s">
        <v>39</v>
      </c>
      <c r="Y38" s="187"/>
      <c r="Z38" s="51"/>
    </row>
    <row r="39" s="10" customFormat="true" ht="14.1" hidden="false" customHeight="true" outlineLevel="0" collapsed="false">
      <c r="A39" s="242" t="s">
        <v>26</v>
      </c>
      <c r="B39" s="243" t="s">
        <v>110</v>
      </c>
      <c r="C39" s="244"/>
      <c r="D39" s="245" t="n">
        <v>3273102</v>
      </c>
      <c r="E39" s="246" t="n">
        <v>45012</v>
      </c>
      <c r="F39" s="247" t="s">
        <v>35</v>
      </c>
      <c r="G39" s="248" t="n">
        <v>45012</v>
      </c>
      <c r="H39" s="249"/>
      <c r="I39" s="250"/>
      <c r="J39" s="250"/>
      <c r="K39" s="250"/>
      <c r="L39" s="250"/>
      <c r="M39" s="249"/>
      <c r="N39" s="250"/>
      <c r="O39" s="249"/>
      <c r="P39" s="251"/>
      <c r="Q39" s="252"/>
      <c r="R39" s="249" t="n">
        <v>427</v>
      </c>
      <c r="S39" s="252" t="n">
        <v>87.5</v>
      </c>
      <c r="T39" s="253" t="n">
        <v>36.83</v>
      </c>
      <c r="U39" s="254" t="n">
        <f aca="false">SUM(H39:T39)</f>
        <v>551.33</v>
      </c>
      <c r="V39" s="255" t="s">
        <v>37</v>
      </c>
      <c r="W39" s="256" t="s">
        <v>38</v>
      </c>
      <c r="X39" s="110" t="s">
        <v>39</v>
      </c>
      <c r="Y39" s="187"/>
      <c r="Z39" s="51"/>
    </row>
    <row r="40" s="10" customFormat="true" ht="14.1" hidden="false" customHeight="true" outlineLevel="0" collapsed="false">
      <c r="A40" s="242" t="s">
        <v>26</v>
      </c>
      <c r="B40" s="243" t="s">
        <v>117</v>
      </c>
      <c r="C40" s="244" t="s">
        <v>118</v>
      </c>
      <c r="D40" s="245" t="n">
        <v>3283106</v>
      </c>
      <c r="E40" s="246" t="n">
        <v>45013</v>
      </c>
      <c r="F40" s="247" t="s">
        <v>35</v>
      </c>
      <c r="G40" s="248" t="n">
        <v>45013</v>
      </c>
      <c r="H40" s="249"/>
      <c r="I40" s="250"/>
      <c r="J40" s="250"/>
      <c r="K40" s="250"/>
      <c r="L40" s="250"/>
      <c r="M40" s="249"/>
      <c r="N40" s="250"/>
      <c r="O40" s="249"/>
      <c r="P40" s="251"/>
      <c r="Q40" s="252"/>
      <c r="R40" s="249" t="n">
        <v>650</v>
      </c>
      <c r="S40" s="252" t="n">
        <v>125</v>
      </c>
      <c r="T40" s="253" t="n">
        <v>56.88</v>
      </c>
      <c r="U40" s="254" t="n">
        <f aca="false">SUM(H40:T40)</f>
        <v>831.88</v>
      </c>
      <c r="V40" s="255" t="s">
        <v>37</v>
      </c>
      <c r="W40" s="256" t="s">
        <v>38</v>
      </c>
      <c r="X40" s="110" t="s">
        <v>39</v>
      </c>
      <c r="Y40" s="187"/>
      <c r="Z40" s="51"/>
    </row>
    <row r="41" s="10" customFormat="true" ht="14.1" hidden="false" customHeight="true" outlineLevel="0" collapsed="false">
      <c r="A41" s="242" t="s">
        <v>26</v>
      </c>
      <c r="B41" s="243" t="s">
        <v>119</v>
      </c>
      <c r="C41" s="244"/>
      <c r="D41" s="245" t="n">
        <v>3283107</v>
      </c>
      <c r="E41" s="246" t="n">
        <v>45013</v>
      </c>
      <c r="F41" s="247" t="s">
        <v>35</v>
      </c>
      <c r="G41" s="248" t="n">
        <v>45013</v>
      </c>
      <c r="H41" s="249"/>
      <c r="I41" s="250"/>
      <c r="J41" s="250"/>
      <c r="K41" s="250"/>
      <c r="L41" s="250"/>
      <c r="M41" s="249"/>
      <c r="N41" s="250"/>
      <c r="O41" s="249"/>
      <c r="P41" s="251"/>
      <c r="Q41" s="252"/>
      <c r="R41" s="249" t="n">
        <v>376</v>
      </c>
      <c r="S41" s="252" t="n">
        <v>62.5</v>
      </c>
      <c r="T41" s="253" t="n">
        <v>34.78</v>
      </c>
      <c r="U41" s="254" t="n">
        <f aca="false">SUM(H41:T41)</f>
        <v>473.28</v>
      </c>
      <c r="V41" s="255" t="s">
        <v>37</v>
      </c>
      <c r="W41" s="256" t="s">
        <v>38</v>
      </c>
      <c r="X41" s="110" t="s">
        <v>39</v>
      </c>
      <c r="Y41" s="187"/>
      <c r="Z41" s="51"/>
    </row>
    <row r="42" s="10" customFormat="true" ht="14.1" hidden="false" customHeight="true" outlineLevel="0" collapsed="false">
      <c r="A42" s="242"/>
      <c r="B42" s="243"/>
      <c r="C42" s="244"/>
      <c r="D42" s="245"/>
      <c r="E42" s="246"/>
      <c r="F42" s="247"/>
      <c r="G42" s="248"/>
      <c r="H42" s="249"/>
      <c r="I42" s="250"/>
      <c r="J42" s="250"/>
      <c r="K42" s="250"/>
      <c r="L42" s="250"/>
      <c r="M42" s="249"/>
      <c r="N42" s="250"/>
      <c r="O42" s="249"/>
      <c r="P42" s="251"/>
      <c r="Q42" s="252"/>
      <c r="R42" s="249"/>
      <c r="S42" s="252"/>
      <c r="T42" s="253"/>
      <c r="U42" s="254"/>
      <c r="V42" s="255"/>
      <c r="W42" s="256"/>
      <c r="X42" s="110"/>
      <c r="Y42" s="187"/>
      <c r="Z42" s="51"/>
    </row>
    <row r="43" s="10" customFormat="true" ht="14.1" hidden="false" customHeight="true" outlineLevel="0" collapsed="false">
      <c r="A43" s="189"/>
      <c r="B43" s="190"/>
      <c r="C43" s="191"/>
      <c r="D43" s="191"/>
      <c r="E43" s="192"/>
      <c r="F43" s="193"/>
      <c r="G43" s="194"/>
      <c r="H43" s="195"/>
      <c r="I43" s="195"/>
      <c r="J43" s="196"/>
      <c r="K43" s="196"/>
      <c r="L43" s="196"/>
      <c r="M43" s="195"/>
      <c r="N43" s="195"/>
      <c r="O43" s="195"/>
      <c r="P43" s="128"/>
      <c r="Q43" s="197"/>
      <c r="R43" s="195"/>
      <c r="S43" s="197"/>
      <c r="T43" s="198"/>
      <c r="U43" s="199"/>
      <c r="V43" s="200"/>
      <c r="W43" s="29"/>
      <c r="X43" s="29"/>
      <c r="Y43" s="257" t="n">
        <f aca="false">SUM(U28:U42)</f>
        <v>3492.75</v>
      </c>
      <c r="Z43" s="202" t="e">
        <f aca="false">Y43/V141</f>
        <v>#DIV/0!</v>
      </c>
      <c r="AA43" s="51"/>
    </row>
    <row r="44" s="10" customFormat="true" ht="14.1" hidden="false" customHeight="true" outlineLevel="0" collapsed="false">
      <c r="A44" s="100" t="s">
        <v>26</v>
      </c>
      <c r="B44" s="2" t="s">
        <v>120</v>
      </c>
      <c r="C44" s="3"/>
      <c r="D44" s="101" t="n">
        <v>3293103</v>
      </c>
      <c r="E44" s="102" t="n">
        <v>45014</v>
      </c>
      <c r="F44" s="103" t="s">
        <v>35</v>
      </c>
      <c r="G44" s="5" t="n">
        <v>45014</v>
      </c>
      <c r="H44" s="105"/>
      <c r="I44" s="106"/>
      <c r="J44" s="106"/>
      <c r="K44" s="106"/>
      <c r="L44" s="106"/>
      <c r="M44" s="105"/>
      <c r="N44" s="106"/>
      <c r="O44" s="105"/>
      <c r="P44" s="7"/>
      <c r="Q44" s="107"/>
      <c r="R44" s="105" t="n">
        <v>208</v>
      </c>
      <c r="S44" s="107" t="n">
        <v>50</v>
      </c>
      <c r="T44" s="108" t="n">
        <v>17.94</v>
      </c>
      <c r="U44" s="95" t="n">
        <f aca="false">SUM(H44:T44)</f>
        <v>275.94</v>
      </c>
      <c r="V44" s="109" t="s">
        <v>37</v>
      </c>
      <c r="W44" s="10" t="s">
        <v>38</v>
      </c>
      <c r="X44" s="110" t="s">
        <v>39</v>
      </c>
      <c r="Y44" s="187"/>
      <c r="Z44" s="51"/>
    </row>
    <row r="45" s="10" customFormat="true" ht="14.1" hidden="false" customHeight="true" outlineLevel="0" collapsed="false">
      <c r="A45" s="100" t="s">
        <v>26</v>
      </c>
      <c r="B45" s="2" t="s">
        <v>121</v>
      </c>
      <c r="C45" s="3"/>
      <c r="D45" s="101" t="n">
        <v>3303101</v>
      </c>
      <c r="E45" s="102" t="n">
        <v>45015</v>
      </c>
      <c r="F45" s="103" t="s">
        <v>35</v>
      </c>
      <c r="G45" s="5" t="n">
        <v>45015</v>
      </c>
      <c r="H45" s="105"/>
      <c r="I45" s="106"/>
      <c r="J45" s="106"/>
      <c r="K45" s="106"/>
      <c r="L45" s="106"/>
      <c r="M45" s="105"/>
      <c r="N45" s="106"/>
      <c r="O45" s="105"/>
      <c r="P45" s="7"/>
      <c r="Q45" s="107"/>
      <c r="R45" s="105" t="n">
        <v>110</v>
      </c>
      <c r="S45" s="107" t="n">
        <v>25</v>
      </c>
      <c r="T45" s="108" t="n">
        <v>11.28</v>
      </c>
      <c r="U45" s="95" t="n">
        <f aca="false">SUM(H45:T45)</f>
        <v>146.28</v>
      </c>
      <c r="V45" s="109" t="s">
        <v>37</v>
      </c>
      <c r="W45" s="10" t="s">
        <v>47</v>
      </c>
      <c r="X45" s="110" t="s">
        <v>39</v>
      </c>
      <c r="Y45" s="187"/>
      <c r="Z45" s="51"/>
    </row>
    <row r="46" s="10" customFormat="true" ht="14.1" hidden="false" customHeight="true" outlineLevel="0" collapsed="false">
      <c r="A46" s="100" t="s">
        <v>26</v>
      </c>
      <c r="B46" s="2" t="s">
        <v>122</v>
      </c>
      <c r="C46" s="3" t="s">
        <v>123</v>
      </c>
      <c r="D46" s="101" t="n">
        <v>3313101</v>
      </c>
      <c r="E46" s="102" t="n">
        <v>45016</v>
      </c>
      <c r="F46" s="103" t="s">
        <v>35</v>
      </c>
      <c r="G46" s="5" t="n">
        <v>45016</v>
      </c>
      <c r="H46" s="105"/>
      <c r="I46" s="106"/>
      <c r="J46" s="106"/>
      <c r="K46" s="106"/>
      <c r="L46" s="106"/>
      <c r="M46" s="105"/>
      <c r="N46" s="106"/>
      <c r="O46" s="105"/>
      <c r="P46" s="7"/>
      <c r="Q46" s="107"/>
      <c r="R46" s="105" t="n">
        <v>-50</v>
      </c>
      <c r="S46" s="107"/>
      <c r="T46" s="108" t="n">
        <v>-4.63</v>
      </c>
      <c r="U46" s="95" t="n">
        <f aca="false">SUM(H46:T46)</f>
        <v>-54.63</v>
      </c>
      <c r="V46" s="109" t="s">
        <v>84</v>
      </c>
      <c r="W46" s="10" t="s">
        <v>26</v>
      </c>
      <c r="X46" s="110" t="s">
        <v>39</v>
      </c>
      <c r="Y46" s="187"/>
      <c r="Z46" s="51"/>
    </row>
    <row r="47" s="10" customFormat="true" ht="14.1" hidden="false" customHeight="true" outlineLevel="0" collapsed="false">
      <c r="A47" s="100" t="s">
        <v>26</v>
      </c>
      <c r="B47" s="2" t="s">
        <v>124</v>
      </c>
      <c r="C47" s="3"/>
      <c r="D47" s="101" t="n">
        <v>4063105</v>
      </c>
      <c r="E47" s="102" t="n">
        <v>45022</v>
      </c>
      <c r="F47" s="103" t="s">
        <v>35</v>
      </c>
      <c r="G47" s="5" t="n">
        <v>45023</v>
      </c>
      <c r="H47" s="105"/>
      <c r="I47" s="106"/>
      <c r="J47" s="106"/>
      <c r="K47" s="106"/>
      <c r="L47" s="106"/>
      <c r="M47" s="105"/>
      <c r="N47" s="106"/>
      <c r="O47" s="105"/>
      <c r="P47" s="7"/>
      <c r="Q47" s="107"/>
      <c r="R47" s="105" t="n">
        <v>129</v>
      </c>
      <c r="S47" s="107" t="n">
        <v>37.5</v>
      </c>
      <c r="T47" s="108" t="n">
        <v>10.97</v>
      </c>
      <c r="U47" s="95" t="n">
        <f aca="false">SUM(H47:T47)</f>
        <v>177.47</v>
      </c>
      <c r="V47" s="109" t="s">
        <v>37</v>
      </c>
      <c r="W47" s="10" t="s">
        <v>38</v>
      </c>
      <c r="X47" s="110" t="s">
        <v>39</v>
      </c>
      <c r="Y47" s="187"/>
      <c r="Z47" s="51"/>
    </row>
    <row r="48" s="10" customFormat="true" ht="13.2" hidden="false" customHeight="true" outlineLevel="0" collapsed="false">
      <c r="A48" s="100" t="s">
        <v>26</v>
      </c>
      <c r="B48" s="2" t="s">
        <v>125</v>
      </c>
      <c r="C48" s="3" t="s">
        <v>126</v>
      </c>
      <c r="D48" s="101" t="n">
        <v>4073101</v>
      </c>
      <c r="E48" s="102" t="n">
        <v>45023</v>
      </c>
      <c r="F48" s="103" t="s">
        <v>35</v>
      </c>
      <c r="G48" s="5" t="n">
        <v>45023</v>
      </c>
      <c r="H48" s="105"/>
      <c r="I48" s="106"/>
      <c r="J48" s="106"/>
      <c r="K48" s="106"/>
      <c r="L48" s="106"/>
      <c r="M48" s="105"/>
      <c r="N48" s="106"/>
      <c r="O48" s="105"/>
      <c r="P48" s="7"/>
      <c r="Q48" s="107"/>
      <c r="R48" s="105" t="n">
        <v>149</v>
      </c>
      <c r="S48" s="107" t="n">
        <v>37.5</v>
      </c>
      <c r="T48" s="108" t="n">
        <v>15.27</v>
      </c>
      <c r="U48" s="95" t="n">
        <f aca="false">SUM(H48:T48)</f>
        <v>201.77</v>
      </c>
      <c r="V48" s="109" t="s">
        <v>37</v>
      </c>
      <c r="W48" s="10" t="s">
        <v>38</v>
      </c>
      <c r="X48" s="110" t="s">
        <v>39</v>
      </c>
      <c r="Y48" s="187"/>
      <c r="Z48" s="51"/>
    </row>
    <row r="49" s="10" customFormat="true" ht="13.2" hidden="false" customHeight="true" outlineLevel="0" collapsed="false">
      <c r="A49" s="100" t="s">
        <v>26</v>
      </c>
      <c r="B49" s="2" t="s">
        <v>108</v>
      </c>
      <c r="C49" s="3"/>
      <c r="D49" s="101" t="n">
        <v>4103101</v>
      </c>
      <c r="E49" s="102" t="n">
        <v>45026</v>
      </c>
      <c r="F49" s="103" t="s">
        <v>35</v>
      </c>
      <c r="G49" s="5" t="n">
        <v>45026</v>
      </c>
      <c r="H49" s="105"/>
      <c r="I49" s="106"/>
      <c r="J49" s="106"/>
      <c r="K49" s="106"/>
      <c r="L49" s="106"/>
      <c r="M49" s="105"/>
      <c r="N49" s="106"/>
      <c r="O49" s="105"/>
      <c r="P49" s="7"/>
      <c r="Q49" s="107"/>
      <c r="R49" s="105" t="n">
        <v>415</v>
      </c>
      <c r="S49" s="107" t="n">
        <v>62.5</v>
      </c>
      <c r="T49" s="108" t="n">
        <v>34.24</v>
      </c>
      <c r="U49" s="95" t="n">
        <f aca="false">SUM(H49:T49)</f>
        <v>511.74</v>
      </c>
      <c r="V49" s="109" t="s">
        <v>37</v>
      </c>
      <c r="W49" s="10" t="s">
        <v>38</v>
      </c>
      <c r="X49" s="110" t="s">
        <v>39</v>
      </c>
      <c r="Y49" s="187"/>
      <c r="Z49" s="51"/>
    </row>
    <row r="50" s="10" customFormat="true" ht="13.2" hidden="false" customHeight="true" outlineLevel="0" collapsed="false">
      <c r="A50" s="100" t="s">
        <v>26</v>
      </c>
      <c r="B50" s="2" t="s">
        <v>127</v>
      </c>
      <c r="C50" s="3"/>
      <c r="D50" s="101" t="n">
        <v>4103105</v>
      </c>
      <c r="E50" s="102" t="n">
        <v>45026</v>
      </c>
      <c r="F50" s="103" t="s">
        <v>35</v>
      </c>
      <c r="G50" s="5" t="n">
        <v>45026</v>
      </c>
      <c r="H50" s="105"/>
      <c r="I50" s="106"/>
      <c r="J50" s="106"/>
      <c r="K50" s="106"/>
      <c r="L50" s="106"/>
      <c r="M50" s="105"/>
      <c r="N50" s="106"/>
      <c r="O50" s="105"/>
      <c r="P50" s="7"/>
      <c r="Q50" s="107"/>
      <c r="R50" s="105" t="n">
        <v>308</v>
      </c>
      <c r="S50" s="107" t="n">
        <v>62.5</v>
      </c>
      <c r="T50" s="108" t="n">
        <v>26.57</v>
      </c>
      <c r="U50" s="95" t="n">
        <f aca="false">SUM(H50:T50)</f>
        <v>397.07</v>
      </c>
      <c r="V50" s="109" t="s">
        <v>37</v>
      </c>
      <c r="W50" s="10" t="s">
        <v>38</v>
      </c>
      <c r="X50" s="110" t="s">
        <v>39</v>
      </c>
      <c r="Y50" s="187"/>
      <c r="Z50" s="51"/>
    </row>
    <row r="51" s="10" customFormat="true" ht="13.2" hidden="false" customHeight="true" outlineLevel="0" collapsed="false">
      <c r="A51" s="100" t="s">
        <v>26</v>
      </c>
      <c r="B51" s="2" t="s">
        <v>128</v>
      </c>
      <c r="C51" s="3"/>
      <c r="D51" s="101" t="n">
        <v>4113105</v>
      </c>
      <c r="E51" s="102" t="n">
        <v>45027</v>
      </c>
      <c r="F51" s="103" t="s">
        <v>35</v>
      </c>
      <c r="G51" s="5" t="n">
        <v>45027</v>
      </c>
      <c r="H51" s="105"/>
      <c r="I51" s="106"/>
      <c r="J51" s="106"/>
      <c r="K51" s="106"/>
      <c r="L51" s="106"/>
      <c r="M51" s="105"/>
      <c r="N51" s="106"/>
      <c r="O51" s="105"/>
      <c r="P51" s="7"/>
      <c r="Q51" s="107"/>
      <c r="R51" s="105" t="n">
        <v>1125</v>
      </c>
      <c r="S51" s="107" t="n">
        <v>187.5</v>
      </c>
      <c r="T51" s="108" t="n">
        <v>81.56</v>
      </c>
      <c r="U51" s="95" t="n">
        <f aca="false">SUM(H51:T51)</f>
        <v>1394.06</v>
      </c>
      <c r="V51" s="109" t="s">
        <v>129</v>
      </c>
      <c r="W51" s="10" t="s">
        <v>130</v>
      </c>
      <c r="X51" s="110" t="s">
        <v>39</v>
      </c>
      <c r="Y51" s="187"/>
      <c r="Z51" s="51"/>
    </row>
    <row r="52" s="10" customFormat="true" ht="13.2" hidden="false" customHeight="true" outlineLevel="0" collapsed="false">
      <c r="A52" s="100" t="s">
        <v>26</v>
      </c>
      <c r="B52" s="2" t="s">
        <v>131</v>
      </c>
      <c r="C52" s="3"/>
      <c r="D52" s="101" t="n">
        <v>4113106</v>
      </c>
      <c r="E52" s="102" t="n">
        <v>45027</v>
      </c>
      <c r="F52" s="103" t="s">
        <v>35</v>
      </c>
      <c r="G52" s="5" t="n">
        <v>45027</v>
      </c>
      <c r="H52" s="105"/>
      <c r="I52" s="106"/>
      <c r="J52" s="106"/>
      <c r="K52" s="106"/>
      <c r="L52" s="106"/>
      <c r="M52" s="105"/>
      <c r="N52" s="106"/>
      <c r="O52" s="105"/>
      <c r="P52" s="7"/>
      <c r="Q52" s="107"/>
      <c r="R52" s="105" t="n">
        <v>65</v>
      </c>
      <c r="S52" s="107" t="n">
        <v>12.5</v>
      </c>
      <c r="T52" s="108" t="n">
        <v>6.09</v>
      </c>
      <c r="U52" s="95" t="n">
        <f aca="false">SUM(H52:T52)</f>
        <v>83.59</v>
      </c>
      <c r="V52" s="109" t="s">
        <v>37</v>
      </c>
      <c r="W52" s="10" t="s">
        <v>26</v>
      </c>
      <c r="X52" s="110" t="s">
        <v>39</v>
      </c>
      <c r="Y52" s="187"/>
      <c r="Z52" s="51"/>
    </row>
    <row r="53" s="10" customFormat="true" ht="13.2" hidden="false" customHeight="true" outlineLevel="0" collapsed="false">
      <c r="A53" s="100" t="s">
        <v>26</v>
      </c>
      <c r="B53" s="2" t="s">
        <v>132</v>
      </c>
      <c r="C53" s="3"/>
      <c r="D53" s="101" t="n">
        <v>4123102</v>
      </c>
      <c r="E53" s="102" t="n">
        <v>45028</v>
      </c>
      <c r="F53" s="103" t="s">
        <v>35</v>
      </c>
      <c r="G53" s="5" t="n">
        <v>45028</v>
      </c>
      <c r="H53" s="105"/>
      <c r="I53" s="106"/>
      <c r="J53" s="106"/>
      <c r="K53" s="106"/>
      <c r="L53" s="106"/>
      <c r="M53" s="105"/>
      <c r="N53" s="106"/>
      <c r="O53" s="105"/>
      <c r="P53" s="7"/>
      <c r="Q53" s="107"/>
      <c r="R53" s="105" t="n">
        <v>156</v>
      </c>
      <c r="S53" s="107" t="n">
        <v>50</v>
      </c>
      <c r="T53" s="108" t="n">
        <v>14.04</v>
      </c>
      <c r="U53" s="95" t="n">
        <f aca="false">SUM(H53:T53)</f>
        <v>220.04</v>
      </c>
      <c r="V53" s="109" t="s">
        <v>30</v>
      </c>
      <c r="W53" s="10" t="s">
        <v>51</v>
      </c>
      <c r="X53" s="110" t="s">
        <v>39</v>
      </c>
      <c r="Y53" s="187"/>
      <c r="Z53" s="51"/>
    </row>
    <row r="54" s="10" customFormat="true" ht="13.2" hidden="false" customHeight="true" outlineLevel="0" collapsed="false">
      <c r="A54" s="100" t="s">
        <v>26</v>
      </c>
      <c r="B54" s="2" t="s">
        <v>133</v>
      </c>
      <c r="C54" s="3"/>
      <c r="D54" s="101" t="n">
        <v>4123103</v>
      </c>
      <c r="E54" s="102" t="n">
        <v>45028</v>
      </c>
      <c r="F54" s="103" t="s">
        <v>35</v>
      </c>
      <c r="G54" s="5" t="n">
        <v>45028</v>
      </c>
      <c r="H54" s="105"/>
      <c r="I54" s="106"/>
      <c r="J54" s="106"/>
      <c r="K54" s="106"/>
      <c r="L54" s="106"/>
      <c r="M54" s="105"/>
      <c r="N54" s="106"/>
      <c r="O54" s="105"/>
      <c r="P54" s="7"/>
      <c r="Q54" s="107"/>
      <c r="R54" s="105" t="n">
        <v>330</v>
      </c>
      <c r="S54" s="107" t="n">
        <v>75</v>
      </c>
      <c r="T54" s="108" t="n">
        <v>29.29</v>
      </c>
      <c r="U54" s="95" t="n">
        <f aca="false">SUM(H54:T54)</f>
        <v>434.29</v>
      </c>
      <c r="V54" s="109" t="s">
        <v>37</v>
      </c>
      <c r="W54" s="10" t="s">
        <v>38</v>
      </c>
      <c r="X54" s="110" t="s">
        <v>39</v>
      </c>
      <c r="Y54" s="187"/>
      <c r="Z54" s="51"/>
    </row>
    <row r="55" s="10" customFormat="true" ht="13.2" hidden="false" customHeight="true" outlineLevel="0" collapsed="false">
      <c r="A55" s="100" t="s">
        <v>26</v>
      </c>
      <c r="B55" s="2" t="s">
        <v>134</v>
      </c>
      <c r="C55" s="3"/>
      <c r="D55" s="101" t="n">
        <v>4173102</v>
      </c>
      <c r="E55" s="102" t="n">
        <v>45033</v>
      </c>
      <c r="F55" s="103" t="s">
        <v>35</v>
      </c>
      <c r="G55" s="5" t="n">
        <v>45033</v>
      </c>
      <c r="H55" s="105"/>
      <c r="I55" s="106"/>
      <c r="J55" s="106"/>
      <c r="K55" s="106"/>
      <c r="L55" s="106"/>
      <c r="M55" s="105"/>
      <c r="N55" s="106"/>
      <c r="O55" s="105"/>
      <c r="P55" s="7"/>
      <c r="Q55" s="107"/>
      <c r="R55" s="105" t="n">
        <v>434</v>
      </c>
      <c r="S55" s="107" t="n">
        <v>100</v>
      </c>
      <c r="T55" s="108" t="n">
        <v>39.06</v>
      </c>
      <c r="U55" s="95" t="n">
        <f aca="false">SUM(H55:T55)</f>
        <v>573.06</v>
      </c>
      <c r="V55" s="109" t="s">
        <v>37</v>
      </c>
      <c r="W55" s="10" t="s">
        <v>38</v>
      </c>
      <c r="X55" s="110" t="s">
        <v>39</v>
      </c>
      <c r="Y55" s="187"/>
      <c r="Z55" s="51"/>
    </row>
    <row r="56" s="10" customFormat="true" ht="13.2" hidden="false" customHeight="true" outlineLevel="0" collapsed="false">
      <c r="A56" s="100" t="s">
        <v>26</v>
      </c>
      <c r="B56" s="2" t="s">
        <v>135</v>
      </c>
      <c r="C56" s="3"/>
      <c r="D56" s="101" t="n">
        <v>4173103</v>
      </c>
      <c r="E56" s="102" t="n">
        <v>45033</v>
      </c>
      <c r="F56" s="103" t="s">
        <v>35</v>
      </c>
      <c r="G56" s="5" t="n">
        <v>45033</v>
      </c>
      <c r="H56" s="105"/>
      <c r="I56" s="106"/>
      <c r="J56" s="106"/>
      <c r="K56" s="106"/>
      <c r="L56" s="106"/>
      <c r="M56" s="105"/>
      <c r="N56" s="106"/>
      <c r="O56" s="105"/>
      <c r="P56" s="7"/>
      <c r="Q56" s="107"/>
      <c r="R56" s="105" t="n">
        <v>195</v>
      </c>
      <c r="S56" s="107" t="n">
        <v>25</v>
      </c>
      <c r="T56" s="108" t="n">
        <v>18.28</v>
      </c>
      <c r="U56" s="95" t="n">
        <f aca="false">SUM(H56:T56)</f>
        <v>238.28</v>
      </c>
      <c r="V56" s="109" t="s">
        <v>37</v>
      </c>
      <c r="W56" s="10" t="s">
        <v>38</v>
      </c>
      <c r="X56" s="110" t="s">
        <v>39</v>
      </c>
      <c r="Y56" s="187"/>
      <c r="Z56" s="51"/>
    </row>
    <row r="57" s="10" customFormat="true" ht="13.2" hidden="false" customHeight="true" outlineLevel="0" collapsed="false">
      <c r="A57" s="100" t="s">
        <v>26</v>
      </c>
      <c r="B57" s="2" t="s">
        <v>136</v>
      </c>
      <c r="C57" s="3"/>
      <c r="D57" s="101" t="n">
        <v>4173104</v>
      </c>
      <c r="E57" s="102" t="n">
        <v>45033</v>
      </c>
      <c r="F57" s="103" t="s">
        <v>35</v>
      </c>
      <c r="G57" s="5" t="n">
        <v>45033</v>
      </c>
      <c r="H57" s="105"/>
      <c r="I57" s="106"/>
      <c r="J57" s="106"/>
      <c r="K57" s="106"/>
      <c r="L57" s="106"/>
      <c r="M57" s="105"/>
      <c r="N57" s="106"/>
      <c r="O57" s="105"/>
      <c r="P57" s="7"/>
      <c r="Q57" s="107"/>
      <c r="R57" s="105" t="n">
        <v>435</v>
      </c>
      <c r="S57" s="107" t="n">
        <v>87.5</v>
      </c>
      <c r="T57" s="108" t="n">
        <v>33.71</v>
      </c>
      <c r="U57" s="95" t="n">
        <f aca="false">SUM(H57:T57)</f>
        <v>556.21</v>
      </c>
      <c r="V57" s="109" t="s">
        <v>37</v>
      </c>
      <c r="W57" s="10" t="s">
        <v>38</v>
      </c>
      <c r="X57" s="110" t="s">
        <v>39</v>
      </c>
      <c r="Y57" s="187"/>
      <c r="Z57" s="51"/>
    </row>
    <row r="58" s="10" customFormat="true" ht="13.2" hidden="false" customHeight="true" outlineLevel="0" collapsed="false">
      <c r="A58" s="100" t="s">
        <v>26</v>
      </c>
      <c r="B58" s="2" t="s">
        <v>137</v>
      </c>
      <c r="C58" s="3"/>
      <c r="D58" s="101" t="n">
        <v>4203101</v>
      </c>
      <c r="E58" s="102" t="n">
        <v>45036</v>
      </c>
      <c r="F58" s="103" t="s">
        <v>35</v>
      </c>
      <c r="G58" s="5" t="n">
        <v>45036</v>
      </c>
      <c r="H58" s="105"/>
      <c r="I58" s="106"/>
      <c r="J58" s="106"/>
      <c r="K58" s="106"/>
      <c r="L58" s="106"/>
      <c r="M58" s="105"/>
      <c r="N58" s="106"/>
      <c r="O58" s="105"/>
      <c r="P58" s="7"/>
      <c r="Q58" s="107"/>
      <c r="R58" s="105" t="n">
        <v>399</v>
      </c>
      <c r="S58" s="107" t="n">
        <v>87.5</v>
      </c>
      <c r="T58" s="108" t="n">
        <v>34.41</v>
      </c>
      <c r="U58" s="95" t="n">
        <f aca="false">SUM(H58:T58)</f>
        <v>520.91</v>
      </c>
      <c r="V58" s="109" t="s">
        <v>37</v>
      </c>
      <c r="W58" s="10" t="s">
        <v>38</v>
      </c>
      <c r="X58" s="110" t="s">
        <v>39</v>
      </c>
      <c r="Y58" s="187"/>
      <c r="Z58" s="51"/>
    </row>
    <row r="59" s="10" customFormat="true" ht="13.2" hidden="false" customHeight="true" outlineLevel="0" collapsed="false">
      <c r="A59" s="100" t="s">
        <v>26</v>
      </c>
      <c r="B59" s="2" t="s">
        <v>138</v>
      </c>
      <c r="C59" s="3"/>
      <c r="D59" s="101" t="n">
        <v>4203102</v>
      </c>
      <c r="E59" s="102" t="n">
        <v>45036</v>
      </c>
      <c r="F59" s="103" t="s">
        <v>35</v>
      </c>
      <c r="G59" s="5" t="n">
        <v>45036</v>
      </c>
      <c r="H59" s="105"/>
      <c r="I59" s="106"/>
      <c r="J59" s="106"/>
      <c r="K59" s="106"/>
      <c r="L59" s="106"/>
      <c r="M59" s="105"/>
      <c r="N59" s="106"/>
      <c r="O59" s="105"/>
      <c r="P59" s="7"/>
      <c r="Q59" s="107"/>
      <c r="R59" s="105" t="n">
        <v>195</v>
      </c>
      <c r="S59" s="107" t="n">
        <v>37.5</v>
      </c>
      <c r="T59" s="108" t="n">
        <v>18.04</v>
      </c>
      <c r="U59" s="95" t="n">
        <f aca="false">SUM(H59:T59)</f>
        <v>250.54</v>
      </c>
      <c r="V59" s="109" t="s">
        <v>37</v>
      </c>
      <c r="W59" s="10" t="s">
        <v>38</v>
      </c>
      <c r="X59" s="110" t="s">
        <v>39</v>
      </c>
      <c r="Y59" s="187"/>
      <c r="Z59" s="51"/>
    </row>
    <row r="60" s="10" customFormat="true" ht="13.2" hidden="false" customHeight="true" outlineLevel="0" collapsed="false">
      <c r="A60" s="100" t="s">
        <v>26</v>
      </c>
      <c r="B60" s="2" t="s">
        <v>83</v>
      </c>
      <c r="C60" s="3"/>
      <c r="D60" s="101" t="n">
        <v>4203103</v>
      </c>
      <c r="E60" s="102" t="n">
        <v>45036</v>
      </c>
      <c r="F60" s="103" t="s">
        <v>35</v>
      </c>
      <c r="G60" s="5" t="n">
        <v>45036</v>
      </c>
      <c r="H60" s="105"/>
      <c r="I60" s="106"/>
      <c r="J60" s="106"/>
      <c r="K60" s="106"/>
      <c r="L60" s="106"/>
      <c r="M60" s="105"/>
      <c r="N60" s="106"/>
      <c r="O60" s="105"/>
      <c r="P60" s="7"/>
      <c r="Q60" s="107"/>
      <c r="R60" s="105" t="n">
        <v>90</v>
      </c>
      <c r="S60" s="107"/>
      <c r="T60" s="108" t="n">
        <v>7.43</v>
      </c>
      <c r="U60" s="95" t="n">
        <f aca="false">SUM(H60:T60)</f>
        <v>97.43</v>
      </c>
      <c r="V60" s="109" t="s">
        <v>84</v>
      </c>
      <c r="W60" s="10" t="s">
        <v>85</v>
      </c>
      <c r="X60" s="110" t="s">
        <v>39</v>
      </c>
      <c r="Y60" s="187"/>
      <c r="Z60" s="51"/>
    </row>
    <row r="61" s="10" customFormat="true" ht="13.2" hidden="false" customHeight="true" outlineLevel="0" collapsed="false">
      <c r="A61" s="100" t="s">
        <v>26</v>
      </c>
      <c r="B61" s="2" t="s">
        <v>139</v>
      </c>
      <c r="C61" s="3"/>
      <c r="D61" s="101" t="n">
        <v>4243101</v>
      </c>
      <c r="E61" s="102" t="n">
        <v>45040</v>
      </c>
      <c r="F61" s="103" t="s">
        <v>35</v>
      </c>
      <c r="G61" s="5" t="n">
        <v>45040</v>
      </c>
      <c r="H61" s="105"/>
      <c r="I61" s="106"/>
      <c r="J61" s="106"/>
      <c r="K61" s="106"/>
      <c r="L61" s="106"/>
      <c r="M61" s="105"/>
      <c r="N61" s="106"/>
      <c r="O61" s="105"/>
      <c r="P61" s="7"/>
      <c r="Q61" s="107"/>
      <c r="R61" s="105" t="n">
        <v>110</v>
      </c>
      <c r="S61" s="107"/>
      <c r="T61" s="108" t="n">
        <v>10.18</v>
      </c>
      <c r="U61" s="95" t="n">
        <f aca="false">SUM(H61:T61)</f>
        <v>120.18</v>
      </c>
      <c r="V61" s="109" t="s">
        <v>30</v>
      </c>
      <c r="W61" s="10" t="s">
        <v>51</v>
      </c>
      <c r="X61" s="110" t="s">
        <v>39</v>
      </c>
      <c r="Y61" s="187"/>
      <c r="Z61" s="51"/>
    </row>
    <row r="62" s="10" customFormat="true" ht="13.2" hidden="false" customHeight="true" outlineLevel="0" collapsed="false">
      <c r="A62" s="100" t="s">
        <v>26</v>
      </c>
      <c r="B62" s="2" t="s">
        <v>140</v>
      </c>
      <c r="C62" s="3"/>
      <c r="D62" s="101" t="n">
        <v>4243105</v>
      </c>
      <c r="E62" s="102" t="n">
        <v>45040</v>
      </c>
      <c r="F62" s="103" t="s">
        <v>35</v>
      </c>
      <c r="G62" s="5" t="n">
        <v>45041</v>
      </c>
      <c r="H62" s="105"/>
      <c r="I62" s="106"/>
      <c r="J62" s="106"/>
      <c r="K62" s="106"/>
      <c r="L62" s="106"/>
      <c r="M62" s="105"/>
      <c r="N62" s="106"/>
      <c r="O62" s="105"/>
      <c r="P62" s="7"/>
      <c r="Q62" s="107"/>
      <c r="R62" s="105" t="n">
        <v>175</v>
      </c>
      <c r="S62" s="107" t="n">
        <v>37.5</v>
      </c>
      <c r="T62" s="108" t="n">
        <v>14.44</v>
      </c>
      <c r="U62" s="95" t="n">
        <f aca="false">SUM(H62:T62)</f>
        <v>226.94</v>
      </c>
      <c r="V62" s="109" t="s">
        <v>37</v>
      </c>
      <c r="W62" s="10" t="s">
        <v>38</v>
      </c>
      <c r="X62" s="110" t="s">
        <v>39</v>
      </c>
      <c r="Y62" s="187"/>
      <c r="Z62" s="51"/>
    </row>
    <row r="63" s="10" customFormat="true" ht="13.2" hidden="false" customHeight="true" outlineLevel="0" collapsed="false">
      <c r="A63" s="100" t="s">
        <v>26</v>
      </c>
      <c r="B63" s="2" t="s">
        <v>141</v>
      </c>
      <c r="C63" s="3"/>
      <c r="D63" s="101" t="n">
        <v>4243106</v>
      </c>
      <c r="E63" s="102" t="n">
        <v>45040</v>
      </c>
      <c r="F63" s="103" t="s">
        <v>35</v>
      </c>
      <c r="G63" s="5" t="n">
        <v>45041</v>
      </c>
      <c r="H63" s="105"/>
      <c r="I63" s="106"/>
      <c r="J63" s="106"/>
      <c r="K63" s="106"/>
      <c r="L63" s="106"/>
      <c r="M63" s="105"/>
      <c r="N63" s="106"/>
      <c r="O63" s="105"/>
      <c r="P63" s="7"/>
      <c r="Q63" s="107"/>
      <c r="R63" s="105" t="n">
        <v>775</v>
      </c>
      <c r="S63" s="107" t="n">
        <v>150</v>
      </c>
      <c r="T63" s="108" t="n">
        <v>71.69</v>
      </c>
      <c r="U63" s="95" t="n">
        <f aca="false">SUM(H63:T63)</f>
        <v>996.69</v>
      </c>
      <c r="V63" s="109" t="s">
        <v>37</v>
      </c>
      <c r="W63" s="10" t="s">
        <v>38</v>
      </c>
      <c r="X63" s="110" t="s">
        <v>39</v>
      </c>
      <c r="Y63" s="187"/>
      <c r="Z63" s="51"/>
    </row>
    <row r="64" s="10" customFormat="true" ht="14.1" hidden="false" customHeight="true" outlineLevel="0" collapsed="false">
      <c r="A64" s="100" t="s">
        <v>26</v>
      </c>
      <c r="B64" s="2" t="s">
        <v>142</v>
      </c>
      <c r="C64" s="3"/>
      <c r="D64" s="101" t="n">
        <v>4243107</v>
      </c>
      <c r="E64" s="102" t="n">
        <v>45040</v>
      </c>
      <c r="F64" s="103" t="s">
        <v>35</v>
      </c>
      <c r="G64" s="5" t="n">
        <v>45041</v>
      </c>
      <c r="H64" s="105"/>
      <c r="I64" s="106"/>
      <c r="J64" s="106"/>
      <c r="K64" s="106"/>
      <c r="L64" s="106"/>
      <c r="M64" s="105"/>
      <c r="N64" s="106"/>
      <c r="O64" s="105"/>
      <c r="P64" s="7"/>
      <c r="Q64" s="107"/>
      <c r="R64" s="105" t="n">
        <v>317</v>
      </c>
      <c r="S64" s="107" t="n">
        <v>62.5</v>
      </c>
      <c r="T64" s="108" t="n">
        <v>26.15</v>
      </c>
      <c r="U64" s="95" t="n">
        <f aca="false">SUM(H64:T64)</f>
        <v>405.65</v>
      </c>
      <c r="V64" s="109" t="s">
        <v>37</v>
      </c>
      <c r="W64" s="10" t="s">
        <v>38</v>
      </c>
      <c r="X64" s="110" t="s">
        <v>39</v>
      </c>
      <c r="Y64" s="187"/>
      <c r="Z64" s="51"/>
    </row>
    <row r="65" s="10" customFormat="true" ht="14.1" hidden="false" customHeight="true" outlineLevel="0" collapsed="false">
      <c r="A65" s="100" t="s">
        <v>26</v>
      </c>
      <c r="B65" s="2" t="s">
        <v>117</v>
      </c>
      <c r="C65" s="3" t="s">
        <v>143</v>
      </c>
      <c r="D65" s="101" t="n">
        <v>4253102</v>
      </c>
      <c r="E65" s="102" t="n">
        <v>45041</v>
      </c>
      <c r="F65" s="103" t="s">
        <v>35</v>
      </c>
      <c r="G65" s="5" t="n">
        <v>45041</v>
      </c>
      <c r="H65" s="105"/>
      <c r="I65" s="106"/>
      <c r="J65" s="106"/>
      <c r="K65" s="106"/>
      <c r="L65" s="106"/>
      <c r="M65" s="105"/>
      <c r="N65" s="106"/>
      <c r="O65" s="105"/>
      <c r="P65" s="7"/>
      <c r="Q65" s="107"/>
      <c r="R65" s="105" t="n">
        <v>90</v>
      </c>
      <c r="S65" s="107" t="n">
        <v>50</v>
      </c>
      <c r="T65" s="108"/>
      <c r="U65" s="95" t="n">
        <f aca="false">SUM(H65:T65)</f>
        <v>140</v>
      </c>
      <c r="V65" s="109" t="s">
        <v>37</v>
      </c>
      <c r="W65" s="10" t="s">
        <v>38</v>
      </c>
      <c r="X65" s="110" t="s">
        <v>39</v>
      </c>
      <c r="Y65" s="187"/>
      <c r="Z65" s="51"/>
    </row>
    <row r="66" s="10" customFormat="true" ht="14.1" hidden="false" customHeight="true" outlineLevel="0" collapsed="false">
      <c r="A66" s="100" t="s">
        <v>26</v>
      </c>
      <c r="B66" s="2" t="s">
        <v>144</v>
      </c>
      <c r="C66" s="3"/>
      <c r="D66" s="101" t="n">
        <v>4253102</v>
      </c>
      <c r="E66" s="102" t="n">
        <v>45041</v>
      </c>
      <c r="F66" s="103" t="s">
        <v>35</v>
      </c>
      <c r="G66" s="5" t="n">
        <v>45042</v>
      </c>
      <c r="H66" s="105"/>
      <c r="I66" s="106"/>
      <c r="J66" s="106"/>
      <c r="K66" s="106"/>
      <c r="L66" s="106"/>
      <c r="M66" s="105"/>
      <c r="N66" s="106"/>
      <c r="O66" s="105"/>
      <c r="P66" s="7"/>
      <c r="Q66" s="107"/>
      <c r="R66" s="105" t="n">
        <v>195</v>
      </c>
      <c r="S66" s="107" t="n">
        <v>37.5</v>
      </c>
      <c r="T66" s="108" t="n">
        <v>17.06</v>
      </c>
      <c r="U66" s="95" t="n">
        <f aca="false">SUM(H66:T66)</f>
        <v>249.56</v>
      </c>
      <c r="V66" s="109" t="s">
        <v>37</v>
      </c>
      <c r="W66" s="10" t="s">
        <v>38</v>
      </c>
      <c r="X66" s="110" t="s">
        <v>39</v>
      </c>
      <c r="Y66" s="187"/>
      <c r="Z66" s="51"/>
    </row>
    <row r="67" s="10" customFormat="true" ht="14.1" hidden="false" customHeight="true" outlineLevel="0" collapsed="false">
      <c r="A67" s="100" t="s">
        <v>26</v>
      </c>
      <c r="B67" s="2" t="s">
        <v>145</v>
      </c>
      <c r="C67" s="3"/>
      <c r="D67" s="101" t="n">
        <v>4263101</v>
      </c>
      <c r="E67" s="102" t="n">
        <v>45042</v>
      </c>
      <c r="F67" s="103" t="s">
        <v>35</v>
      </c>
      <c r="G67" s="5" t="n">
        <v>45042</v>
      </c>
      <c r="H67" s="105"/>
      <c r="I67" s="106"/>
      <c r="J67" s="106"/>
      <c r="K67" s="106"/>
      <c r="L67" s="106"/>
      <c r="M67" s="105"/>
      <c r="N67" s="106"/>
      <c r="O67" s="105"/>
      <c r="P67" s="7"/>
      <c r="Q67" s="107"/>
      <c r="R67" s="105" t="n">
        <v>39</v>
      </c>
      <c r="S67" s="107"/>
      <c r="T67" s="108" t="n">
        <v>3.22</v>
      </c>
      <c r="U67" s="95" t="n">
        <f aca="false">SUM(H67:T67)</f>
        <v>42.22</v>
      </c>
      <c r="V67" s="109" t="s">
        <v>30</v>
      </c>
      <c r="W67" s="10" t="s">
        <v>51</v>
      </c>
      <c r="X67" s="110" t="s">
        <v>39</v>
      </c>
      <c r="Y67" s="187"/>
      <c r="Z67" s="51"/>
    </row>
    <row r="68" s="10" customFormat="true" ht="14.1" hidden="false" customHeight="true" outlineLevel="0" collapsed="false">
      <c r="A68" s="100" t="s">
        <v>26</v>
      </c>
      <c r="B68" s="2" t="s">
        <v>146</v>
      </c>
      <c r="C68" s="3"/>
      <c r="D68" s="101" t="n">
        <v>4253101</v>
      </c>
      <c r="E68" s="102" t="n">
        <v>45041</v>
      </c>
      <c r="F68" s="103" t="s">
        <v>35</v>
      </c>
      <c r="G68" s="5" t="n">
        <v>45043</v>
      </c>
      <c r="H68" s="105"/>
      <c r="I68" s="106"/>
      <c r="J68" s="106"/>
      <c r="K68" s="106"/>
      <c r="L68" s="106"/>
      <c r="M68" s="105"/>
      <c r="N68" s="106"/>
      <c r="O68" s="105"/>
      <c r="P68" s="7"/>
      <c r="Q68" s="107"/>
      <c r="R68" s="105" t="n">
        <v>55</v>
      </c>
      <c r="S68" s="107" t="n">
        <v>12.5</v>
      </c>
      <c r="T68" s="108" t="n">
        <v>4.68</v>
      </c>
      <c r="U68" s="95" t="n">
        <f aca="false">SUM(H68:T68)</f>
        <v>72.18</v>
      </c>
      <c r="V68" s="109" t="s">
        <v>37</v>
      </c>
      <c r="W68" s="10" t="s">
        <v>38</v>
      </c>
      <c r="X68" s="110" t="s">
        <v>39</v>
      </c>
      <c r="Y68" s="187"/>
      <c r="Z68" s="51"/>
    </row>
    <row r="69" s="10" customFormat="true" ht="14.1" hidden="false" customHeight="true" outlineLevel="0" collapsed="false">
      <c r="A69" s="100" t="s">
        <v>26</v>
      </c>
      <c r="B69" s="2" t="s">
        <v>147</v>
      </c>
      <c r="C69" s="3"/>
      <c r="D69" s="101" t="n">
        <v>4263104</v>
      </c>
      <c r="E69" s="102" t="n">
        <v>45042</v>
      </c>
      <c r="F69" s="103" t="s">
        <v>35</v>
      </c>
      <c r="G69" s="5" t="n">
        <v>45043</v>
      </c>
      <c r="H69" s="105"/>
      <c r="I69" s="106"/>
      <c r="J69" s="106"/>
      <c r="K69" s="106"/>
      <c r="L69" s="106"/>
      <c r="M69" s="105"/>
      <c r="N69" s="106"/>
      <c r="O69" s="105"/>
      <c r="P69" s="7"/>
      <c r="Q69" s="107"/>
      <c r="R69" s="105" t="n">
        <v>65</v>
      </c>
      <c r="S69" s="107" t="n">
        <v>12.5</v>
      </c>
      <c r="T69" s="108" t="n">
        <v>5.61</v>
      </c>
      <c r="U69" s="95" t="n">
        <f aca="false">SUM(H69:T69)</f>
        <v>83.11</v>
      </c>
      <c r="V69" s="109" t="s">
        <v>37</v>
      </c>
      <c r="W69" s="10" t="s">
        <v>38</v>
      </c>
      <c r="X69" s="110" t="s">
        <v>39</v>
      </c>
      <c r="Y69" s="187"/>
      <c r="Z69" s="51"/>
    </row>
    <row r="70" s="10" customFormat="true" ht="14.1" hidden="false" customHeight="true" outlineLevel="0" collapsed="false">
      <c r="A70" s="100" t="s">
        <v>26</v>
      </c>
      <c r="B70" s="2" t="s">
        <v>148</v>
      </c>
      <c r="C70" s="3"/>
      <c r="D70" s="101" t="n">
        <v>4263103</v>
      </c>
      <c r="E70" s="102" t="n">
        <v>45042</v>
      </c>
      <c r="F70" s="103" t="s">
        <v>35</v>
      </c>
      <c r="G70" s="5" t="n">
        <v>45043</v>
      </c>
      <c r="H70" s="105"/>
      <c r="I70" s="106"/>
      <c r="J70" s="106"/>
      <c r="K70" s="106"/>
      <c r="L70" s="106"/>
      <c r="M70" s="105"/>
      <c r="N70" s="106"/>
      <c r="O70" s="105"/>
      <c r="P70" s="7"/>
      <c r="Q70" s="107"/>
      <c r="R70" s="105" t="n">
        <v>414</v>
      </c>
      <c r="S70" s="107" t="n">
        <v>100</v>
      </c>
      <c r="T70" s="108" t="n">
        <v>38.3</v>
      </c>
      <c r="U70" s="95" t="n">
        <f aca="false">SUM(H70:T70)</f>
        <v>552.3</v>
      </c>
      <c r="V70" s="109" t="s">
        <v>37</v>
      </c>
      <c r="W70" s="10" t="s">
        <v>38</v>
      </c>
      <c r="X70" s="110" t="s">
        <v>39</v>
      </c>
      <c r="Y70" s="187"/>
      <c r="Z70" s="51"/>
    </row>
    <row r="71" s="10" customFormat="true" ht="14.1" hidden="false" customHeight="true" outlineLevel="0" collapsed="false">
      <c r="A71" s="100" t="s">
        <v>26</v>
      </c>
      <c r="B71" s="2" t="s">
        <v>149</v>
      </c>
      <c r="C71" s="3"/>
      <c r="D71" s="101" t="n">
        <v>4273101</v>
      </c>
      <c r="E71" s="102" t="n">
        <v>45043</v>
      </c>
      <c r="F71" s="103" t="s">
        <v>35</v>
      </c>
      <c r="G71" s="5" t="n">
        <v>45043</v>
      </c>
      <c r="H71" s="105"/>
      <c r="I71" s="106"/>
      <c r="J71" s="106"/>
      <c r="K71" s="106"/>
      <c r="L71" s="106"/>
      <c r="M71" s="105"/>
      <c r="N71" s="106"/>
      <c r="O71" s="105"/>
      <c r="P71" s="7"/>
      <c r="Q71" s="107"/>
      <c r="R71" s="105" t="n">
        <v>110</v>
      </c>
      <c r="S71" s="107" t="n">
        <v>25</v>
      </c>
      <c r="T71" s="108" t="n">
        <v>9.35</v>
      </c>
      <c r="U71" s="95" t="n">
        <f aca="false">SUM(H71:T71)</f>
        <v>144.35</v>
      </c>
      <c r="V71" s="109" t="s">
        <v>37</v>
      </c>
      <c r="W71" s="10" t="s">
        <v>38</v>
      </c>
      <c r="X71" s="110" t="s">
        <v>39</v>
      </c>
      <c r="Y71" s="187"/>
      <c r="Z71" s="51"/>
    </row>
    <row r="72" s="10" customFormat="true" ht="14.1" hidden="false" customHeight="true" outlineLevel="0" collapsed="false">
      <c r="A72" s="100" t="s">
        <v>26</v>
      </c>
      <c r="B72" s="2" t="s">
        <v>150</v>
      </c>
      <c r="C72" s="3"/>
      <c r="D72" s="101" t="n">
        <v>4273102</v>
      </c>
      <c r="E72" s="102" t="n">
        <v>45043</v>
      </c>
      <c r="F72" s="103" t="s">
        <v>35</v>
      </c>
      <c r="G72" s="5" t="n">
        <v>45043</v>
      </c>
      <c r="H72" s="105"/>
      <c r="I72" s="106"/>
      <c r="J72" s="106"/>
      <c r="K72" s="106"/>
      <c r="L72" s="106"/>
      <c r="M72" s="105"/>
      <c r="N72" s="106"/>
      <c r="O72" s="105"/>
      <c r="P72" s="7"/>
      <c r="Q72" s="107"/>
      <c r="R72" s="105" t="n">
        <v>220</v>
      </c>
      <c r="S72" s="107" t="n">
        <v>50</v>
      </c>
      <c r="T72" s="108" t="n">
        <v>20.24</v>
      </c>
      <c r="U72" s="95" t="n">
        <f aca="false">SUM(H72:T72)</f>
        <v>290.24</v>
      </c>
      <c r="V72" s="109" t="s">
        <v>37</v>
      </c>
      <c r="W72" s="10" t="s">
        <v>38</v>
      </c>
      <c r="X72" s="110" t="s">
        <v>39</v>
      </c>
      <c r="Y72" s="187"/>
      <c r="Z72" s="51"/>
    </row>
    <row r="73" s="10" customFormat="true" ht="14.1" hidden="false" customHeight="true" outlineLevel="0" collapsed="false">
      <c r="A73" s="100" t="s">
        <v>26</v>
      </c>
      <c r="B73" s="2" t="s">
        <v>33</v>
      </c>
      <c r="C73" s="3" t="s">
        <v>151</v>
      </c>
      <c r="D73" s="101" t="n">
        <v>4283102</v>
      </c>
      <c r="E73" s="102" t="n">
        <v>45044</v>
      </c>
      <c r="F73" s="103" t="s">
        <v>35</v>
      </c>
      <c r="G73" s="5" t="n">
        <v>45044</v>
      </c>
      <c r="H73" s="105"/>
      <c r="I73" s="106"/>
      <c r="J73" s="106"/>
      <c r="K73" s="106"/>
      <c r="L73" s="106"/>
      <c r="M73" s="105"/>
      <c r="N73" s="106"/>
      <c r="O73" s="105"/>
      <c r="P73" s="7"/>
      <c r="Q73" s="107"/>
      <c r="R73" s="105" t="n">
        <v>110</v>
      </c>
      <c r="S73" s="107" t="n">
        <v>25</v>
      </c>
      <c r="T73" s="108" t="n">
        <v>10.18</v>
      </c>
      <c r="U73" s="95" t="n">
        <f aca="false">SUM(H73:T73)</f>
        <v>145.18</v>
      </c>
      <c r="V73" s="109" t="s">
        <v>37</v>
      </c>
      <c r="W73" s="10" t="s">
        <v>38</v>
      </c>
      <c r="X73" s="110" t="s">
        <v>39</v>
      </c>
      <c r="Y73" s="187"/>
      <c r="Z73" s="51"/>
    </row>
    <row r="74" s="10" customFormat="true" ht="14.1" hidden="false" customHeight="true" outlineLevel="0" collapsed="false">
      <c r="A74" s="100"/>
      <c r="B74" s="2"/>
      <c r="C74" s="3"/>
      <c r="D74" s="101"/>
      <c r="E74" s="102"/>
      <c r="F74" s="103"/>
      <c r="G74" s="5"/>
      <c r="H74" s="105"/>
      <c r="I74" s="106"/>
      <c r="J74" s="106"/>
      <c r="K74" s="106"/>
      <c r="L74" s="106"/>
      <c r="M74" s="105"/>
      <c r="N74" s="106"/>
      <c r="O74" s="105"/>
      <c r="P74" s="7"/>
      <c r="Q74" s="107"/>
      <c r="R74" s="105"/>
      <c r="S74" s="107"/>
      <c r="T74" s="108"/>
      <c r="U74" s="95"/>
      <c r="V74" s="109"/>
      <c r="X74" s="110"/>
      <c r="Y74" s="187"/>
      <c r="Z74" s="51"/>
    </row>
    <row r="75" s="10" customFormat="true" ht="14.1" hidden="false" customHeight="true" outlineLevel="0" collapsed="false">
      <c r="A75" s="100"/>
      <c r="B75" s="2"/>
      <c r="C75" s="3"/>
      <c r="D75" s="101"/>
      <c r="E75" s="102"/>
      <c r="F75" s="103"/>
      <c r="G75" s="5"/>
      <c r="H75" s="105"/>
      <c r="I75" s="106"/>
      <c r="J75" s="106"/>
      <c r="K75" s="106"/>
      <c r="L75" s="106"/>
      <c r="M75" s="105"/>
      <c r="N75" s="106"/>
      <c r="O75" s="105"/>
      <c r="P75" s="7"/>
      <c r="Q75" s="107"/>
      <c r="R75" s="105"/>
      <c r="S75" s="107"/>
      <c r="T75" s="108"/>
      <c r="U75" s="95"/>
      <c r="V75" s="109"/>
      <c r="X75" s="110"/>
      <c r="Y75" s="187"/>
      <c r="Z75" s="51"/>
    </row>
    <row r="76" s="10" customFormat="true" ht="14.1" hidden="false" customHeight="true" outlineLevel="0" collapsed="false">
      <c r="A76" s="100"/>
      <c r="B76" s="2"/>
      <c r="C76" s="3"/>
      <c r="D76" s="101"/>
      <c r="E76" s="102"/>
      <c r="F76" s="103"/>
      <c r="G76" s="5"/>
      <c r="H76" s="105"/>
      <c r="I76" s="106"/>
      <c r="J76" s="106"/>
      <c r="K76" s="106"/>
      <c r="L76" s="106"/>
      <c r="M76" s="105"/>
      <c r="N76" s="106"/>
      <c r="O76" s="105"/>
      <c r="P76" s="7"/>
      <c r="Q76" s="107"/>
      <c r="R76" s="105"/>
      <c r="S76" s="107"/>
      <c r="T76" s="108"/>
      <c r="U76" s="95"/>
      <c r="V76" s="109"/>
      <c r="X76" s="110"/>
      <c r="Y76" s="187"/>
      <c r="Z76" s="51"/>
    </row>
    <row r="77" s="10" customFormat="true" ht="14.1" hidden="false" customHeight="true" outlineLevel="0" collapsed="false">
      <c r="A77" s="100"/>
      <c r="B77" s="2"/>
      <c r="C77" s="3"/>
      <c r="D77" s="101"/>
      <c r="E77" s="102"/>
      <c r="F77" s="103"/>
      <c r="G77" s="5"/>
      <c r="H77" s="105"/>
      <c r="I77" s="106"/>
      <c r="J77" s="106"/>
      <c r="K77" s="106"/>
      <c r="L77" s="106"/>
      <c r="M77" s="105"/>
      <c r="N77" s="106"/>
      <c r="O77" s="105"/>
      <c r="P77" s="7"/>
      <c r="Q77" s="107"/>
      <c r="R77" s="105"/>
      <c r="S77" s="107"/>
      <c r="T77" s="108"/>
      <c r="U77" s="95"/>
      <c r="V77" s="109"/>
      <c r="X77" s="110"/>
      <c r="Y77" s="187"/>
      <c r="Z77" s="51"/>
    </row>
    <row r="78" s="10" customFormat="true" ht="14.1" hidden="false" customHeight="true" outlineLevel="0" collapsed="false">
      <c r="A78" s="100"/>
      <c r="B78" s="2"/>
      <c r="C78" s="3"/>
      <c r="D78" s="101"/>
      <c r="E78" s="102"/>
      <c r="F78" s="103"/>
      <c r="G78" s="5"/>
      <c r="H78" s="105"/>
      <c r="I78" s="106"/>
      <c r="J78" s="106"/>
      <c r="K78" s="106"/>
      <c r="L78" s="106"/>
      <c r="M78" s="105"/>
      <c r="N78" s="106"/>
      <c r="O78" s="105"/>
      <c r="P78" s="7"/>
      <c r="Q78" s="107"/>
      <c r="R78" s="105"/>
      <c r="S78" s="107"/>
      <c r="T78" s="108"/>
      <c r="U78" s="95"/>
      <c r="V78" s="109"/>
      <c r="X78" s="110"/>
      <c r="Y78" s="187"/>
      <c r="Z78" s="51"/>
    </row>
    <row r="79" s="10" customFormat="true" ht="14.1" hidden="false" customHeight="true" outlineLevel="0" collapsed="false">
      <c r="A79" s="100"/>
      <c r="B79" s="2"/>
      <c r="C79" s="3"/>
      <c r="D79" s="101"/>
      <c r="E79" s="102"/>
      <c r="F79" s="103"/>
      <c r="G79" s="5"/>
      <c r="H79" s="105"/>
      <c r="I79" s="106"/>
      <c r="J79" s="106"/>
      <c r="K79" s="106"/>
      <c r="L79" s="106"/>
      <c r="M79" s="105"/>
      <c r="N79" s="106"/>
      <c r="O79" s="105"/>
      <c r="P79" s="7"/>
      <c r="Q79" s="107"/>
      <c r="R79" s="105"/>
      <c r="S79" s="107"/>
      <c r="T79" s="108"/>
      <c r="U79" s="95"/>
      <c r="V79" s="109"/>
      <c r="X79" s="110"/>
      <c r="Y79" s="187"/>
      <c r="Z79" s="51"/>
    </row>
    <row r="80" s="10" customFormat="true" ht="14.1" hidden="false" customHeight="true" outlineLevel="0" collapsed="false">
      <c r="A80" s="100"/>
      <c r="B80" s="2"/>
      <c r="C80" s="3"/>
      <c r="D80" s="101"/>
      <c r="E80" s="102"/>
      <c r="F80" s="103"/>
      <c r="G80" s="5"/>
      <c r="H80" s="105"/>
      <c r="I80" s="106"/>
      <c r="J80" s="106"/>
      <c r="K80" s="106"/>
      <c r="L80" s="106"/>
      <c r="M80" s="105"/>
      <c r="N80" s="106"/>
      <c r="O80" s="105"/>
      <c r="P80" s="7"/>
      <c r="Q80" s="107"/>
      <c r="R80" s="105"/>
      <c r="S80" s="107"/>
      <c r="T80" s="108"/>
      <c r="U80" s="95"/>
      <c r="V80" s="109"/>
      <c r="X80" s="110"/>
      <c r="Y80" s="187"/>
      <c r="Z80" s="51"/>
    </row>
    <row r="81" s="10" customFormat="true" ht="14.1" hidden="false" customHeight="true" outlineLevel="0" collapsed="false">
      <c r="A81" s="100"/>
      <c r="B81" s="2"/>
      <c r="C81" s="3"/>
      <c r="D81" s="101"/>
      <c r="E81" s="102"/>
      <c r="F81" s="103"/>
      <c r="G81" s="5"/>
      <c r="H81" s="105"/>
      <c r="I81" s="106"/>
      <c r="J81" s="106"/>
      <c r="K81" s="106"/>
      <c r="L81" s="106"/>
      <c r="M81" s="105"/>
      <c r="N81" s="106"/>
      <c r="O81" s="105"/>
      <c r="P81" s="7"/>
      <c r="Q81" s="107"/>
      <c r="R81" s="105"/>
      <c r="S81" s="107"/>
      <c r="T81" s="106"/>
      <c r="U81" s="95"/>
      <c r="V81" s="109"/>
      <c r="X81" s="110"/>
      <c r="Y81" s="187"/>
      <c r="Z81" s="51"/>
    </row>
    <row r="82" s="10" customFormat="true" ht="14.1" hidden="false" customHeight="true" outlineLevel="0" collapsed="false">
      <c r="A82" s="100"/>
      <c r="B82" s="2"/>
      <c r="C82" s="3"/>
      <c r="D82" s="101"/>
      <c r="E82" s="102"/>
      <c r="F82" s="103"/>
      <c r="G82" s="5"/>
      <c r="H82" s="105"/>
      <c r="I82" s="106"/>
      <c r="J82" s="106"/>
      <c r="K82" s="106"/>
      <c r="L82" s="106"/>
      <c r="M82" s="105"/>
      <c r="N82" s="106"/>
      <c r="O82" s="105"/>
      <c r="P82" s="7"/>
      <c r="Q82" s="107"/>
      <c r="R82" s="105"/>
      <c r="S82" s="107"/>
      <c r="T82" s="108"/>
      <c r="U82" s="95"/>
      <c r="V82" s="109"/>
      <c r="X82" s="110"/>
      <c r="Y82" s="187"/>
      <c r="Z82" s="51"/>
    </row>
    <row r="83" s="10" customFormat="true" ht="14.1" hidden="false" customHeight="true" outlineLevel="0" collapsed="false">
      <c r="A83" s="100"/>
      <c r="B83" s="2"/>
      <c r="C83" s="3"/>
      <c r="D83" s="101"/>
      <c r="E83" s="102"/>
      <c r="F83" s="103"/>
      <c r="G83" s="5"/>
      <c r="H83" s="105"/>
      <c r="I83" s="106"/>
      <c r="J83" s="106"/>
      <c r="K83" s="106"/>
      <c r="L83" s="106"/>
      <c r="M83" s="105"/>
      <c r="N83" s="106"/>
      <c r="O83" s="105"/>
      <c r="P83" s="7"/>
      <c r="Q83" s="107"/>
      <c r="R83" s="105"/>
      <c r="S83" s="107"/>
      <c r="T83" s="108"/>
      <c r="U83" s="95"/>
      <c r="V83" s="109"/>
      <c r="X83" s="110"/>
      <c r="Y83" s="187"/>
      <c r="Z83" s="51"/>
    </row>
    <row r="84" s="10" customFormat="true" ht="14.1" hidden="false" customHeight="true" outlineLevel="0" collapsed="false">
      <c r="A84" s="100"/>
      <c r="B84" s="2"/>
      <c r="C84" s="3"/>
      <c r="D84" s="101"/>
      <c r="E84" s="102"/>
      <c r="F84" s="103"/>
      <c r="G84" s="5"/>
      <c r="H84" s="105"/>
      <c r="I84" s="106"/>
      <c r="J84" s="106"/>
      <c r="K84" s="106"/>
      <c r="L84" s="106"/>
      <c r="M84" s="105"/>
      <c r="N84" s="106"/>
      <c r="O84" s="105"/>
      <c r="P84" s="7"/>
      <c r="Q84" s="107"/>
      <c r="R84" s="105"/>
      <c r="S84" s="107"/>
      <c r="T84" s="108"/>
      <c r="U84" s="95"/>
      <c r="V84" s="109"/>
      <c r="X84" s="110"/>
      <c r="Y84" s="187"/>
      <c r="Z84" s="51"/>
    </row>
    <row r="85" s="10" customFormat="true" ht="14.1" hidden="false" customHeight="true" outlineLevel="0" collapsed="false">
      <c r="A85" s="100"/>
      <c r="B85" s="2"/>
      <c r="C85" s="3"/>
      <c r="D85" s="101"/>
      <c r="E85" s="102"/>
      <c r="F85" s="103"/>
      <c r="G85" s="5"/>
      <c r="H85" s="105"/>
      <c r="I85" s="106"/>
      <c r="J85" s="106"/>
      <c r="K85" s="106"/>
      <c r="L85" s="106"/>
      <c r="M85" s="105"/>
      <c r="N85" s="106"/>
      <c r="O85" s="105"/>
      <c r="P85" s="7"/>
      <c r="Q85" s="107"/>
      <c r="R85" s="105"/>
      <c r="S85" s="107"/>
      <c r="T85" s="108"/>
      <c r="U85" s="95"/>
      <c r="V85" s="109"/>
      <c r="X85" s="110"/>
      <c r="Y85" s="187"/>
      <c r="Z85" s="51"/>
    </row>
    <row r="86" s="10" customFormat="true" ht="14.1" hidden="false" customHeight="true" outlineLevel="0" collapsed="false">
      <c r="A86" s="100"/>
      <c r="B86" s="2"/>
      <c r="C86" s="3"/>
      <c r="D86" s="101"/>
      <c r="E86" s="102"/>
      <c r="F86" s="103"/>
      <c r="G86" s="5"/>
      <c r="H86" s="105"/>
      <c r="I86" s="106"/>
      <c r="J86" s="106"/>
      <c r="K86" s="106"/>
      <c r="L86" s="106"/>
      <c r="M86" s="105"/>
      <c r="N86" s="106"/>
      <c r="O86" s="105"/>
      <c r="P86" s="7"/>
      <c r="Q86" s="107"/>
      <c r="R86" s="105"/>
      <c r="S86" s="107"/>
      <c r="T86" s="108"/>
      <c r="U86" s="95"/>
      <c r="V86" s="109"/>
      <c r="X86" s="110"/>
      <c r="Y86" s="187"/>
      <c r="Z86" s="51"/>
    </row>
    <row r="87" s="10" customFormat="true" ht="14.1" hidden="false" customHeight="true" outlineLevel="0" collapsed="false">
      <c r="A87" s="100"/>
      <c r="B87" s="2"/>
      <c r="C87" s="3"/>
      <c r="D87" s="101"/>
      <c r="E87" s="102"/>
      <c r="F87" s="103"/>
      <c r="G87" s="5"/>
      <c r="H87" s="105"/>
      <c r="I87" s="106"/>
      <c r="J87" s="106"/>
      <c r="K87" s="106"/>
      <c r="L87" s="106"/>
      <c r="M87" s="105"/>
      <c r="N87" s="106"/>
      <c r="O87" s="105"/>
      <c r="P87" s="7"/>
      <c r="Q87" s="107"/>
      <c r="R87" s="105"/>
      <c r="S87" s="107"/>
      <c r="T87" s="108"/>
      <c r="U87" s="95"/>
      <c r="V87" s="109"/>
      <c r="X87" s="110"/>
      <c r="Y87" s="187"/>
      <c r="Z87" s="51"/>
    </row>
    <row r="88" s="10" customFormat="true" ht="14.1" hidden="false" customHeight="true" outlineLevel="0" collapsed="false">
      <c r="A88" s="189"/>
      <c r="B88" s="190"/>
      <c r="C88" s="191"/>
      <c r="D88" s="191"/>
      <c r="E88" s="192"/>
      <c r="F88" s="193"/>
      <c r="G88" s="194"/>
      <c r="H88" s="195"/>
      <c r="I88" s="195"/>
      <c r="J88" s="196"/>
      <c r="K88" s="196"/>
      <c r="L88" s="196"/>
      <c r="M88" s="195"/>
      <c r="N88" s="195"/>
      <c r="O88" s="195"/>
      <c r="P88" s="128"/>
      <c r="Q88" s="197"/>
      <c r="R88" s="195"/>
      <c r="S88" s="197"/>
      <c r="T88" s="198"/>
      <c r="U88" s="199"/>
      <c r="V88" s="200"/>
      <c r="W88" s="29"/>
      <c r="X88" s="29"/>
      <c r="Y88" s="258" t="n">
        <f aca="false">SUM(U44:U87)</f>
        <v>9492.65</v>
      </c>
      <c r="Z88" s="202" t="n">
        <f aca="false">Y88/V90</f>
        <v>0.593100462164319</v>
      </c>
      <c r="AA88" s="51"/>
    </row>
    <row r="89" s="10" customFormat="true" ht="19.5" hidden="false" customHeight="true" outlineLevel="0" collapsed="false">
      <c r="A89" s="259"/>
      <c r="B89" s="260"/>
      <c r="C89" s="260"/>
      <c r="D89" s="49"/>
      <c r="E89" s="49"/>
      <c r="F89" s="261"/>
      <c r="G89" s="49"/>
      <c r="H89" s="262" t="n">
        <f aca="false">SUM(H4:H87)</f>
        <v>0</v>
      </c>
      <c r="I89" s="262" t="n">
        <f aca="false">SUM(I4:I87)</f>
        <v>0</v>
      </c>
      <c r="J89" s="262" t="n">
        <f aca="false">SUM(J4:J87)</f>
        <v>0</v>
      </c>
      <c r="K89" s="262" t="n">
        <f aca="false">SUM(K4:K87)</f>
        <v>0</v>
      </c>
      <c r="L89" s="262" t="n">
        <f aca="false">SUM(L4:L87)</f>
        <v>0</v>
      </c>
      <c r="M89" s="262" t="n">
        <f aca="false">SUM(M4:M87)</f>
        <v>0</v>
      </c>
      <c r="N89" s="262" t="n">
        <f aca="false">SUM(N4:N87)</f>
        <v>0</v>
      </c>
      <c r="O89" s="262" t="n">
        <f aca="false">SUM(O4:O87)</f>
        <v>0</v>
      </c>
      <c r="P89" s="262" t="n">
        <f aca="false">SUM(P4:P87)</f>
        <v>0</v>
      </c>
      <c r="Q89" s="262" t="n">
        <f aca="false">SUM(Q4:Q87)</f>
        <v>0</v>
      </c>
      <c r="R89" s="262" t="n">
        <f aca="false">SUM(R4:R87)</f>
        <v>12435.5</v>
      </c>
      <c r="S89" s="262" t="n">
        <f aca="false">SUM(S4:S87)</f>
        <v>2445</v>
      </c>
      <c r="T89" s="262" t="n">
        <f aca="false">SUM(T4:T87)</f>
        <v>1124.63</v>
      </c>
      <c r="U89" s="262" t="n">
        <f aca="false">SUM(U4:U87)</f>
        <v>16005.13</v>
      </c>
      <c r="V89" s="263"/>
      <c r="W89" s="11"/>
      <c r="X89" s="11"/>
      <c r="Y89" s="3"/>
      <c r="Z89" s="2"/>
      <c r="AA89" s="264"/>
      <c r="AB89" s="264"/>
      <c r="AC89" s="264"/>
    </row>
    <row r="90" s="10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9"/>
      <c r="V90" s="265" t="n">
        <f aca="false">SUM(H89:T89)</f>
        <v>16005.13</v>
      </c>
      <c r="Y90" s="266"/>
      <c r="Z90" s="12"/>
    </row>
    <row r="91" s="10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9"/>
      <c r="V91" s="2"/>
      <c r="Y91" s="266"/>
      <c r="Z91" s="12"/>
    </row>
    <row r="92" s="10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9"/>
      <c r="V92" s="2"/>
      <c r="Y92" s="266"/>
      <c r="Z92" s="12"/>
    </row>
    <row r="93" s="10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9"/>
      <c r="V93" s="2"/>
      <c r="Y93" s="266"/>
      <c r="Z93" s="12"/>
    </row>
    <row r="94" s="10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9"/>
      <c r="V94" s="2"/>
      <c r="Y94" s="266"/>
      <c r="Z94" s="12"/>
    </row>
    <row r="95" s="10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9"/>
      <c r="V95" s="2"/>
      <c r="Y95" s="266"/>
      <c r="Z95" s="12"/>
    </row>
    <row r="96" s="10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9"/>
      <c r="V96" s="2"/>
      <c r="Y96" s="266"/>
      <c r="Z96" s="12"/>
    </row>
    <row r="97" s="10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9"/>
      <c r="V97" s="2"/>
      <c r="Y97" s="266"/>
      <c r="Z97" s="12"/>
    </row>
    <row r="98" s="10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9"/>
      <c r="V98" s="2"/>
      <c r="Y98" s="266"/>
      <c r="Z98" s="12"/>
    </row>
    <row r="99" s="10" customFormat="true" ht="14.1" hidden="false" customHeight="true" outlineLevel="0" collapsed="false">
      <c r="A99" s="2"/>
      <c r="B99" s="2"/>
      <c r="C99" s="267"/>
      <c r="D99" s="3"/>
      <c r="E99" s="4"/>
      <c r="F99" s="3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8"/>
      <c r="T99" s="8"/>
      <c r="V99" s="268"/>
      <c r="W99" s="269"/>
      <c r="X99" s="269"/>
      <c r="Y99" s="270"/>
      <c r="Z99" s="2"/>
    </row>
    <row r="100" s="10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9"/>
      <c r="V100" s="2"/>
      <c r="Y100" s="266"/>
      <c r="Z100" s="12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"/>
      <c r="Y101" s="266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66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66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66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66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66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66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66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66"/>
      <c r="Z109" s="12"/>
    </row>
    <row r="110" s="10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9"/>
      <c r="V110" s="2"/>
      <c r="Y110" s="266"/>
      <c r="Z110" s="1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66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66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66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66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66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66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66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66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66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66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66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66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66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66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66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66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66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66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66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66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66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66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66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66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66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66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66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66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66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66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66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66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66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66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66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66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66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66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66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66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66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66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66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66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66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66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66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66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66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66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66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66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66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66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66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66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66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66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66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66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66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66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66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66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66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66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66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66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66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66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66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66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66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66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66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66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66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66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66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66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66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66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66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66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66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66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66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66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66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66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66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66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66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66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66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66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66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66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66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66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66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66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66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66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66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66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66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66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66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66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66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66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66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66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66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66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66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66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66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66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66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66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66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66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66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66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66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66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66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66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66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66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66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66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66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66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66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66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66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66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66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66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66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66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66"/>
      <c r="Z255" s="12"/>
    </row>
    <row r="256" s="10" customFormat="true" ht="14.1" hidden="false" customHeight="true" outlineLevel="0" collapsed="false">
      <c r="A256" s="2"/>
      <c r="B256" s="2"/>
      <c r="C256" s="3"/>
      <c r="D256" s="3"/>
      <c r="E256" s="4"/>
      <c r="F256" s="3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9"/>
      <c r="V256" s="2"/>
      <c r="Y256" s="266"/>
      <c r="Z256" s="12"/>
    </row>
    <row r="257" s="10" customFormat="true" ht="14.1" hidden="false" customHeight="true" outlineLevel="0" collapsed="false">
      <c r="A257" s="2"/>
      <c r="B257" s="2"/>
      <c r="C257" s="3"/>
      <c r="D257" s="3"/>
      <c r="E257" s="4"/>
      <c r="F257" s="3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9"/>
      <c r="V257" s="2"/>
      <c r="Y257" s="266"/>
      <c r="Z257" s="12"/>
    </row>
    <row r="258" s="10" customFormat="true" ht="14.1" hidden="false" customHeight="true" outlineLevel="0" collapsed="false">
      <c r="A258" s="2"/>
      <c r="B258" s="2"/>
      <c r="C258" s="3"/>
      <c r="D258" s="3"/>
      <c r="E258" s="4"/>
      <c r="F258" s="3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9"/>
      <c r="V258" s="2"/>
      <c r="Y258" s="266"/>
      <c r="Z258" s="12"/>
    </row>
    <row r="259" s="10" customFormat="true" ht="14.1" hidden="false" customHeight="true" outlineLevel="0" collapsed="false">
      <c r="A259" s="2"/>
      <c r="B259" s="2"/>
      <c r="C259" s="3"/>
      <c r="D259" s="3"/>
      <c r="E259" s="4"/>
      <c r="F259" s="3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8"/>
      <c r="U259" s="9"/>
      <c r="V259" s="2"/>
      <c r="Y259" s="266"/>
      <c r="Z259" s="12"/>
    </row>
    <row r="260" s="10" customFormat="true" ht="14.1" hidden="false" customHeight="true" outlineLevel="0" collapsed="false">
      <c r="A260" s="2"/>
      <c r="B260" s="2"/>
      <c r="C260" s="3"/>
      <c r="D260" s="3"/>
      <c r="E260" s="4"/>
      <c r="F260" s="3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"/>
      <c r="U260" s="9"/>
      <c r="V260" s="2"/>
      <c r="Y260" s="266"/>
      <c r="Z260" s="12"/>
    </row>
    <row r="261" s="10" customFormat="true" ht="14.1" hidden="false" customHeight="true" outlineLevel="0" collapsed="false">
      <c r="A261" s="2"/>
      <c r="B261" s="2"/>
      <c r="C261" s="3"/>
      <c r="D261" s="3"/>
      <c r="E261" s="4"/>
      <c r="F261" s="3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8"/>
      <c r="U261" s="9"/>
      <c r="V261" s="2"/>
      <c r="Y261" s="266"/>
      <c r="Z261" s="12"/>
    </row>
    <row r="262" s="10" customFormat="true" ht="14.1" hidden="false" customHeight="true" outlineLevel="0" collapsed="false">
      <c r="A262" s="2"/>
      <c r="B262" s="2"/>
      <c r="C262" s="3"/>
      <c r="D262" s="3"/>
      <c r="E262" s="4"/>
      <c r="F262" s="3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8"/>
      <c r="U262" s="9"/>
      <c r="V262" s="2"/>
      <c r="Y262" s="266"/>
      <c r="Z262" s="12"/>
    </row>
    <row r="263" s="10" customFormat="true" ht="14.1" hidden="false" customHeight="true" outlineLevel="0" collapsed="false">
      <c r="A263" s="2"/>
      <c r="B263" s="2"/>
      <c r="C263" s="3"/>
      <c r="D263" s="3"/>
      <c r="E263" s="4"/>
      <c r="F263" s="3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8"/>
      <c r="U263" s="9"/>
      <c r="V263" s="2"/>
      <c r="Y263" s="266"/>
      <c r="Z263" s="12"/>
    </row>
    <row r="264" s="10" customFormat="true" ht="14.1" hidden="false" customHeight="true" outlineLevel="0" collapsed="false">
      <c r="A264" s="2"/>
      <c r="B264" s="2"/>
      <c r="C264" s="3"/>
      <c r="D264" s="3"/>
      <c r="E264" s="4"/>
      <c r="F264" s="3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8"/>
      <c r="U264" s="9"/>
      <c r="V264" s="2"/>
      <c r="Y264" s="266"/>
      <c r="Z264" s="12"/>
    </row>
    <row r="265" s="10" customFormat="true" ht="14.1" hidden="false" customHeight="true" outlineLevel="0" collapsed="false">
      <c r="A265" s="2"/>
      <c r="B265" s="2"/>
      <c r="C265" s="3"/>
      <c r="D265" s="3"/>
      <c r="E265" s="4"/>
      <c r="F265" s="3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"/>
      <c r="U265" s="9"/>
      <c r="V265" s="2"/>
      <c r="Y265" s="266"/>
      <c r="Z265" s="12"/>
    </row>
    <row r="266" s="10" customFormat="true" ht="14.1" hidden="false" customHeight="true" outlineLevel="0" collapsed="false">
      <c r="A266" s="2"/>
      <c r="B266" s="2"/>
      <c r="C266" s="3"/>
      <c r="D266" s="3"/>
      <c r="E266" s="4"/>
      <c r="F266" s="3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"/>
      <c r="U266" s="9"/>
      <c r="V266" s="2"/>
      <c r="Y266" s="266"/>
      <c r="Z266" s="12"/>
    </row>
    <row r="267" s="10" customFormat="true" ht="14.1" hidden="false" customHeight="true" outlineLevel="0" collapsed="false">
      <c r="A267" s="2"/>
      <c r="B267" s="2"/>
      <c r="C267" s="3"/>
      <c r="D267" s="3"/>
      <c r="E267" s="4"/>
      <c r="F267" s="3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"/>
      <c r="U267" s="9"/>
      <c r="V267" s="2"/>
      <c r="Y267" s="266"/>
      <c r="Z267" s="12"/>
    </row>
    <row r="268" s="10" customFormat="true" ht="14.1" hidden="false" customHeight="true" outlineLevel="0" collapsed="false">
      <c r="A268" s="2"/>
      <c r="B268" s="2"/>
      <c r="C268" s="3"/>
      <c r="D268" s="3"/>
      <c r="E268" s="4"/>
      <c r="F268" s="3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8"/>
      <c r="U268" s="9"/>
      <c r="V268" s="2"/>
      <c r="Y268" s="266"/>
      <c r="Z268" s="12"/>
    </row>
    <row r="269" s="10" customFormat="true" ht="14.1" hidden="false" customHeight="true" outlineLevel="0" collapsed="false">
      <c r="A269" s="2"/>
      <c r="B269" s="2"/>
      <c r="C269" s="3"/>
      <c r="D269" s="3"/>
      <c r="E269" s="4"/>
      <c r="F269" s="3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8"/>
      <c r="U269" s="9"/>
      <c r="V269" s="2"/>
      <c r="Y269" s="266"/>
      <c r="Z269" s="12"/>
    </row>
    <row r="270" s="10" customFormat="true" ht="14.1" hidden="false" customHeight="true" outlineLevel="0" collapsed="false">
      <c r="A270" s="2"/>
      <c r="B270" s="2"/>
      <c r="C270" s="3"/>
      <c r="D270" s="3"/>
      <c r="E270" s="4"/>
      <c r="F270" s="3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8"/>
      <c r="U270" s="9"/>
      <c r="V270" s="2"/>
      <c r="Y270" s="266"/>
      <c r="Z270" s="12"/>
    </row>
    <row r="271" s="10" customFormat="true" ht="14.1" hidden="false" customHeight="true" outlineLevel="0" collapsed="false">
      <c r="A271" s="2"/>
      <c r="B271" s="2"/>
      <c r="C271" s="3"/>
      <c r="D271" s="3"/>
      <c r="E271" s="4"/>
      <c r="F271" s="3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8"/>
      <c r="U271" s="9"/>
      <c r="V271" s="2"/>
      <c r="Y271" s="266"/>
      <c r="Z271" s="12"/>
    </row>
    <row r="272" s="10" customFormat="true" ht="14.1" hidden="false" customHeight="true" outlineLevel="0" collapsed="false">
      <c r="A272" s="2"/>
      <c r="B272" s="2"/>
      <c r="C272" s="3"/>
      <c r="D272" s="3"/>
      <c r="E272" s="4"/>
      <c r="F272" s="3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8"/>
      <c r="U272" s="9"/>
      <c r="V272" s="2"/>
      <c r="Y272" s="266"/>
      <c r="Z272" s="12"/>
    </row>
    <row r="273" s="10" customFormat="true" ht="14.1" hidden="false" customHeight="true" outlineLevel="0" collapsed="false">
      <c r="A273" s="2"/>
      <c r="B273" s="2"/>
      <c r="C273" s="3"/>
      <c r="D273" s="3"/>
      <c r="E273" s="4"/>
      <c r="F273" s="3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8"/>
      <c r="U273" s="9"/>
      <c r="V273" s="2"/>
      <c r="Y273" s="266"/>
      <c r="Z273" s="12"/>
    </row>
    <row r="274" s="10" customFormat="true" ht="14.1" hidden="false" customHeight="true" outlineLevel="0" collapsed="false">
      <c r="A274" s="2"/>
      <c r="B274" s="2"/>
      <c r="C274" s="3"/>
      <c r="D274" s="3"/>
      <c r="E274" s="4"/>
      <c r="F274" s="3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8"/>
      <c r="U274" s="9"/>
      <c r="V274" s="2"/>
      <c r="Y274" s="266"/>
      <c r="Z274" s="12"/>
    </row>
    <row r="275" s="10" customFormat="true" ht="14.1" hidden="false" customHeight="true" outlineLevel="0" collapsed="false">
      <c r="A275" s="2"/>
      <c r="B275" s="2"/>
      <c r="C275" s="3"/>
      <c r="D275" s="3"/>
      <c r="E275" s="4"/>
      <c r="F275" s="3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8"/>
      <c r="U275" s="9"/>
      <c r="V275" s="2"/>
      <c r="Y275" s="266"/>
      <c r="Z275" s="12"/>
    </row>
    <row r="276" s="10" customFormat="true" ht="14.1" hidden="false" customHeight="true" outlineLevel="0" collapsed="false">
      <c r="A276" s="2"/>
      <c r="B276" s="2"/>
      <c r="C276" s="3"/>
      <c r="D276" s="3"/>
      <c r="E276" s="4"/>
      <c r="F276" s="3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8"/>
      <c r="U276" s="9"/>
      <c r="V276" s="2"/>
      <c r="Y276" s="266"/>
      <c r="Z276" s="12"/>
    </row>
    <row r="277" s="10" customFormat="true" ht="14.1" hidden="false" customHeight="true" outlineLevel="0" collapsed="false">
      <c r="A277" s="2"/>
      <c r="B277" s="2"/>
      <c r="C277" s="3"/>
      <c r="D277" s="3"/>
      <c r="E277" s="4"/>
      <c r="F277" s="3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8"/>
      <c r="U277" s="9"/>
      <c r="V277" s="2"/>
      <c r="Y277" s="266"/>
      <c r="Z277" s="12"/>
    </row>
    <row r="278" s="10" customFormat="true" ht="14.1" hidden="false" customHeight="true" outlineLevel="0" collapsed="false">
      <c r="A278" s="2"/>
      <c r="B278" s="2"/>
      <c r="C278" s="3"/>
      <c r="D278" s="3"/>
      <c r="E278" s="4"/>
      <c r="F278" s="3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8"/>
      <c r="U278" s="9"/>
      <c r="V278" s="2"/>
      <c r="Y278" s="266"/>
      <c r="Z278" s="12"/>
    </row>
    <row r="279" s="10" customFormat="true" ht="14.1" hidden="false" customHeight="true" outlineLevel="0" collapsed="false">
      <c r="A279" s="2"/>
      <c r="B279" s="2"/>
      <c r="C279" s="3"/>
      <c r="D279" s="3"/>
      <c r="E279" s="4"/>
      <c r="F279" s="3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8"/>
      <c r="U279" s="9"/>
      <c r="V279" s="2"/>
      <c r="Y279" s="266"/>
      <c r="Z279" s="12"/>
    </row>
    <row r="280" s="10" customFormat="true" ht="14.1" hidden="false" customHeight="true" outlineLevel="0" collapsed="false">
      <c r="A280" s="2"/>
      <c r="B280" s="2"/>
      <c r="C280" s="3"/>
      <c r="D280" s="3"/>
      <c r="E280" s="4"/>
      <c r="F280" s="3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8"/>
      <c r="U280" s="9"/>
      <c r="V280" s="2"/>
      <c r="Y280" s="266"/>
      <c r="Z280" s="12"/>
    </row>
    <row r="281" s="10" customFormat="true" ht="14.1" hidden="false" customHeight="true" outlineLevel="0" collapsed="false">
      <c r="A281" s="2"/>
      <c r="B281" s="2"/>
      <c r="C281" s="3"/>
      <c r="D281" s="3"/>
      <c r="E281" s="4"/>
      <c r="F281" s="3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8"/>
      <c r="U281" s="9"/>
      <c r="V281" s="2"/>
      <c r="Y281" s="266"/>
      <c r="Z281" s="12"/>
    </row>
    <row r="282" s="10" customFormat="true" ht="14.1" hidden="false" customHeight="true" outlineLevel="0" collapsed="false">
      <c r="A282" s="2"/>
      <c r="B282" s="2"/>
      <c r="C282" s="3"/>
      <c r="D282" s="3"/>
      <c r="E282" s="4"/>
      <c r="F282" s="3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8"/>
      <c r="U282" s="9"/>
      <c r="V282" s="2"/>
      <c r="Y282" s="266"/>
      <c r="Z282" s="12"/>
    </row>
    <row r="283" s="10" customFormat="true" ht="14.1" hidden="false" customHeight="true" outlineLevel="0" collapsed="false">
      <c r="A283" s="2"/>
      <c r="B283" s="2"/>
      <c r="C283" s="3"/>
      <c r="D283" s="3"/>
      <c r="E283" s="4"/>
      <c r="F283" s="3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8"/>
      <c r="U283" s="9"/>
      <c r="V283" s="2"/>
      <c r="Y283" s="266"/>
      <c r="Z283" s="12"/>
    </row>
    <row r="284" s="10" customFormat="true" ht="14.1" hidden="false" customHeight="true" outlineLevel="0" collapsed="false">
      <c r="A284" s="2"/>
      <c r="B284" s="2"/>
      <c r="C284" s="3"/>
      <c r="D284" s="3"/>
      <c r="E284" s="4"/>
      <c r="F284" s="3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8"/>
      <c r="U284" s="9"/>
      <c r="V284" s="2"/>
      <c r="Y284" s="266"/>
      <c r="Z284" s="12"/>
    </row>
    <row r="285" s="10" customFormat="true" ht="14.1" hidden="false" customHeight="true" outlineLevel="0" collapsed="false">
      <c r="A285" s="2"/>
      <c r="B285" s="2"/>
      <c r="C285" s="3"/>
      <c r="D285" s="3"/>
      <c r="E285" s="4"/>
      <c r="F285" s="3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"/>
      <c r="U285" s="9"/>
      <c r="V285" s="2"/>
      <c r="Y285" s="266"/>
      <c r="Z285" s="12"/>
    </row>
    <row r="286" s="10" customFormat="true" ht="14.1" hidden="false" customHeight="true" outlineLevel="0" collapsed="false">
      <c r="A286" s="2"/>
      <c r="B286" s="2"/>
      <c r="C286" s="3"/>
      <c r="D286" s="3"/>
      <c r="E286" s="4"/>
      <c r="F286" s="3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8"/>
      <c r="U286" s="9"/>
      <c r="V286" s="2"/>
      <c r="Y286" s="266"/>
      <c r="Z286" s="12"/>
    </row>
    <row r="287" s="10" customFormat="true" ht="14.1" hidden="false" customHeight="true" outlineLevel="0" collapsed="false">
      <c r="A287" s="2"/>
      <c r="B287" s="2"/>
      <c r="C287" s="3"/>
      <c r="D287" s="3"/>
      <c r="E287" s="4"/>
      <c r="F287" s="3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/>
      <c r="U287" s="9"/>
      <c r="V287" s="2"/>
      <c r="Y287" s="266"/>
      <c r="Z287" s="12"/>
    </row>
    <row r="288" s="10" customFormat="true" ht="14.1" hidden="false" customHeight="true" outlineLevel="0" collapsed="false">
      <c r="A288" s="2"/>
      <c r="B288" s="2"/>
      <c r="C288" s="3"/>
      <c r="D288" s="3"/>
      <c r="E288" s="4"/>
      <c r="F288" s="3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8"/>
      <c r="U288" s="9"/>
      <c r="V288" s="2"/>
      <c r="Y288" s="266"/>
      <c r="Z288" s="12"/>
    </row>
    <row r="289" s="10" customFormat="true" ht="14.1" hidden="false" customHeight="true" outlineLevel="0" collapsed="false">
      <c r="A289" s="2"/>
      <c r="B289" s="2"/>
      <c r="C289" s="267"/>
      <c r="D289" s="3"/>
      <c r="E289" s="4"/>
      <c r="F289" s="3"/>
      <c r="G289" s="5"/>
      <c r="H289" s="7"/>
      <c r="I289" s="7"/>
      <c r="J289" s="7"/>
      <c r="K289" s="271"/>
      <c r="L289" s="7"/>
      <c r="M289" s="7"/>
      <c r="N289" s="7"/>
      <c r="O289" s="7"/>
      <c r="P289" s="7"/>
      <c r="Q289" s="7"/>
      <c r="R289" s="7"/>
      <c r="S289" s="8"/>
      <c r="T289" s="8"/>
      <c r="V289" s="268"/>
      <c r="W289" s="269"/>
      <c r="X289" s="269"/>
      <c r="Y289" s="270"/>
      <c r="Z289" s="2"/>
    </row>
    <row r="290" s="264" customFormat="true" ht="26.25" hidden="false" customHeight="true" outlineLevel="0" collapsed="false">
      <c r="A290" s="272"/>
      <c r="B290" s="273"/>
      <c r="C290" s="273"/>
      <c r="D290" s="10"/>
      <c r="E290" s="10"/>
      <c r="F290" s="266"/>
      <c r="G290" s="10"/>
      <c r="H290" s="271"/>
      <c r="I290" s="271"/>
      <c r="J290" s="271"/>
      <c r="K290" s="7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140"/>
      <c r="W290" s="11"/>
      <c r="X290" s="11"/>
      <c r="Y290" s="3"/>
      <c r="Z290" s="2"/>
    </row>
    <row r="291" customFormat="false" ht="15" hidden="false" customHeight="true" outlineLevel="0" collapsed="false">
      <c r="V291" s="274"/>
      <c r="W291" s="2"/>
      <c r="X291" s="2"/>
    </row>
    <row r="299" s="2" customFormat="true" ht="9.75" hidden="false" customHeight="true" outlineLevel="0" collapsed="false">
      <c r="F299" s="3"/>
    </row>
    <row r="300" s="2" customFormat="true" ht="10.5" hidden="false" customHeight="true" outlineLevel="0" collapsed="false">
      <c r="F300" s="137"/>
    </row>
    <row r="301" s="2" customFormat="true" ht="9.75" hidden="false" customHeight="true" outlineLevel="0" collapsed="false">
      <c r="F301" s="3"/>
    </row>
    <row r="314" s="2" customFormat="true" ht="9.75" hidden="false" customHeight="true" outlineLevel="0" collapsed="false">
      <c r="J314" s="4"/>
    </row>
  </sheetData>
  <printOptions headings="false" gridLines="false" gridLinesSet="true" horizontalCentered="false" verticalCentered="false"/>
  <pageMargins left="0.179861111111111" right="0.129861111111111" top="0.209722222222222" bottom="0.12986111111111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C3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73" activePane="bottomLeft" state="frozen"/>
      <selection pane="topLeft" activeCell="A1" activeCellId="0" sqref="A1"/>
      <selection pane="bottomLeft" activeCell="F92" activeCellId="0" sqref="1:1048576"/>
    </sheetView>
  </sheetViews>
  <sheetFormatPr defaultColWidth="6.89453125" defaultRowHeight="9.75" zeroHeight="false" outlineLevelRow="0" outlineLevelCol="0"/>
  <cols>
    <col collapsed="false" customWidth="true" hidden="false" outlineLevel="0" max="1" min="1" style="2" width="4.44"/>
    <col collapsed="false" customWidth="true" hidden="false" outlineLevel="0" max="2" min="2" style="2" width="18.33"/>
    <col collapsed="false" customWidth="true" hidden="false" outlineLevel="0" max="3" min="3" style="2" width="10.89"/>
    <col collapsed="false" customWidth="true" hidden="false" outlineLevel="0" max="4" min="4" style="136" width="9.11"/>
    <col collapsed="false" customWidth="true" hidden="false" outlineLevel="0" max="5" min="5" style="4" width="5.01"/>
    <col collapsed="false" customWidth="true" hidden="false" outlineLevel="0" max="6" min="6" style="137" width="10.33"/>
    <col collapsed="false" customWidth="true" hidden="false" outlineLevel="0" max="7" min="7" style="138" width="5.55"/>
    <col collapsed="false" customWidth="true" hidden="false" outlineLevel="0" max="8" min="8" style="7" width="6.66"/>
    <col collapsed="false" customWidth="true" hidden="false" outlineLevel="0" max="9" min="9" style="7" width="5.1"/>
    <col collapsed="false" customWidth="true" hidden="false" outlineLevel="0" max="10" min="10" style="7" width="5.55"/>
    <col collapsed="false" customWidth="true" hidden="false" outlineLevel="0" max="11" min="11" style="7" width="5.1"/>
    <col collapsed="false" customWidth="true" hidden="false" outlineLevel="0" max="12" min="12" style="7" width="4.89"/>
    <col collapsed="false" customWidth="true" hidden="false" outlineLevel="0" max="13" min="13" style="7" width="6.11"/>
    <col collapsed="false" customWidth="true" hidden="false" outlineLevel="0" max="14" min="14" style="7" width="5.44"/>
    <col collapsed="false" customWidth="true" hidden="false" outlineLevel="0" max="15" min="15" style="7" width="6.34"/>
    <col collapsed="false" customWidth="true" hidden="false" outlineLevel="0" max="16" min="16" style="7" width="6.66"/>
    <col collapsed="false" customWidth="true" hidden="false" outlineLevel="0" max="17" min="17" style="8" width="5.66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9" width="6.34"/>
    <col collapsed="false" customWidth="true" hidden="false" outlineLevel="0" max="21" min="21" style="140" width="9.11"/>
    <col collapsed="false" customWidth="true" hidden="false" outlineLevel="0" max="22" min="22" style="11" width="9"/>
    <col collapsed="false" customWidth="true" hidden="false" outlineLevel="0" max="23" min="23" style="10" width="6.66"/>
    <col collapsed="false" customWidth="true" hidden="false" outlineLevel="0" max="24" min="24" style="10" width="3.56"/>
    <col collapsed="false" customWidth="true" hidden="false" outlineLevel="0" max="25" min="25" style="3" width="7.56"/>
    <col collapsed="false" customWidth="true" hidden="false" outlineLevel="0" max="26" min="26" style="2" width="8.56"/>
    <col collapsed="false" customWidth="true" hidden="false" outlineLevel="0" max="27" min="27" style="2" width="7.44"/>
    <col collapsed="false" customWidth="false" hidden="false" outlineLevel="0" max="1024" min="28" style="2" width="6.88"/>
  </cols>
  <sheetData>
    <row r="1" customFormat="false" ht="18.75" hidden="false" customHeight="true" outlineLevel="0" collapsed="false">
      <c r="A1" s="141"/>
      <c r="B1" s="142" t="n">
        <v>45048</v>
      </c>
      <c r="C1" s="143"/>
      <c r="D1" s="144"/>
      <c r="E1" s="145" t="s">
        <v>66</v>
      </c>
      <c r="F1" s="146"/>
      <c r="G1" s="146"/>
      <c r="H1" s="147" t="s">
        <v>67</v>
      </c>
      <c r="I1" s="148"/>
      <c r="K1" s="149" t="s">
        <v>68</v>
      </c>
      <c r="L1" s="149"/>
      <c r="M1" s="150"/>
      <c r="N1" s="149"/>
      <c r="O1" s="151" t="s">
        <v>69</v>
      </c>
      <c r="P1" s="152"/>
      <c r="Q1" s="153"/>
      <c r="R1" s="154"/>
      <c r="S1" s="155"/>
      <c r="T1" s="156"/>
      <c r="U1" s="157"/>
      <c r="V1" s="158"/>
      <c r="W1" s="11"/>
      <c r="X1" s="11"/>
    </row>
    <row r="2" s="10" customFormat="true" ht="12.75" hidden="false" customHeight="true" outlineLevel="0" collapsed="false">
      <c r="A2" s="29" t="s">
        <v>70</v>
      </c>
      <c r="B2" s="159" t="s">
        <v>1</v>
      </c>
      <c r="C2" s="159"/>
      <c r="D2" s="160" t="s">
        <v>3</v>
      </c>
      <c r="E2" s="161" t="s">
        <v>71</v>
      </c>
      <c r="F2" s="162" t="s">
        <v>5</v>
      </c>
      <c r="G2" s="163" t="s">
        <v>72</v>
      </c>
      <c r="H2" s="164" t="s">
        <v>73</v>
      </c>
      <c r="I2" s="164" t="s">
        <v>74</v>
      </c>
      <c r="J2" s="164" t="s">
        <v>75</v>
      </c>
      <c r="K2" s="164" t="s">
        <v>76</v>
      </c>
      <c r="L2" s="129" t="s">
        <v>12</v>
      </c>
      <c r="M2" s="165" t="s">
        <v>77</v>
      </c>
      <c r="N2" s="129" t="s">
        <v>78</v>
      </c>
      <c r="O2" s="164" t="s">
        <v>79</v>
      </c>
      <c r="P2" s="164" t="s">
        <v>80</v>
      </c>
      <c r="Q2" s="129" t="s">
        <v>81</v>
      </c>
      <c r="R2" s="164" t="s">
        <v>82</v>
      </c>
      <c r="S2" s="164" t="s">
        <v>19</v>
      </c>
      <c r="T2" s="166" t="s">
        <v>20</v>
      </c>
      <c r="U2" s="159" t="s">
        <v>21</v>
      </c>
      <c r="V2" s="140"/>
      <c r="W2" s="167"/>
      <c r="X2" s="167"/>
      <c r="Y2" s="168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9"/>
      <c r="X3" s="169"/>
      <c r="Y3" s="170"/>
      <c r="Z3" s="171"/>
    </row>
    <row r="4" s="10" customFormat="true" ht="14.1" hidden="false" customHeight="true" outlineLevel="0" collapsed="false">
      <c r="A4" s="100" t="s">
        <v>26</v>
      </c>
      <c r="B4" s="2" t="s">
        <v>142</v>
      </c>
      <c r="C4" s="3"/>
      <c r="D4" s="101" t="n">
        <v>4243107</v>
      </c>
      <c r="E4" s="102" t="n">
        <v>45040</v>
      </c>
      <c r="F4" s="103" t="s">
        <v>35</v>
      </c>
      <c r="G4" s="5" t="n">
        <v>45041</v>
      </c>
      <c r="H4" s="105"/>
      <c r="I4" s="106"/>
      <c r="J4" s="106"/>
      <c r="K4" s="106"/>
      <c r="L4" s="106"/>
      <c r="M4" s="105"/>
      <c r="N4" s="106"/>
      <c r="O4" s="105"/>
      <c r="P4" s="7"/>
      <c r="Q4" s="107"/>
      <c r="R4" s="105" t="n">
        <v>317</v>
      </c>
      <c r="S4" s="107" t="n">
        <v>62.5</v>
      </c>
      <c r="T4" s="108" t="n">
        <v>26.15</v>
      </c>
      <c r="U4" s="95" t="n">
        <f aca="false">SUM(H4:T4)</f>
        <v>405.65</v>
      </c>
      <c r="V4" s="109" t="s">
        <v>37</v>
      </c>
      <c r="W4" s="10" t="s">
        <v>38</v>
      </c>
      <c r="X4" s="110" t="s">
        <v>39</v>
      </c>
      <c r="Y4" s="187"/>
      <c r="Z4" s="51"/>
    </row>
    <row r="5" s="10" customFormat="true" ht="14.1" hidden="false" customHeight="true" outlineLevel="0" collapsed="false">
      <c r="A5" s="100" t="s">
        <v>26</v>
      </c>
      <c r="B5" s="2" t="s">
        <v>121</v>
      </c>
      <c r="C5" s="3"/>
      <c r="D5" s="101" t="n">
        <v>3303101</v>
      </c>
      <c r="E5" s="102" t="n">
        <v>45015</v>
      </c>
      <c r="F5" s="103" t="s">
        <v>35</v>
      </c>
      <c r="G5" s="5" t="n">
        <v>45015</v>
      </c>
      <c r="H5" s="105"/>
      <c r="I5" s="106"/>
      <c r="J5" s="106"/>
      <c r="K5" s="106"/>
      <c r="L5" s="106"/>
      <c r="M5" s="105"/>
      <c r="N5" s="106"/>
      <c r="O5" s="105"/>
      <c r="P5" s="7"/>
      <c r="Q5" s="107"/>
      <c r="R5" s="105" t="n">
        <v>110</v>
      </c>
      <c r="S5" s="107" t="n">
        <v>25</v>
      </c>
      <c r="T5" s="108" t="n">
        <v>11.28</v>
      </c>
      <c r="U5" s="95" t="n">
        <f aca="false">SUM(H5:T5)</f>
        <v>146.28</v>
      </c>
      <c r="V5" s="109" t="s">
        <v>37</v>
      </c>
      <c r="W5" s="10" t="s">
        <v>47</v>
      </c>
      <c r="X5" s="110" t="s">
        <v>39</v>
      </c>
      <c r="Y5" s="187"/>
      <c r="Z5" s="51"/>
    </row>
    <row r="6" s="10" customFormat="true" ht="14.1" hidden="false" customHeight="true" outlineLevel="0" collapsed="false">
      <c r="A6" s="203" t="s">
        <v>42</v>
      </c>
      <c r="B6" s="204" t="s">
        <v>152</v>
      </c>
      <c r="C6" s="205"/>
      <c r="D6" s="206" t="n">
        <v>2063261</v>
      </c>
      <c r="E6" s="207" t="n">
        <v>44963</v>
      </c>
      <c r="F6" s="208" t="s">
        <v>153</v>
      </c>
      <c r="G6" s="209" t="n">
        <v>44963</v>
      </c>
      <c r="H6" s="210"/>
      <c r="I6" s="211"/>
      <c r="J6" s="211"/>
      <c r="K6" s="211"/>
      <c r="L6" s="211"/>
      <c r="M6" s="210"/>
      <c r="N6" s="211"/>
      <c r="O6" s="210"/>
      <c r="P6" s="212" t="n">
        <v>180</v>
      </c>
      <c r="Q6" s="213" t="n">
        <v>90</v>
      </c>
      <c r="R6" s="210"/>
      <c r="S6" s="213"/>
      <c r="T6" s="214"/>
      <c r="U6" s="215" t="n">
        <f aca="false">SUM(H6:T6)</f>
        <v>270</v>
      </c>
      <c r="V6" s="216" t="s">
        <v>30</v>
      </c>
      <c r="W6" s="217" t="s">
        <v>42</v>
      </c>
      <c r="X6" s="110" t="s">
        <v>39</v>
      </c>
      <c r="Y6" s="187"/>
      <c r="Z6" s="51"/>
    </row>
    <row r="7" s="10" customFormat="true" ht="14.1" hidden="false" customHeight="true" outlineLevel="0" collapsed="false">
      <c r="A7" s="100" t="s">
        <v>26</v>
      </c>
      <c r="B7" s="2" t="s">
        <v>120</v>
      </c>
      <c r="C7" s="3"/>
      <c r="D7" s="101" t="n">
        <v>3293103</v>
      </c>
      <c r="E7" s="102" t="n">
        <v>45014</v>
      </c>
      <c r="F7" s="103" t="s">
        <v>35</v>
      </c>
      <c r="G7" s="5" t="n">
        <v>45014</v>
      </c>
      <c r="H7" s="105"/>
      <c r="I7" s="106"/>
      <c r="J7" s="106"/>
      <c r="K7" s="106"/>
      <c r="L7" s="106"/>
      <c r="M7" s="105"/>
      <c r="N7" s="106"/>
      <c r="O7" s="105"/>
      <c r="P7" s="7"/>
      <c r="Q7" s="107"/>
      <c r="R7" s="105" t="n">
        <v>208</v>
      </c>
      <c r="S7" s="107" t="n">
        <v>50</v>
      </c>
      <c r="T7" s="108" t="n">
        <v>17.94</v>
      </c>
      <c r="U7" s="95" t="n">
        <f aca="false">SUM(H7:T7)</f>
        <v>275.94</v>
      </c>
      <c r="V7" s="109" t="s">
        <v>37</v>
      </c>
      <c r="W7" s="10" t="s">
        <v>38</v>
      </c>
      <c r="X7" s="110" t="s">
        <v>39</v>
      </c>
      <c r="Y7" s="187"/>
      <c r="Z7" s="51"/>
    </row>
    <row r="8" s="10" customFormat="true" ht="14.1" hidden="false" customHeight="true" outlineLevel="0" collapsed="false">
      <c r="A8" s="172" t="s">
        <v>48</v>
      </c>
      <c r="B8" s="173" t="s">
        <v>154</v>
      </c>
      <c r="C8" s="174"/>
      <c r="D8" s="175" t="n">
        <v>12192051</v>
      </c>
      <c r="E8" s="176" t="n">
        <v>44914</v>
      </c>
      <c r="F8" s="177" t="s">
        <v>13</v>
      </c>
      <c r="G8" s="178" t="n">
        <v>44914</v>
      </c>
      <c r="H8" s="179"/>
      <c r="I8" s="180"/>
      <c r="J8" s="180"/>
      <c r="K8" s="180"/>
      <c r="L8" s="180"/>
      <c r="M8" s="179" t="n">
        <v>750</v>
      </c>
      <c r="N8" s="180"/>
      <c r="O8" s="179"/>
      <c r="P8" s="181"/>
      <c r="Q8" s="182"/>
      <c r="R8" s="179"/>
      <c r="S8" s="182"/>
      <c r="T8" s="183"/>
      <c r="U8" s="184" t="n">
        <f aca="false">SUM(H8:T8)</f>
        <v>750</v>
      </c>
      <c r="V8" s="185" t="s">
        <v>50</v>
      </c>
      <c r="W8" s="186" t="s">
        <v>48</v>
      </c>
      <c r="X8" s="110" t="s">
        <v>39</v>
      </c>
      <c r="Y8" s="187" t="s">
        <v>155</v>
      </c>
      <c r="Z8" s="51"/>
    </row>
    <row r="9" s="10" customFormat="true" ht="14.1" hidden="false" customHeight="true" outlineLevel="0" collapsed="false">
      <c r="A9" s="242" t="s">
        <v>26</v>
      </c>
      <c r="B9" s="243" t="s">
        <v>119</v>
      </c>
      <c r="C9" s="244"/>
      <c r="D9" s="245" t="n">
        <v>3283107</v>
      </c>
      <c r="E9" s="246" t="n">
        <v>45013</v>
      </c>
      <c r="F9" s="247" t="s">
        <v>35</v>
      </c>
      <c r="G9" s="248" t="n">
        <v>45013</v>
      </c>
      <c r="H9" s="249"/>
      <c r="I9" s="250"/>
      <c r="J9" s="250"/>
      <c r="K9" s="250"/>
      <c r="L9" s="250"/>
      <c r="M9" s="249"/>
      <c r="N9" s="250"/>
      <c r="O9" s="249"/>
      <c r="P9" s="251"/>
      <c r="Q9" s="252"/>
      <c r="R9" s="249" t="n">
        <v>376</v>
      </c>
      <c r="S9" s="252" t="n">
        <v>62.5</v>
      </c>
      <c r="T9" s="253" t="n">
        <v>34.78</v>
      </c>
      <c r="U9" s="254" t="n">
        <f aca="false">SUM(H9:T9)</f>
        <v>473.28</v>
      </c>
      <c r="V9" s="255" t="s">
        <v>37</v>
      </c>
      <c r="W9" s="256" t="s">
        <v>38</v>
      </c>
      <c r="X9" s="110" t="s">
        <v>39</v>
      </c>
      <c r="Y9" s="187"/>
      <c r="Z9" s="51"/>
    </row>
    <row r="10" s="10" customFormat="true" ht="14.1" hidden="false" customHeight="true" outlineLevel="0" collapsed="false">
      <c r="A10" s="100" t="s">
        <v>26</v>
      </c>
      <c r="B10" s="2" t="s">
        <v>149</v>
      </c>
      <c r="C10" s="3"/>
      <c r="D10" s="101" t="n">
        <v>4273101</v>
      </c>
      <c r="E10" s="102" t="n">
        <v>45043</v>
      </c>
      <c r="F10" s="103" t="s">
        <v>35</v>
      </c>
      <c r="G10" s="5" t="n">
        <v>45043</v>
      </c>
      <c r="H10" s="105"/>
      <c r="I10" s="106"/>
      <c r="J10" s="106"/>
      <c r="K10" s="106"/>
      <c r="L10" s="106"/>
      <c r="M10" s="105"/>
      <c r="N10" s="106"/>
      <c r="O10" s="105"/>
      <c r="P10" s="7"/>
      <c r="Q10" s="107"/>
      <c r="R10" s="105" t="n">
        <v>110</v>
      </c>
      <c r="S10" s="107" t="n">
        <v>25</v>
      </c>
      <c r="T10" s="108" t="n">
        <v>9.35</v>
      </c>
      <c r="U10" s="95" t="n">
        <f aca="false">SUM(H10:T10)</f>
        <v>144.35</v>
      </c>
      <c r="V10" s="109" t="s">
        <v>37</v>
      </c>
      <c r="W10" s="10" t="s">
        <v>38</v>
      </c>
      <c r="X10" s="110" t="s">
        <v>39</v>
      </c>
      <c r="Y10" s="187"/>
      <c r="Z10" s="51"/>
    </row>
    <row r="11" s="10" customFormat="true" ht="13.2" hidden="false" customHeight="true" outlineLevel="0" collapsed="false">
      <c r="A11" s="100" t="s">
        <v>26</v>
      </c>
      <c r="B11" s="2" t="s">
        <v>132</v>
      </c>
      <c r="C11" s="3"/>
      <c r="D11" s="101" t="n">
        <v>4123102</v>
      </c>
      <c r="E11" s="102" t="n">
        <v>45028</v>
      </c>
      <c r="F11" s="103" t="s">
        <v>35</v>
      </c>
      <c r="G11" s="5" t="n">
        <v>45028</v>
      </c>
      <c r="H11" s="105"/>
      <c r="I11" s="106"/>
      <c r="J11" s="106"/>
      <c r="K11" s="106"/>
      <c r="L11" s="106"/>
      <c r="M11" s="105"/>
      <c r="N11" s="106"/>
      <c r="O11" s="105"/>
      <c r="P11" s="7"/>
      <c r="Q11" s="107"/>
      <c r="R11" s="105" t="n">
        <v>156</v>
      </c>
      <c r="S11" s="107" t="n">
        <v>50</v>
      </c>
      <c r="T11" s="108" t="n">
        <v>14.04</v>
      </c>
      <c r="U11" s="95" t="n">
        <f aca="false">SUM(H11:T11)</f>
        <v>220.04</v>
      </c>
      <c r="V11" s="109" t="s">
        <v>30</v>
      </c>
      <c r="W11" s="10" t="s">
        <v>51</v>
      </c>
      <c r="X11" s="110" t="s">
        <v>39</v>
      </c>
      <c r="Y11" s="187"/>
      <c r="Z11" s="51"/>
    </row>
    <row r="12" s="10" customFormat="true" ht="13.2" hidden="false" customHeight="true" outlineLevel="0" collapsed="false">
      <c r="A12" s="100" t="s">
        <v>47</v>
      </c>
      <c r="B12" s="2" t="s">
        <v>156</v>
      </c>
      <c r="C12" s="3"/>
      <c r="D12" s="101" t="n">
        <v>4133062</v>
      </c>
      <c r="E12" s="102" t="n">
        <v>45029</v>
      </c>
      <c r="F12" s="103" t="s">
        <v>35</v>
      </c>
      <c r="G12" s="5" t="n">
        <v>45029</v>
      </c>
      <c r="H12" s="105"/>
      <c r="I12" s="106"/>
      <c r="J12" s="106"/>
      <c r="K12" s="106"/>
      <c r="L12" s="106"/>
      <c r="M12" s="105"/>
      <c r="N12" s="106"/>
      <c r="O12" s="105"/>
      <c r="P12" s="7"/>
      <c r="Q12" s="107"/>
      <c r="R12" s="105" t="n">
        <v>120</v>
      </c>
      <c r="S12" s="107" t="n">
        <v>25</v>
      </c>
      <c r="T12" s="108" t="n">
        <v>9.3</v>
      </c>
      <c r="U12" s="95" t="n">
        <f aca="false">SUM(H12:T12)</f>
        <v>154.3</v>
      </c>
      <c r="V12" s="109" t="s">
        <v>37</v>
      </c>
      <c r="W12" s="10" t="s">
        <v>38</v>
      </c>
      <c r="X12" s="110" t="s">
        <v>39</v>
      </c>
      <c r="Y12" s="187"/>
      <c r="Z12" s="51"/>
    </row>
    <row r="13" s="10" customFormat="true" ht="13.2" hidden="false" customHeight="true" outlineLevel="0" collapsed="false">
      <c r="A13" s="100" t="s">
        <v>26</v>
      </c>
      <c r="B13" s="2" t="s">
        <v>128</v>
      </c>
      <c r="C13" s="3"/>
      <c r="D13" s="101" t="n">
        <v>4113105</v>
      </c>
      <c r="E13" s="102" t="n">
        <v>45027</v>
      </c>
      <c r="F13" s="103" t="s">
        <v>35</v>
      </c>
      <c r="G13" s="5" t="n">
        <v>45027</v>
      </c>
      <c r="H13" s="105"/>
      <c r="I13" s="106"/>
      <c r="J13" s="106"/>
      <c r="K13" s="106"/>
      <c r="L13" s="106"/>
      <c r="M13" s="105"/>
      <c r="N13" s="106"/>
      <c r="O13" s="105"/>
      <c r="P13" s="7"/>
      <c r="Q13" s="107"/>
      <c r="R13" s="105" t="n">
        <v>1125</v>
      </c>
      <c r="S13" s="107" t="n">
        <v>187.5</v>
      </c>
      <c r="T13" s="108" t="n">
        <v>81.56</v>
      </c>
      <c r="U13" s="95" t="n">
        <f aca="false">SUM(H13:T13)</f>
        <v>1394.06</v>
      </c>
      <c r="V13" s="109" t="s">
        <v>129</v>
      </c>
      <c r="W13" s="10" t="s">
        <v>130</v>
      </c>
      <c r="X13" s="110" t="s">
        <v>39</v>
      </c>
      <c r="Y13" s="187"/>
      <c r="Z13" s="51"/>
    </row>
    <row r="14" s="10" customFormat="true" ht="14.1" hidden="false" customHeight="true" outlineLevel="0" collapsed="false">
      <c r="A14" s="100" t="s">
        <v>26</v>
      </c>
      <c r="B14" s="2" t="s">
        <v>122</v>
      </c>
      <c r="C14" s="3" t="s">
        <v>123</v>
      </c>
      <c r="D14" s="101" t="n">
        <v>3313101</v>
      </c>
      <c r="E14" s="102" t="n">
        <v>45016</v>
      </c>
      <c r="F14" s="103" t="s">
        <v>35</v>
      </c>
      <c r="G14" s="5" t="n">
        <v>45016</v>
      </c>
      <c r="H14" s="105"/>
      <c r="I14" s="106"/>
      <c r="J14" s="106"/>
      <c r="K14" s="106"/>
      <c r="L14" s="106"/>
      <c r="M14" s="105"/>
      <c r="N14" s="106"/>
      <c r="O14" s="105"/>
      <c r="P14" s="7"/>
      <c r="Q14" s="107"/>
      <c r="R14" s="105" t="n">
        <v>-50</v>
      </c>
      <c r="S14" s="107"/>
      <c r="T14" s="108" t="n">
        <v>-4.63</v>
      </c>
      <c r="U14" s="95" t="n">
        <f aca="false">SUM(H14:T14)</f>
        <v>-54.63</v>
      </c>
      <c r="V14" s="109" t="s">
        <v>84</v>
      </c>
      <c r="W14" s="10" t="s">
        <v>26</v>
      </c>
      <c r="X14" s="110" t="s">
        <v>39</v>
      </c>
      <c r="Y14" s="187"/>
      <c r="Z14" s="51"/>
    </row>
    <row r="15" s="10" customFormat="true" ht="14.1" hidden="false" customHeight="true" outlineLevel="0" collapsed="false">
      <c r="A15" s="100" t="s">
        <v>47</v>
      </c>
      <c r="B15" s="2" t="s">
        <v>157</v>
      </c>
      <c r="C15" s="3"/>
      <c r="D15" s="101" t="n">
        <v>4263062</v>
      </c>
      <c r="E15" s="102" t="n">
        <v>45042</v>
      </c>
      <c r="F15" s="103" t="s">
        <v>35</v>
      </c>
      <c r="G15" s="5" t="n">
        <v>45042</v>
      </c>
      <c r="H15" s="105"/>
      <c r="I15" s="106"/>
      <c r="J15" s="106"/>
      <c r="K15" s="106"/>
      <c r="L15" s="106"/>
      <c r="M15" s="105"/>
      <c r="N15" s="106"/>
      <c r="O15" s="105"/>
      <c r="P15" s="7"/>
      <c r="Q15" s="107"/>
      <c r="R15" s="105" t="n">
        <v>1490</v>
      </c>
      <c r="S15" s="107"/>
      <c r="T15" s="108"/>
      <c r="U15" s="95" t="n">
        <f aca="false">SUM(H15:T15)</f>
        <v>1490</v>
      </c>
      <c r="V15" s="109" t="s">
        <v>84</v>
      </c>
      <c r="W15" s="10" t="s">
        <v>158</v>
      </c>
      <c r="X15" s="110" t="s">
        <v>39</v>
      </c>
      <c r="Y15" s="187"/>
      <c r="Z15" s="51"/>
    </row>
    <row r="16" s="10" customFormat="true" ht="14.1" hidden="false" customHeight="true" outlineLevel="0" collapsed="false">
      <c r="A16" s="203" t="s">
        <v>47</v>
      </c>
      <c r="B16" s="204" t="s">
        <v>159</v>
      </c>
      <c r="C16" s="205"/>
      <c r="D16" s="206" t="n">
        <v>2083062</v>
      </c>
      <c r="E16" s="207" t="n">
        <v>44965</v>
      </c>
      <c r="F16" s="208" t="s">
        <v>35</v>
      </c>
      <c r="G16" s="209" t="n">
        <v>44965</v>
      </c>
      <c r="H16" s="210"/>
      <c r="I16" s="211"/>
      <c r="J16" s="211"/>
      <c r="K16" s="211"/>
      <c r="L16" s="211"/>
      <c r="M16" s="210"/>
      <c r="N16" s="211"/>
      <c r="O16" s="210"/>
      <c r="P16" s="212"/>
      <c r="Q16" s="213"/>
      <c r="R16" s="210" t="n">
        <v>345</v>
      </c>
      <c r="S16" s="213"/>
      <c r="T16" s="214"/>
      <c r="U16" s="215" t="n">
        <f aca="false">SUM(H16:T16)</f>
        <v>345</v>
      </c>
      <c r="V16" s="216" t="s">
        <v>88</v>
      </c>
      <c r="W16" s="217" t="s">
        <v>38</v>
      </c>
      <c r="X16" s="110" t="s">
        <v>39</v>
      </c>
      <c r="Y16" s="187"/>
      <c r="Z16" s="51"/>
    </row>
    <row r="17" s="10" customFormat="true" ht="14.1" hidden="false" customHeight="true" outlineLevel="0" collapsed="false">
      <c r="A17" s="275" t="s">
        <v>47</v>
      </c>
      <c r="B17" s="276" t="s">
        <v>159</v>
      </c>
      <c r="C17" s="277"/>
      <c r="D17" s="277" t="n">
        <v>2083064</v>
      </c>
      <c r="E17" s="278" t="n">
        <v>44965</v>
      </c>
      <c r="F17" s="279" t="s">
        <v>35</v>
      </c>
      <c r="G17" s="280" t="n">
        <v>44965</v>
      </c>
      <c r="H17" s="281"/>
      <c r="I17" s="281"/>
      <c r="J17" s="282"/>
      <c r="K17" s="282"/>
      <c r="L17" s="282"/>
      <c r="M17" s="281"/>
      <c r="N17" s="281"/>
      <c r="O17" s="281"/>
      <c r="P17" s="283"/>
      <c r="Q17" s="284"/>
      <c r="R17" s="281" t="n">
        <v>79</v>
      </c>
      <c r="S17" s="284"/>
      <c r="T17" s="285"/>
      <c r="U17" s="286" t="n">
        <f aca="false">SUM(H17:T17)</f>
        <v>79</v>
      </c>
      <c r="V17" s="287" t="s">
        <v>88</v>
      </c>
      <c r="W17" s="288" t="s">
        <v>38</v>
      </c>
      <c r="X17" s="29" t="s">
        <v>39</v>
      </c>
      <c r="Y17" s="289"/>
      <c r="Z17" s="51"/>
    </row>
    <row r="18" s="10" customFormat="true" ht="13.2" hidden="false" customHeight="true" outlineLevel="0" collapsed="false">
      <c r="A18" s="100" t="s">
        <v>47</v>
      </c>
      <c r="B18" s="2" t="s">
        <v>159</v>
      </c>
      <c r="C18" s="3"/>
      <c r="D18" s="101" t="n">
        <v>4063064</v>
      </c>
      <c r="E18" s="102" t="n">
        <v>45022</v>
      </c>
      <c r="F18" s="103" t="s">
        <v>35</v>
      </c>
      <c r="G18" s="5" t="n">
        <v>45022</v>
      </c>
      <c r="H18" s="105"/>
      <c r="I18" s="106"/>
      <c r="J18" s="106"/>
      <c r="K18" s="106"/>
      <c r="L18" s="106"/>
      <c r="M18" s="105"/>
      <c r="N18" s="106"/>
      <c r="O18" s="105"/>
      <c r="P18" s="7"/>
      <c r="Q18" s="107"/>
      <c r="R18" s="105" t="n">
        <v>395</v>
      </c>
      <c r="S18" s="107"/>
      <c r="T18" s="108"/>
      <c r="U18" s="95" t="n">
        <f aca="false">SUM(H18:T18)</f>
        <v>395</v>
      </c>
      <c r="V18" s="109" t="s">
        <v>37</v>
      </c>
      <c r="W18" s="10" t="s">
        <v>38</v>
      </c>
      <c r="X18" s="110" t="s">
        <v>39</v>
      </c>
      <c r="Y18" s="187"/>
      <c r="Z18" s="51"/>
    </row>
    <row r="19" s="10" customFormat="true" ht="14.1" hidden="false" customHeight="true" outlineLevel="0" collapsed="false">
      <c r="A19" s="100" t="s">
        <v>47</v>
      </c>
      <c r="B19" s="2" t="s">
        <v>159</v>
      </c>
      <c r="C19" s="3" t="s">
        <v>160</v>
      </c>
      <c r="D19" s="101" t="n">
        <v>4253064</v>
      </c>
      <c r="E19" s="102" t="n">
        <v>45041</v>
      </c>
      <c r="F19" s="103" t="s">
        <v>35</v>
      </c>
      <c r="G19" s="5" t="n">
        <v>45042</v>
      </c>
      <c r="H19" s="105"/>
      <c r="I19" s="106"/>
      <c r="J19" s="106"/>
      <c r="K19" s="106"/>
      <c r="L19" s="106"/>
      <c r="M19" s="105"/>
      <c r="N19" s="106"/>
      <c r="O19" s="105"/>
      <c r="P19" s="7"/>
      <c r="Q19" s="107"/>
      <c r="R19" s="105" t="n">
        <v>483</v>
      </c>
      <c r="S19" s="107"/>
      <c r="T19" s="108"/>
      <c r="U19" s="95" t="n">
        <f aca="false">SUM(H19:T19)</f>
        <v>483</v>
      </c>
      <c r="V19" s="109" t="s">
        <v>37</v>
      </c>
      <c r="W19" s="10" t="s">
        <v>38</v>
      </c>
      <c r="X19" s="110" t="s">
        <v>39</v>
      </c>
      <c r="Y19" s="187"/>
      <c r="Z19" s="51"/>
    </row>
    <row r="20" s="10" customFormat="true" ht="14.1" hidden="false" customHeight="true" outlineLevel="0" collapsed="false">
      <c r="A20" s="100" t="s">
        <v>47</v>
      </c>
      <c r="B20" s="2" t="s">
        <v>159</v>
      </c>
      <c r="C20" s="3" t="s">
        <v>160</v>
      </c>
      <c r="D20" s="101" t="n">
        <v>4253065</v>
      </c>
      <c r="E20" s="102" t="n">
        <v>45041</v>
      </c>
      <c r="F20" s="103" t="s">
        <v>35</v>
      </c>
      <c r="G20" s="5" t="n">
        <v>45042</v>
      </c>
      <c r="H20" s="105"/>
      <c r="I20" s="106"/>
      <c r="J20" s="106"/>
      <c r="K20" s="106"/>
      <c r="L20" s="106"/>
      <c r="M20" s="105"/>
      <c r="N20" s="106"/>
      <c r="O20" s="105"/>
      <c r="P20" s="7"/>
      <c r="Q20" s="107"/>
      <c r="R20" s="105" t="n">
        <v>602</v>
      </c>
      <c r="S20" s="107"/>
      <c r="T20" s="108"/>
      <c r="U20" s="95" t="n">
        <f aca="false">SUM(H20:T20)</f>
        <v>602</v>
      </c>
      <c r="V20" s="109" t="s">
        <v>37</v>
      </c>
      <c r="W20" s="10" t="s">
        <v>38</v>
      </c>
      <c r="X20" s="110" t="s">
        <v>39</v>
      </c>
      <c r="Y20" s="187"/>
      <c r="Z20" s="51"/>
    </row>
    <row r="21" s="10" customFormat="true" ht="13.2" hidden="false" customHeight="true" outlineLevel="0" collapsed="false">
      <c r="A21" s="100" t="s">
        <v>48</v>
      </c>
      <c r="B21" s="2" t="s">
        <v>161</v>
      </c>
      <c r="C21" s="3" t="s">
        <v>162</v>
      </c>
      <c r="D21" s="101" t="n">
        <v>4173052</v>
      </c>
      <c r="E21" s="102" t="n">
        <v>45033</v>
      </c>
      <c r="F21" s="103" t="s">
        <v>13</v>
      </c>
      <c r="G21" s="5" t="n">
        <v>45033</v>
      </c>
      <c r="H21" s="105"/>
      <c r="I21" s="106"/>
      <c r="J21" s="106"/>
      <c r="K21" s="106"/>
      <c r="L21" s="106"/>
      <c r="M21" s="105" t="n">
        <v>69</v>
      </c>
      <c r="N21" s="106" t="n">
        <v>39</v>
      </c>
      <c r="O21" s="105"/>
      <c r="P21" s="7"/>
      <c r="Q21" s="107"/>
      <c r="R21" s="105"/>
      <c r="S21" s="107"/>
      <c r="T21" s="108"/>
      <c r="U21" s="95" t="n">
        <f aca="false">SUM(H21:T21)</f>
        <v>108</v>
      </c>
      <c r="V21" s="109" t="s">
        <v>50</v>
      </c>
      <c r="W21" s="10" t="s">
        <v>163</v>
      </c>
      <c r="X21" s="110" t="s">
        <v>39</v>
      </c>
      <c r="Y21" s="187"/>
      <c r="Z21" s="51"/>
    </row>
    <row r="22" s="10" customFormat="true" ht="13.2" hidden="false" customHeight="true" outlineLevel="0" collapsed="false">
      <c r="A22" s="100" t="s">
        <v>48</v>
      </c>
      <c r="B22" s="2" t="s">
        <v>161</v>
      </c>
      <c r="C22" s="3" t="s">
        <v>164</v>
      </c>
      <c r="D22" s="101" t="n">
        <v>4173053</v>
      </c>
      <c r="E22" s="102" t="n">
        <v>45033</v>
      </c>
      <c r="F22" s="103" t="s">
        <v>13</v>
      </c>
      <c r="G22" s="5" t="n">
        <v>45033</v>
      </c>
      <c r="H22" s="105"/>
      <c r="I22" s="106"/>
      <c r="J22" s="106"/>
      <c r="K22" s="106"/>
      <c r="L22" s="106"/>
      <c r="M22" s="105" t="n">
        <v>69</v>
      </c>
      <c r="N22" s="106" t="n">
        <v>39</v>
      </c>
      <c r="O22" s="105"/>
      <c r="P22" s="7"/>
      <c r="Q22" s="107"/>
      <c r="R22" s="105"/>
      <c r="S22" s="107"/>
      <c r="T22" s="108"/>
      <c r="U22" s="95" t="n">
        <f aca="false">SUM(H22:T22)</f>
        <v>108</v>
      </c>
      <c r="V22" s="109" t="s">
        <v>50</v>
      </c>
      <c r="W22" s="10" t="s">
        <v>51</v>
      </c>
      <c r="X22" s="110" t="s">
        <v>39</v>
      </c>
      <c r="Y22" s="187"/>
      <c r="Z22" s="51"/>
    </row>
    <row r="23" s="10" customFormat="true" ht="14.1" hidden="false" customHeight="true" outlineLevel="0" collapsed="false">
      <c r="A23" s="172" t="s">
        <v>26</v>
      </c>
      <c r="B23" s="173" t="s">
        <v>87</v>
      </c>
      <c r="C23" s="174"/>
      <c r="D23" s="175" t="n">
        <v>12192104</v>
      </c>
      <c r="E23" s="176" t="n">
        <v>44914</v>
      </c>
      <c r="F23" s="177" t="s">
        <v>35</v>
      </c>
      <c r="G23" s="178" t="n">
        <v>44914</v>
      </c>
      <c r="H23" s="179"/>
      <c r="I23" s="180"/>
      <c r="J23" s="180"/>
      <c r="K23" s="180"/>
      <c r="L23" s="180"/>
      <c r="M23" s="179"/>
      <c r="N23" s="180"/>
      <c r="O23" s="179"/>
      <c r="P23" s="181"/>
      <c r="Q23" s="182"/>
      <c r="R23" s="179" t="n">
        <v>39</v>
      </c>
      <c r="S23" s="182" t="n">
        <v>10</v>
      </c>
      <c r="T23" s="183" t="n">
        <v>3.36</v>
      </c>
      <c r="U23" s="184" t="n">
        <f aca="false">SUM(H23:T23)</f>
        <v>52.36</v>
      </c>
      <c r="V23" s="185" t="s">
        <v>88</v>
      </c>
      <c r="W23" s="186" t="s">
        <v>38</v>
      </c>
      <c r="X23" s="110" t="s">
        <v>39</v>
      </c>
      <c r="Y23" s="187" t="s">
        <v>86</v>
      </c>
      <c r="Z23" s="51"/>
    </row>
    <row r="24" s="10" customFormat="true" ht="14.1" hidden="false" customHeight="true" outlineLevel="0" collapsed="false">
      <c r="A24" s="172" t="s">
        <v>26</v>
      </c>
      <c r="B24" s="173" t="s">
        <v>95</v>
      </c>
      <c r="C24" s="174"/>
      <c r="D24" s="175" t="n">
        <v>1123104</v>
      </c>
      <c r="E24" s="176" t="n">
        <v>44938</v>
      </c>
      <c r="F24" s="177" t="s">
        <v>35</v>
      </c>
      <c r="G24" s="178" t="n">
        <v>44938</v>
      </c>
      <c r="H24" s="179"/>
      <c r="I24" s="180"/>
      <c r="J24" s="180"/>
      <c r="K24" s="180"/>
      <c r="L24" s="180"/>
      <c r="M24" s="179"/>
      <c r="N24" s="180"/>
      <c r="O24" s="179"/>
      <c r="P24" s="181"/>
      <c r="Q24" s="182"/>
      <c r="R24" s="179" t="n">
        <v>39</v>
      </c>
      <c r="S24" s="182" t="n">
        <v>10</v>
      </c>
      <c r="T24" s="183" t="n">
        <v>4</v>
      </c>
      <c r="U24" s="184" t="n">
        <f aca="false">SUM(H24:T24)</f>
        <v>53</v>
      </c>
      <c r="V24" s="185" t="s">
        <v>88</v>
      </c>
      <c r="W24" s="186" t="s">
        <v>38</v>
      </c>
      <c r="X24" s="110" t="s">
        <v>39</v>
      </c>
      <c r="Y24" s="187" t="s">
        <v>86</v>
      </c>
      <c r="Z24" s="51"/>
    </row>
    <row r="25" s="10" customFormat="true" ht="14.1" hidden="false" customHeight="true" outlineLevel="0" collapsed="false">
      <c r="A25" s="242" t="s">
        <v>26</v>
      </c>
      <c r="B25" s="243" t="s">
        <v>108</v>
      </c>
      <c r="C25" s="244"/>
      <c r="D25" s="245" t="n">
        <v>3133101</v>
      </c>
      <c r="E25" s="246" t="n">
        <v>44998</v>
      </c>
      <c r="F25" s="247" t="s">
        <v>35</v>
      </c>
      <c r="G25" s="248" t="n">
        <v>44998</v>
      </c>
      <c r="H25" s="249"/>
      <c r="I25" s="250"/>
      <c r="J25" s="250"/>
      <c r="K25" s="250"/>
      <c r="L25" s="250"/>
      <c r="M25" s="249"/>
      <c r="N25" s="250"/>
      <c r="O25" s="249"/>
      <c r="P25" s="251"/>
      <c r="Q25" s="252"/>
      <c r="R25" s="249" t="n">
        <v>298</v>
      </c>
      <c r="S25" s="252" t="n">
        <v>62.5</v>
      </c>
      <c r="T25" s="253" t="n">
        <v>24.59</v>
      </c>
      <c r="U25" s="254" t="n">
        <f aca="false">SUM(H25:T25)</f>
        <v>385.09</v>
      </c>
      <c r="V25" s="255" t="s">
        <v>37</v>
      </c>
      <c r="W25" s="256" t="s">
        <v>109</v>
      </c>
      <c r="X25" s="110" t="s">
        <v>39</v>
      </c>
      <c r="Y25" s="187"/>
      <c r="Z25" s="51"/>
    </row>
    <row r="26" s="10" customFormat="true" ht="13.2" hidden="false" customHeight="true" outlineLevel="0" collapsed="false">
      <c r="A26" s="100" t="s">
        <v>26</v>
      </c>
      <c r="B26" s="2" t="s">
        <v>108</v>
      </c>
      <c r="C26" s="3"/>
      <c r="D26" s="101" t="n">
        <v>4103101</v>
      </c>
      <c r="E26" s="102" t="n">
        <v>45026</v>
      </c>
      <c r="F26" s="103" t="s">
        <v>35</v>
      </c>
      <c r="G26" s="5" t="n">
        <v>45026</v>
      </c>
      <c r="H26" s="105"/>
      <c r="I26" s="106"/>
      <c r="J26" s="106"/>
      <c r="K26" s="106"/>
      <c r="L26" s="106"/>
      <c r="M26" s="105"/>
      <c r="N26" s="106"/>
      <c r="O26" s="105"/>
      <c r="P26" s="7"/>
      <c r="Q26" s="107"/>
      <c r="R26" s="105" t="n">
        <v>415</v>
      </c>
      <c r="S26" s="107" t="n">
        <v>62.5</v>
      </c>
      <c r="T26" s="108" t="n">
        <v>34.24</v>
      </c>
      <c r="U26" s="95" t="n">
        <f aca="false">SUM(H26:T26)</f>
        <v>511.74</v>
      </c>
      <c r="V26" s="109" t="s">
        <v>37</v>
      </c>
      <c r="W26" s="10" t="s">
        <v>38</v>
      </c>
      <c r="X26" s="110" t="s">
        <v>39</v>
      </c>
      <c r="Y26" s="187"/>
      <c r="Z26" s="51"/>
    </row>
    <row r="27" s="10" customFormat="true" ht="14.1" hidden="false" customHeight="true" outlineLevel="0" collapsed="false">
      <c r="A27" s="203" t="s">
        <v>26</v>
      </c>
      <c r="B27" s="204" t="s">
        <v>98</v>
      </c>
      <c r="C27" s="205"/>
      <c r="D27" s="206" t="n">
        <v>2143103</v>
      </c>
      <c r="E27" s="207" t="n">
        <v>44971</v>
      </c>
      <c r="F27" s="208" t="s">
        <v>35</v>
      </c>
      <c r="G27" s="209" t="n">
        <v>44971</v>
      </c>
      <c r="H27" s="210"/>
      <c r="I27" s="211"/>
      <c r="J27" s="211"/>
      <c r="K27" s="211"/>
      <c r="L27" s="211"/>
      <c r="M27" s="210"/>
      <c r="N27" s="211"/>
      <c r="O27" s="210"/>
      <c r="P27" s="212"/>
      <c r="Q27" s="213"/>
      <c r="R27" s="210" t="n">
        <v>90</v>
      </c>
      <c r="S27" s="213" t="n">
        <v>10</v>
      </c>
      <c r="T27" s="214" t="n">
        <v>8.44</v>
      </c>
      <c r="U27" s="215" t="n">
        <f aca="false">SUM(H27:T27)</f>
        <v>108.44</v>
      </c>
      <c r="V27" s="216" t="s">
        <v>88</v>
      </c>
      <c r="W27" s="217" t="s">
        <v>26</v>
      </c>
      <c r="X27" s="110" t="s">
        <v>39</v>
      </c>
      <c r="Y27" s="187"/>
      <c r="Z27" s="51"/>
    </row>
    <row r="28" s="10" customFormat="true" ht="14.1" hidden="false" customHeight="true" outlineLevel="0" collapsed="false">
      <c r="A28" s="113" t="s">
        <v>26</v>
      </c>
      <c r="B28" s="190" t="s">
        <v>141</v>
      </c>
      <c r="C28" s="191"/>
      <c r="D28" s="191" t="n">
        <v>4243106</v>
      </c>
      <c r="E28" s="192" t="n">
        <v>45040</v>
      </c>
      <c r="F28" s="193" t="s">
        <v>35</v>
      </c>
      <c r="G28" s="194" t="n">
        <v>45041</v>
      </c>
      <c r="H28" s="195"/>
      <c r="I28" s="195"/>
      <c r="J28" s="196"/>
      <c r="K28" s="196"/>
      <c r="L28" s="196"/>
      <c r="M28" s="195"/>
      <c r="N28" s="195"/>
      <c r="O28" s="195"/>
      <c r="P28" s="128"/>
      <c r="Q28" s="197"/>
      <c r="R28" s="195" t="n">
        <v>775</v>
      </c>
      <c r="S28" s="197" t="n">
        <v>150</v>
      </c>
      <c r="T28" s="198" t="n">
        <v>71.69</v>
      </c>
      <c r="U28" s="199" t="n">
        <f aca="false">SUM(H28:T28)</f>
        <v>996.69</v>
      </c>
      <c r="V28" s="200" t="s">
        <v>37</v>
      </c>
      <c r="W28" s="29" t="s">
        <v>38</v>
      </c>
      <c r="X28" s="29" t="s">
        <v>39</v>
      </c>
      <c r="Y28" s="289"/>
      <c r="Z28" s="51"/>
    </row>
    <row r="29" s="10" customFormat="true" ht="14.1" hidden="false" customHeight="true" outlineLevel="0" collapsed="false">
      <c r="A29" s="242" t="s">
        <v>48</v>
      </c>
      <c r="B29" s="243" t="s">
        <v>165</v>
      </c>
      <c r="C29" s="244"/>
      <c r="D29" s="245" t="n">
        <v>3103012</v>
      </c>
      <c r="E29" s="246" t="n">
        <v>44995</v>
      </c>
      <c r="F29" s="247" t="s">
        <v>166</v>
      </c>
      <c r="G29" s="248" t="n">
        <v>44998</v>
      </c>
      <c r="H29" s="249" t="n">
        <v>225</v>
      </c>
      <c r="I29" s="250"/>
      <c r="J29" s="250"/>
      <c r="K29" s="250"/>
      <c r="L29" s="250"/>
      <c r="M29" s="249"/>
      <c r="N29" s="250"/>
      <c r="O29" s="249"/>
      <c r="P29" s="251"/>
      <c r="Q29" s="252"/>
      <c r="R29" s="249"/>
      <c r="S29" s="252"/>
      <c r="T29" s="253" t="n">
        <v>19.42</v>
      </c>
      <c r="U29" s="254" t="n">
        <f aca="false">SUM(H29:T29)</f>
        <v>244.42</v>
      </c>
      <c r="V29" s="255" t="s">
        <v>30</v>
      </c>
      <c r="W29" s="256" t="s">
        <v>48</v>
      </c>
      <c r="X29" s="110" t="s">
        <v>39</v>
      </c>
      <c r="Y29" s="187"/>
      <c r="Z29" s="51"/>
    </row>
    <row r="30" s="10" customFormat="true" ht="14.1" hidden="false" customHeight="true" outlineLevel="0" collapsed="false">
      <c r="A30" s="242" t="s">
        <v>26</v>
      </c>
      <c r="B30" s="243" t="s">
        <v>116</v>
      </c>
      <c r="C30" s="244"/>
      <c r="D30" s="245" t="n">
        <v>3223103</v>
      </c>
      <c r="E30" s="246" t="n">
        <v>45007</v>
      </c>
      <c r="F30" s="247" t="s">
        <v>35</v>
      </c>
      <c r="G30" s="248" t="n">
        <v>45007</v>
      </c>
      <c r="H30" s="249"/>
      <c r="I30" s="250"/>
      <c r="J30" s="250"/>
      <c r="K30" s="250"/>
      <c r="L30" s="250"/>
      <c r="M30" s="249"/>
      <c r="N30" s="250"/>
      <c r="O30" s="249"/>
      <c r="P30" s="251"/>
      <c r="Q30" s="252"/>
      <c r="R30" s="249" t="n">
        <v>188</v>
      </c>
      <c r="S30" s="252" t="n">
        <v>50</v>
      </c>
      <c r="T30" s="253" t="n">
        <v>16.22</v>
      </c>
      <c r="U30" s="254" t="n">
        <f aca="false">SUM(H30:T30)</f>
        <v>254.22</v>
      </c>
      <c r="V30" s="255" t="s">
        <v>37</v>
      </c>
      <c r="W30" s="256" t="s">
        <v>38</v>
      </c>
      <c r="X30" s="110" t="s">
        <v>39</v>
      </c>
      <c r="Y30" s="187"/>
      <c r="Z30" s="51"/>
    </row>
    <row r="31" s="10" customFormat="true" ht="14.1" hidden="false" customHeight="true" outlineLevel="0" collapsed="false">
      <c r="A31" s="172" t="s">
        <v>26</v>
      </c>
      <c r="B31" s="173" t="s">
        <v>91</v>
      </c>
      <c r="C31" s="174"/>
      <c r="D31" s="175" t="n">
        <v>12272103</v>
      </c>
      <c r="E31" s="176" t="n">
        <v>44922</v>
      </c>
      <c r="F31" s="177" t="s">
        <v>35</v>
      </c>
      <c r="G31" s="178" t="n">
        <v>44922</v>
      </c>
      <c r="H31" s="179"/>
      <c r="I31" s="180"/>
      <c r="J31" s="180"/>
      <c r="K31" s="180"/>
      <c r="L31" s="180"/>
      <c r="M31" s="179"/>
      <c r="N31" s="180"/>
      <c r="O31" s="179"/>
      <c r="P31" s="181"/>
      <c r="Q31" s="182"/>
      <c r="R31" s="179" t="n">
        <v>149</v>
      </c>
      <c r="S31" s="182" t="n">
        <v>30</v>
      </c>
      <c r="T31" s="183" t="n">
        <v>12.67</v>
      </c>
      <c r="U31" s="184" t="n">
        <f aca="false">SUM(H31:T31)</f>
        <v>191.67</v>
      </c>
      <c r="V31" s="185" t="s">
        <v>88</v>
      </c>
      <c r="W31" s="186" t="s">
        <v>38</v>
      </c>
      <c r="X31" s="110" t="s">
        <v>39</v>
      </c>
      <c r="Y31" s="187" t="s">
        <v>86</v>
      </c>
      <c r="Z31" s="51"/>
    </row>
    <row r="32" s="10" customFormat="true" ht="14.1" hidden="false" customHeight="true" outlineLevel="0" collapsed="false">
      <c r="A32" s="172" t="s">
        <v>26</v>
      </c>
      <c r="B32" s="173" t="s">
        <v>92</v>
      </c>
      <c r="C32" s="174"/>
      <c r="D32" s="175" t="n">
        <v>12282103</v>
      </c>
      <c r="E32" s="176" t="n">
        <v>44923</v>
      </c>
      <c r="F32" s="177" t="s">
        <v>35</v>
      </c>
      <c r="G32" s="178" t="n">
        <v>44923</v>
      </c>
      <c r="H32" s="179"/>
      <c r="I32" s="180"/>
      <c r="J32" s="180"/>
      <c r="K32" s="180"/>
      <c r="L32" s="180"/>
      <c r="M32" s="179"/>
      <c r="N32" s="180"/>
      <c r="O32" s="179"/>
      <c r="P32" s="181"/>
      <c r="Q32" s="182"/>
      <c r="R32" s="179" t="n">
        <v>45</v>
      </c>
      <c r="S32" s="182" t="n">
        <v>10</v>
      </c>
      <c r="T32" s="183" t="n">
        <v>3.83</v>
      </c>
      <c r="U32" s="184" t="n">
        <f aca="false">SUM(H32:T32)</f>
        <v>58.83</v>
      </c>
      <c r="V32" s="185" t="s">
        <v>88</v>
      </c>
      <c r="W32" s="186" t="s">
        <v>47</v>
      </c>
      <c r="X32" s="110" t="s">
        <v>39</v>
      </c>
      <c r="Y32" s="187" t="s">
        <v>86</v>
      </c>
      <c r="Z32" s="51"/>
    </row>
    <row r="33" s="10" customFormat="true" ht="14.1" hidden="false" customHeight="true" outlineLevel="0" collapsed="false">
      <c r="A33" s="100" t="s">
        <v>26</v>
      </c>
      <c r="B33" s="2" t="s">
        <v>150</v>
      </c>
      <c r="C33" s="3"/>
      <c r="D33" s="101" t="n">
        <v>4273102</v>
      </c>
      <c r="E33" s="102" t="n">
        <v>45043</v>
      </c>
      <c r="F33" s="103" t="s">
        <v>35</v>
      </c>
      <c r="G33" s="5" t="n">
        <v>45043</v>
      </c>
      <c r="H33" s="105"/>
      <c r="I33" s="106"/>
      <c r="J33" s="106"/>
      <c r="K33" s="106"/>
      <c r="L33" s="106"/>
      <c r="M33" s="105"/>
      <c r="N33" s="106"/>
      <c r="O33" s="105"/>
      <c r="P33" s="7"/>
      <c r="Q33" s="107"/>
      <c r="R33" s="105" t="n">
        <v>220</v>
      </c>
      <c r="S33" s="107" t="n">
        <v>50</v>
      </c>
      <c r="T33" s="108" t="n">
        <v>20.24</v>
      </c>
      <c r="U33" s="95" t="n">
        <f aca="false">SUM(H33:T33)</f>
        <v>290.24</v>
      </c>
      <c r="V33" s="109" t="s">
        <v>37</v>
      </c>
      <c r="W33" s="10" t="s">
        <v>38</v>
      </c>
      <c r="X33" s="110" t="s">
        <v>39</v>
      </c>
      <c r="Y33" s="187"/>
      <c r="Z33" s="51"/>
    </row>
    <row r="34" s="10" customFormat="true" ht="14.1" hidden="false" customHeight="true" outlineLevel="0" collapsed="false">
      <c r="A34" s="100" t="s">
        <v>26</v>
      </c>
      <c r="B34" s="2" t="s">
        <v>145</v>
      </c>
      <c r="C34" s="3"/>
      <c r="D34" s="101" t="n">
        <v>4263101</v>
      </c>
      <c r="E34" s="102" t="n">
        <v>45042</v>
      </c>
      <c r="F34" s="103" t="s">
        <v>35</v>
      </c>
      <c r="G34" s="5" t="n">
        <v>45042</v>
      </c>
      <c r="H34" s="105"/>
      <c r="I34" s="106"/>
      <c r="J34" s="106"/>
      <c r="K34" s="106"/>
      <c r="L34" s="106"/>
      <c r="M34" s="105"/>
      <c r="N34" s="106"/>
      <c r="O34" s="105"/>
      <c r="P34" s="7"/>
      <c r="Q34" s="107"/>
      <c r="R34" s="105" t="n">
        <v>39</v>
      </c>
      <c r="S34" s="107"/>
      <c r="T34" s="108" t="n">
        <v>3.22</v>
      </c>
      <c r="U34" s="95" t="n">
        <f aca="false">SUM(H34:T34)</f>
        <v>42.22</v>
      </c>
      <c r="V34" s="109" t="s">
        <v>30</v>
      </c>
      <c r="W34" s="10" t="s">
        <v>51</v>
      </c>
      <c r="X34" s="110" t="s">
        <v>39</v>
      </c>
      <c r="Y34" s="187"/>
      <c r="Z34" s="51"/>
    </row>
    <row r="35" s="10" customFormat="true" ht="14.1" hidden="false" customHeight="true" outlineLevel="0" collapsed="false">
      <c r="A35" s="242" t="s">
        <v>26</v>
      </c>
      <c r="B35" s="243" t="s">
        <v>110</v>
      </c>
      <c r="C35" s="244"/>
      <c r="D35" s="245" t="n">
        <v>3203101</v>
      </c>
      <c r="E35" s="246" t="n">
        <v>45005</v>
      </c>
      <c r="F35" s="247" t="s">
        <v>35</v>
      </c>
      <c r="G35" s="248" t="n">
        <v>45005</v>
      </c>
      <c r="H35" s="249"/>
      <c r="I35" s="250"/>
      <c r="J35" s="250"/>
      <c r="K35" s="250"/>
      <c r="L35" s="250"/>
      <c r="M35" s="249"/>
      <c r="N35" s="250"/>
      <c r="O35" s="249"/>
      <c r="P35" s="251"/>
      <c r="Q35" s="252"/>
      <c r="R35" s="249" t="n">
        <v>130</v>
      </c>
      <c r="S35" s="252" t="n">
        <v>25</v>
      </c>
      <c r="T35" s="253" t="n">
        <v>11.21</v>
      </c>
      <c r="U35" s="254" t="n">
        <f aca="false">SUM(H35:T35)</f>
        <v>166.21</v>
      </c>
      <c r="V35" s="255" t="s">
        <v>37</v>
      </c>
      <c r="W35" s="256" t="s">
        <v>38</v>
      </c>
      <c r="X35" s="110" t="s">
        <v>39</v>
      </c>
      <c r="Y35" s="187"/>
      <c r="Z35" s="51"/>
    </row>
    <row r="36" s="10" customFormat="true" ht="14.1" hidden="false" customHeight="true" outlineLevel="0" collapsed="false">
      <c r="A36" s="242" t="s">
        <v>26</v>
      </c>
      <c r="B36" s="243" t="s">
        <v>110</v>
      </c>
      <c r="C36" s="244"/>
      <c r="D36" s="245" t="n">
        <v>3273102</v>
      </c>
      <c r="E36" s="246" t="n">
        <v>45012</v>
      </c>
      <c r="F36" s="247" t="s">
        <v>35</v>
      </c>
      <c r="G36" s="248" t="n">
        <v>45012</v>
      </c>
      <c r="H36" s="249"/>
      <c r="I36" s="250"/>
      <c r="J36" s="250"/>
      <c r="K36" s="250"/>
      <c r="L36" s="250"/>
      <c r="M36" s="249"/>
      <c r="N36" s="250"/>
      <c r="O36" s="249"/>
      <c r="P36" s="251"/>
      <c r="Q36" s="252"/>
      <c r="R36" s="249" t="n">
        <v>427</v>
      </c>
      <c r="S36" s="252" t="n">
        <v>87.5</v>
      </c>
      <c r="T36" s="253" t="n">
        <v>36.83</v>
      </c>
      <c r="U36" s="254" t="n">
        <f aca="false">SUM(H36:T36)</f>
        <v>551.33</v>
      </c>
      <c r="V36" s="255" t="s">
        <v>37</v>
      </c>
      <c r="W36" s="256" t="s">
        <v>38</v>
      </c>
      <c r="X36" s="110" t="s">
        <v>39</v>
      </c>
      <c r="Y36" s="187"/>
      <c r="Z36" s="51"/>
    </row>
    <row r="37" s="10" customFormat="true" ht="14.1" hidden="false" customHeight="true" outlineLevel="0" collapsed="false">
      <c r="A37" s="100" t="s">
        <v>26</v>
      </c>
      <c r="B37" s="2" t="s">
        <v>139</v>
      </c>
      <c r="C37" s="3"/>
      <c r="D37" s="101" t="n">
        <v>4243101</v>
      </c>
      <c r="E37" s="102" t="n">
        <v>45040</v>
      </c>
      <c r="F37" s="103" t="s">
        <v>35</v>
      </c>
      <c r="G37" s="5" t="n">
        <v>45040</v>
      </c>
      <c r="H37" s="105"/>
      <c r="I37" s="106"/>
      <c r="J37" s="106"/>
      <c r="K37" s="106"/>
      <c r="L37" s="106"/>
      <c r="M37" s="105"/>
      <c r="N37" s="106"/>
      <c r="O37" s="105"/>
      <c r="P37" s="7"/>
      <c r="Q37" s="107"/>
      <c r="R37" s="105" t="n">
        <v>110</v>
      </c>
      <c r="S37" s="107"/>
      <c r="T37" s="108" t="n">
        <v>10.18</v>
      </c>
      <c r="U37" s="95" t="n">
        <f aca="false">SUM(H37:T37)</f>
        <v>120.18</v>
      </c>
      <c r="V37" s="109" t="s">
        <v>30</v>
      </c>
      <c r="W37" s="10" t="s">
        <v>51</v>
      </c>
      <c r="X37" s="110" t="s">
        <v>39</v>
      </c>
      <c r="Y37" s="187"/>
      <c r="Z37" s="51"/>
    </row>
    <row r="38" s="10" customFormat="true" ht="14.1" hidden="false" customHeight="true" outlineLevel="0" collapsed="false">
      <c r="A38" s="172" t="s">
        <v>26</v>
      </c>
      <c r="B38" s="173" t="s">
        <v>94</v>
      </c>
      <c r="C38" s="174"/>
      <c r="D38" s="175" t="n">
        <v>1103101</v>
      </c>
      <c r="E38" s="176" t="n">
        <v>44936</v>
      </c>
      <c r="F38" s="177" t="s">
        <v>35</v>
      </c>
      <c r="G38" s="178" t="n">
        <v>44936</v>
      </c>
      <c r="H38" s="179"/>
      <c r="I38" s="180"/>
      <c r="J38" s="180"/>
      <c r="K38" s="180"/>
      <c r="L38" s="180"/>
      <c r="M38" s="179"/>
      <c r="N38" s="180"/>
      <c r="O38" s="179"/>
      <c r="P38" s="181"/>
      <c r="Q38" s="182"/>
      <c r="R38" s="179" t="n">
        <v>65</v>
      </c>
      <c r="S38" s="182" t="n">
        <v>10</v>
      </c>
      <c r="T38" s="183" t="n">
        <v>5.04</v>
      </c>
      <c r="U38" s="184" t="n">
        <f aca="false">SUM(H38:T38)</f>
        <v>80.04</v>
      </c>
      <c r="V38" s="185" t="s">
        <v>88</v>
      </c>
      <c r="W38" s="186" t="s">
        <v>38</v>
      </c>
      <c r="X38" s="110" t="s">
        <v>39</v>
      </c>
      <c r="Y38" s="187" t="s">
        <v>86</v>
      </c>
      <c r="Z38" s="51"/>
    </row>
    <row r="39" s="10" customFormat="true" ht="14.1" hidden="false" customHeight="true" outlineLevel="0" collapsed="false">
      <c r="A39" s="242" t="s">
        <v>26</v>
      </c>
      <c r="B39" s="243" t="s">
        <v>107</v>
      </c>
      <c r="C39" s="244"/>
      <c r="D39" s="245" t="n">
        <v>3093104</v>
      </c>
      <c r="E39" s="246" t="n">
        <v>44994</v>
      </c>
      <c r="F39" s="247" t="s">
        <v>35</v>
      </c>
      <c r="G39" s="248" t="n">
        <v>44995</v>
      </c>
      <c r="H39" s="249"/>
      <c r="I39" s="250"/>
      <c r="J39" s="250"/>
      <c r="K39" s="250"/>
      <c r="L39" s="250"/>
      <c r="M39" s="249"/>
      <c r="N39" s="250"/>
      <c r="O39" s="249"/>
      <c r="P39" s="251"/>
      <c r="Q39" s="252"/>
      <c r="R39" s="249" t="n">
        <v>39</v>
      </c>
      <c r="S39" s="252" t="n">
        <v>12.5</v>
      </c>
      <c r="T39" s="253" t="n">
        <v>4</v>
      </c>
      <c r="U39" s="254" t="n">
        <f aca="false">SUM(H39:T39)</f>
        <v>55.5</v>
      </c>
      <c r="V39" s="255" t="s">
        <v>37</v>
      </c>
      <c r="W39" s="256" t="s">
        <v>38</v>
      </c>
      <c r="X39" s="110" t="s">
        <v>39</v>
      </c>
      <c r="Y39" s="187"/>
      <c r="Z39" s="51"/>
    </row>
    <row r="40" s="10" customFormat="true" ht="13.2" hidden="false" customHeight="true" outlineLevel="0" collapsed="false">
      <c r="A40" s="100" t="s">
        <v>26</v>
      </c>
      <c r="B40" s="2" t="s">
        <v>125</v>
      </c>
      <c r="C40" s="3" t="s">
        <v>126</v>
      </c>
      <c r="D40" s="101" t="n">
        <v>4073101</v>
      </c>
      <c r="E40" s="102" t="n">
        <v>45023</v>
      </c>
      <c r="F40" s="103" t="s">
        <v>35</v>
      </c>
      <c r="G40" s="5" t="n">
        <v>45023</v>
      </c>
      <c r="H40" s="105"/>
      <c r="I40" s="106"/>
      <c r="J40" s="106"/>
      <c r="K40" s="106"/>
      <c r="L40" s="106"/>
      <c r="M40" s="105"/>
      <c r="N40" s="106"/>
      <c r="O40" s="105"/>
      <c r="P40" s="7"/>
      <c r="Q40" s="107"/>
      <c r="R40" s="105" t="n">
        <v>149</v>
      </c>
      <c r="S40" s="107" t="n">
        <v>37.5</v>
      </c>
      <c r="T40" s="108" t="n">
        <v>15.27</v>
      </c>
      <c r="U40" s="95" t="n">
        <f aca="false">SUM(H40:T40)</f>
        <v>201.77</v>
      </c>
      <c r="V40" s="109" t="s">
        <v>37</v>
      </c>
      <c r="W40" s="10" t="s">
        <v>38</v>
      </c>
      <c r="X40" s="110" t="s">
        <v>39</v>
      </c>
      <c r="Y40" s="187"/>
      <c r="Z40" s="51"/>
    </row>
    <row r="41" s="10" customFormat="true" ht="14.1" hidden="false" customHeight="true" outlineLevel="0" collapsed="false">
      <c r="A41" s="172" t="s">
        <v>48</v>
      </c>
      <c r="B41" s="173" t="s">
        <v>167</v>
      </c>
      <c r="C41" s="174" t="s">
        <v>168</v>
      </c>
      <c r="D41" s="175" t="n">
        <v>1103063</v>
      </c>
      <c r="E41" s="176" t="n">
        <v>44936</v>
      </c>
      <c r="F41" s="177" t="s">
        <v>169</v>
      </c>
      <c r="G41" s="178" t="n">
        <v>44936</v>
      </c>
      <c r="H41" s="179"/>
      <c r="I41" s="180"/>
      <c r="J41" s="180"/>
      <c r="K41" s="180"/>
      <c r="L41" s="180"/>
      <c r="M41" s="179"/>
      <c r="N41" s="180"/>
      <c r="O41" s="179" t="n">
        <v>27.5</v>
      </c>
      <c r="P41" s="181"/>
      <c r="Q41" s="182" t="n">
        <v>10</v>
      </c>
      <c r="R41" s="179"/>
      <c r="S41" s="182"/>
      <c r="T41" s="183" t="n">
        <v>2.41</v>
      </c>
      <c r="U41" s="184" t="n">
        <f aca="false">SUM(H41:T41)</f>
        <v>39.91</v>
      </c>
      <c r="V41" s="185" t="s">
        <v>88</v>
      </c>
      <c r="W41" s="186" t="s">
        <v>38</v>
      </c>
      <c r="X41" s="110" t="s">
        <v>39</v>
      </c>
      <c r="Y41" s="187" t="s">
        <v>155</v>
      </c>
      <c r="Z41" s="51"/>
    </row>
    <row r="42" s="10" customFormat="true" ht="14.1" hidden="false" customHeight="true" outlineLevel="0" collapsed="false">
      <c r="A42" s="100" t="s">
        <v>26</v>
      </c>
      <c r="B42" s="2" t="s">
        <v>146</v>
      </c>
      <c r="C42" s="3"/>
      <c r="D42" s="101" t="n">
        <v>4253101</v>
      </c>
      <c r="E42" s="102" t="n">
        <v>45041</v>
      </c>
      <c r="F42" s="103" t="s">
        <v>35</v>
      </c>
      <c r="G42" s="5" t="n">
        <v>45043</v>
      </c>
      <c r="H42" s="105"/>
      <c r="I42" s="106"/>
      <c r="J42" s="106"/>
      <c r="K42" s="106"/>
      <c r="L42" s="106"/>
      <c r="M42" s="105"/>
      <c r="N42" s="106"/>
      <c r="O42" s="105"/>
      <c r="P42" s="7"/>
      <c r="Q42" s="107"/>
      <c r="R42" s="105" t="n">
        <v>55</v>
      </c>
      <c r="S42" s="107" t="n">
        <v>12.5</v>
      </c>
      <c r="T42" s="108" t="n">
        <v>4.68</v>
      </c>
      <c r="U42" s="95" t="n">
        <f aca="false">SUM(H42:T42)</f>
        <v>72.18</v>
      </c>
      <c r="V42" s="109" t="s">
        <v>37</v>
      </c>
      <c r="W42" s="10" t="s">
        <v>38</v>
      </c>
      <c r="X42" s="110" t="s">
        <v>39</v>
      </c>
      <c r="Y42" s="187"/>
      <c r="Z42" s="51"/>
    </row>
    <row r="43" s="10" customFormat="true" ht="14.1" hidden="false" customHeight="true" outlineLevel="0" collapsed="false">
      <c r="A43" s="113" t="s">
        <v>42</v>
      </c>
      <c r="B43" s="190" t="s">
        <v>170</v>
      </c>
      <c r="C43" s="191" t="s">
        <v>171</v>
      </c>
      <c r="D43" s="191" t="n">
        <v>4273251</v>
      </c>
      <c r="E43" s="192" t="n">
        <v>45043</v>
      </c>
      <c r="F43" s="193" t="s">
        <v>172</v>
      </c>
      <c r="G43" s="194" t="n">
        <v>45044</v>
      </c>
      <c r="H43" s="195" t="n">
        <v>995</v>
      </c>
      <c r="I43" s="195"/>
      <c r="J43" s="196" t="n">
        <v>180</v>
      </c>
      <c r="K43" s="196"/>
      <c r="L43" s="196"/>
      <c r="M43" s="195"/>
      <c r="N43" s="195"/>
      <c r="O43" s="195"/>
      <c r="P43" s="128"/>
      <c r="Q43" s="197" t="n">
        <v>90</v>
      </c>
      <c r="R43" s="195"/>
      <c r="S43" s="197"/>
      <c r="T43" s="198" t="n">
        <v>97.01</v>
      </c>
      <c r="U43" s="199" t="n">
        <f aca="false">SUM(H43:T43)</f>
        <v>1362.01</v>
      </c>
      <c r="V43" s="200" t="s">
        <v>30</v>
      </c>
      <c r="W43" s="29" t="s">
        <v>42</v>
      </c>
      <c r="X43" s="29" t="s">
        <v>39</v>
      </c>
      <c r="Y43" s="289"/>
      <c r="Z43" s="51"/>
    </row>
    <row r="44" s="10" customFormat="true" ht="14.1" hidden="false" customHeight="true" outlineLevel="0" collapsed="false">
      <c r="A44" s="100" t="s">
        <v>26</v>
      </c>
      <c r="B44" s="2" t="s">
        <v>138</v>
      </c>
      <c r="C44" s="3"/>
      <c r="D44" s="101" t="n">
        <v>4203102</v>
      </c>
      <c r="E44" s="102" t="n">
        <v>45036</v>
      </c>
      <c r="F44" s="103" t="s">
        <v>35</v>
      </c>
      <c r="G44" s="5" t="n">
        <v>45036</v>
      </c>
      <c r="H44" s="105"/>
      <c r="I44" s="106"/>
      <c r="J44" s="106"/>
      <c r="K44" s="106"/>
      <c r="L44" s="106"/>
      <c r="M44" s="105"/>
      <c r="N44" s="106"/>
      <c r="O44" s="105"/>
      <c r="P44" s="7"/>
      <c r="Q44" s="107"/>
      <c r="R44" s="105" t="n">
        <v>195</v>
      </c>
      <c r="S44" s="107" t="n">
        <v>37.5</v>
      </c>
      <c r="T44" s="108" t="n">
        <v>18.04</v>
      </c>
      <c r="U44" s="95" t="n">
        <f aca="false">SUM(H44:T44)</f>
        <v>250.54</v>
      </c>
      <c r="V44" s="109" t="s">
        <v>37</v>
      </c>
      <c r="W44" s="10" t="s">
        <v>38</v>
      </c>
      <c r="X44" s="110" t="s">
        <v>39</v>
      </c>
      <c r="Y44" s="187"/>
      <c r="Z44" s="51"/>
    </row>
    <row r="45" s="10" customFormat="true" ht="14.1" hidden="false" customHeight="true" outlineLevel="0" collapsed="false">
      <c r="A45" s="100" t="s">
        <v>26</v>
      </c>
      <c r="B45" s="2" t="s">
        <v>137</v>
      </c>
      <c r="C45" s="3"/>
      <c r="D45" s="101" t="n">
        <v>4203101</v>
      </c>
      <c r="E45" s="102" t="n">
        <v>45036</v>
      </c>
      <c r="F45" s="103" t="s">
        <v>35</v>
      </c>
      <c r="G45" s="5" t="n">
        <v>45036</v>
      </c>
      <c r="H45" s="105"/>
      <c r="I45" s="106"/>
      <c r="J45" s="106"/>
      <c r="K45" s="106"/>
      <c r="L45" s="106"/>
      <c r="M45" s="105"/>
      <c r="N45" s="106"/>
      <c r="O45" s="105"/>
      <c r="P45" s="7"/>
      <c r="Q45" s="107"/>
      <c r="R45" s="105" t="n">
        <v>399</v>
      </c>
      <c r="S45" s="107" t="n">
        <v>87.5</v>
      </c>
      <c r="T45" s="108" t="n">
        <v>34.41</v>
      </c>
      <c r="U45" s="95" t="n">
        <f aca="false">SUM(H45:T45)</f>
        <v>520.91</v>
      </c>
      <c r="V45" s="109" t="s">
        <v>37</v>
      </c>
      <c r="W45" s="10" t="s">
        <v>38</v>
      </c>
      <c r="X45" s="110" t="s">
        <v>39</v>
      </c>
      <c r="Y45" s="187"/>
      <c r="Z45" s="51"/>
    </row>
    <row r="46" s="10" customFormat="true" ht="13.2" hidden="false" customHeight="true" outlineLevel="0" collapsed="false">
      <c r="A46" s="100" t="s">
        <v>26</v>
      </c>
      <c r="B46" s="2" t="s">
        <v>124</v>
      </c>
      <c r="C46" s="3"/>
      <c r="D46" s="101" t="n">
        <v>4063105</v>
      </c>
      <c r="E46" s="102" t="n">
        <v>45022</v>
      </c>
      <c r="F46" s="103" t="s">
        <v>35</v>
      </c>
      <c r="G46" s="5" t="n">
        <v>45023</v>
      </c>
      <c r="H46" s="105"/>
      <c r="I46" s="106"/>
      <c r="J46" s="106"/>
      <c r="K46" s="106"/>
      <c r="L46" s="106"/>
      <c r="M46" s="105"/>
      <c r="N46" s="106"/>
      <c r="O46" s="105"/>
      <c r="P46" s="7"/>
      <c r="Q46" s="107"/>
      <c r="R46" s="105" t="n">
        <v>129</v>
      </c>
      <c r="S46" s="107" t="n">
        <v>37.5</v>
      </c>
      <c r="T46" s="108" t="n">
        <v>10.97</v>
      </c>
      <c r="U46" s="95" t="n">
        <f aca="false">SUM(H46:T46)</f>
        <v>177.47</v>
      </c>
      <c r="V46" s="109" t="s">
        <v>37</v>
      </c>
      <c r="W46" s="10" t="s">
        <v>38</v>
      </c>
      <c r="X46" s="110" t="s">
        <v>39</v>
      </c>
      <c r="Y46" s="187"/>
      <c r="Z46" s="51"/>
    </row>
    <row r="47" s="10" customFormat="true" ht="14.1" hidden="false" customHeight="true" outlineLevel="0" collapsed="false">
      <c r="A47" s="203" t="s">
        <v>26</v>
      </c>
      <c r="B47" s="204" t="s">
        <v>99</v>
      </c>
      <c r="C47" s="205"/>
      <c r="D47" s="206" t="n">
        <v>2143104</v>
      </c>
      <c r="E47" s="207" t="n">
        <v>44971</v>
      </c>
      <c r="F47" s="208" t="s">
        <v>35</v>
      </c>
      <c r="G47" s="209" t="n">
        <v>44971</v>
      </c>
      <c r="H47" s="210"/>
      <c r="I47" s="211"/>
      <c r="J47" s="211"/>
      <c r="K47" s="211"/>
      <c r="L47" s="211"/>
      <c r="M47" s="210"/>
      <c r="N47" s="211"/>
      <c r="O47" s="210"/>
      <c r="P47" s="212"/>
      <c r="Q47" s="213"/>
      <c r="R47" s="210" t="n">
        <v>515</v>
      </c>
      <c r="S47" s="213" t="n">
        <v>90</v>
      </c>
      <c r="T47" s="214" t="n">
        <v>47.64</v>
      </c>
      <c r="U47" s="215" t="n">
        <f aca="false">SUM(H47:T47)</f>
        <v>652.64</v>
      </c>
      <c r="V47" s="216" t="s">
        <v>88</v>
      </c>
      <c r="W47" s="217" t="s">
        <v>26</v>
      </c>
      <c r="X47" s="110" t="s">
        <v>39</v>
      </c>
      <c r="Y47" s="187"/>
      <c r="Z47" s="51"/>
    </row>
    <row r="48" s="237" customFormat="true" ht="14.1" hidden="false" customHeight="true" outlineLevel="0" collapsed="false">
      <c r="A48" s="218" t="s">
        <v>26</v>
      </c>
      <c r="B48" s="219" t="s">
        <v>103</v>
      </c>
      <c r="C48" s="220"/>
      <c r="D48" s="221" t="n">
        <v>2273101</v>
      </c>
      <c r="E48" s="222" t="n">
        <v>44984</v>
      </c>
      <c r="F48" s="223" t="s">
        <v>35</v>
      </c>
      <c r="G48" s="209" t="n">
        <v>44984</v>
      </c>
      <c r="H48" s="224"/>
      <c r="I48" s="225"/>
      <c r="J48" s="225"/>
      <c r="K48" s="225"/>
      <c r="L48" s="225"/>
      <c r="M48" s="224"/>
      <c r="N48" s="225"/>
      <c r="O48" s="224"/>
      <c r="P48" s="226"/>
      <c r="Q48" s="227"/>
      <c r="R48" s="224" t="n">
        <v>110</v>
      </c>
      <c r="S48" s="227"/>
      <c r="T48" s="228" t="n">
        <v>9.22</v>
      </c>
      <c r="U48" s="229" t="n">
        <f aca="false">SUM(H48:T48)</f>
        <v>119.22</v>
      </c>
      <c r="V48" s="230" t="s">
        <v>88</v>
      </c>
      <c r="W48" s="231" t="s">
        <v>47</v>
      </c>
      <c r="X48" s="232" t="s">
        <v>39</v>
      </c>
      <c r="Y48" s="235"/>
      <c r="Z48" s="236"/>
    </row>
    <row r="49" s="10" customFormat="true" ht="13.2" hidden="false" customHeight="true" outlineLevel="0" collapsed="false">
      <c r="A49" s="100" t="s">
        <v>47</v>
      </c>
      <c r="B49" s="2" t="s">
        <v>173</v>
      </c>
      <c r="C49" s="3"/>
      <c r="D49" s="101" t="n">
        <v>4073068</v>
      </c>
      <c r="E49" s="102" t="n">
        <v>45023</v>
      </c>
      <c r="F49" s="103" t="s">
        <v>174</v>
      </c>
      <c r="G49" s="5" t="n">
        <v>45023</v>
      </c>
      <c r="H49" s="105" t="n">
        <v>39000</v>
      </c>
      <c r="I49" s="106"/>
      <c r="J49" s="106"/>
      <c r="K49" s="106"/>
      <c r="L49" s="106"/>
      <c r="M49" s="105"/>
      <c r="N49" s="106"/>
      <c r="O49" s="105"/>
      <c r="P49" s="7"/>
      <c r="Q49" s="107"/>
      <c r="R49" s="105"/>
      <c r="S49" s="107" t="n">
        <v>475</v>
      </c>
      <c r="T49" s="106" t="n">
        <v>3705</v>
      </c>
      <c r="U49" s="95" t="n">
        <f aca="false">SUM(H49:T49)</f>
        <v>43180</v>
      </c>
      <c r="V49" s="109" t="s">
        <v>129</v>
      </c>
      <c r="W49" s="10" t="s">
        <v>48</v>
      </c>
      <c r="X49" s="110" t="s">
        <v>39</v>
      </c>
      <c r="Y49" s="187"/>
      <c r="Z49" s="51"/>
    </row>
    <row r="50" s="10" customFormat="true" ht="14.1" hidden="false" customHeight="true" outlineLevel="0" collapsed="false">
      <c r="A50" s="242" t="s">
        <v>26</v>
      </c>
      <c r="B50" s="243" t="s">
        <v>113</v>
      </c>
      <c r="C50" s="244" t="s">
        <v>114</v>
      </c>
      <c r="D50" s="245" t="n">
        <v>3213106</v>
      </c>
      <c r="E50" s="246" t="n">
        <v>45006</v>
      </c>
      <c r="F50" s="247" t="s">
        <v>35</v>
      </c>
      <c r="G50" s="248" t="n">
        <v>45006</v>
      </c>
      <c r="H50" s="249"/>
      <c r="I50" s="250"/>
      <c r="J50" s="250"/>
      <c r="K50" s="250"/>
      <c r="L50" s="250"/>
      <c r="M50" s="249"/>
      <c r="N50" s="250"/>
      <c r="O50" s="249"/>
      <c r="P50" s="251"/>
      <c r="Q50" s="252"/>
      <c r="R50" s="249" t="n">
        <v>45</v>
      </c>
      <c r="S50" s="252" t="n">
        <v>12.5</v>
      </c>
      <c r="T50" s="253" t="n">
        <v>3.94</v>
      </c>
      <c r="U50" s="254" t="n">
        <f aca="false">SUM(H50:T50)</f>
        <v>61.44</v>
      </c>
      <c r="V50" s="255" t="s">
        <v>37</v>
      </c>
      <c r="W50" s="256" t="s">
        <v>48</v>
      </c>
      <c r="X50" s="110" t="s">
        <v>39</v>
      </c>
      <c r="Y50" s="187"/>
      <c r="Z50" s="51"/>
    </row>
    <row r="51" s="10" customFormat="true" ht="14.1" hidden="false" customHeight="true" outlineLevel="0" collapsed="false">
      <c r="A51" s="242" t="s">
        <v>26</v>
      </c>
      <c r="B51" s="243" t="s">
        <v>113</v>
      </c>
      <c r="C51" s="244" t="s">
        <v>114</v>
      </c>
      <c r="D51" s="245" t="n">
        <v>3243105</v>
      </c>
      <c r="E51" s="246" t="n">
        <v>45009</v>
      </c>
      <c r="F51" s="247" t="s">
        <v>35</v>
      </c>
      <c r="G51" s="248" t="n">
        <v>45009</v>
      </c>
      <c r="H51" s="249"/>
      <c r="I51" s="250"/>
      <c r="J51" s="250"/>
      <c r="K51" s="250"/>
      <c r="L51" s="250"/>
      <c r="M51" s="249"/>
      <c r="N51" s="250"/>
      <c r="O51" s="249"/>
      <c r="P51" s="251"/>
      <c r="Q51" s="252"/>
      <c r="R51" s="249" t="n">
        <v>45</v>
      </c>
      <c r="S51" s="252" t="n">
        <v>12.5</v>
      </c>
      <c r="T51" s="253" t="n">
        <v>3.94</v>
      </c>
      <c r="U51" s="254" t="n">
        <f aca="false">SUM(H51:T51)</f>
        <v>61.44</v>
      </c>
      <c r="V51" s="255" t="s">
        <v>37</v>
      </c>
      <c r="W51" s="256" t="s">
        <v>38</v>
      </c>
      <c r="X51" s="110" t="s">
        <v>39</v>
      </c>
      <c r="Y51" s="187"/>
      <c r="Z51" s="51"/>
    </row>
    <row r="52" s="10" customFormat="true" ht="14.1" hidden="false" customHeight="true" outlineLevel="0" collapsed="false">
      <c r="A52" s="172" t="s">
        <v>26</v>
      </c>
      <c r="B52" s="173" t="s">
        <v>83</v>
      </c>
      <c r="C52" s="174"/>
      <c r="D52" s="175" t="n">
        <v>12162102</v>
      </c>
      <c r="E52" s="176" t="n">
        <v>44911</v>
      </c>
      <c r="F52" s="177" t="s">
        <v>35</v>
      </c>
      <c r="G52" s="178" t="n">
        <v>44911</v>
      </c>
      <c r="H52" s="179"/>
      <c r="I52" s="180"/>
      <c r="J52" s="180"/>
      <c r="K52" s="180"/>
      <c r="L52" s="180"/>
      <c r="M52" s="179"/>
      <c r="N52" s="180"/>
      <c r="O52" s="179"/>
      <c r="P52" s="181"/>
      <c r="Q52" s="182"/>
      <c r="R52" s="179" t="n">
        <v>149</v>
      </c>
      <c r="S52" s="182"/>
      <c r="T52" s="183" t="n">
        <v>12.29</v>
      </c>
      <c r="U52" s="184" t="n">
        <f aca="false">SUM(H52:T52)</f>
        <v>161.29</v>
      </c>
      <c r="V52" s="185" t="s">
        <v>84</v>
      </c>
      <c r="W52" s="186" t="s">
        <v>85</v>
      </c>
      <c r="X52" s="110" t="s">
        <v>39</v>
      </c>
      <c r="Y52" s="187" t="s">
        <v>86</v>
      </c>
      <c r="Z52" s="51"/>
    </row>
    <row r="53" s="10" customFormat="true" ht="14.1" hidden="false" customHeight="true" outlineLevel="0" collapsed="false">
      <c r="A53" s="100" t="s">
        <v>26</v>
      </c>
      <c r="B53" s="2" t="s">
        <v>83</v>
      </c>
      <c r="C53" s="3"/>
      <c r="D53" s="101" t="n">
        <v>4203103</v>
      </c>
      <c r="E53" s="102" t="n">
        <v>45036</v>
      </c>
      <c r="F53" s="103" t="s">
        <v>35</v>
      </c>
      <c r="G53" s="5" t="n">
        <v>45036</v>
      </c>
      <c r="H53" s="105"/>
      <c r="I53" s="106"/>
      <c r="J53" s="106"/>
      <c r="K53" s="106"/>
      <c r="L53" s="106"/>
      <c r="M53" s="105"/>
      <c r="N53" s="106"/>
      <c r="O53" s="105"/>
      <c r="P53" s="7"/>
      <c r="Q53" s="107"/>
      <c r="R53" s="105" t="n">
        <v>90</v>
      </c>
      <c r="S53" s="107"/>
      <c r="T53" s="108" t="n">
        <v>7.43</v>
      </c>
      <c r="U53" s="95" t="n">
        <f aca="false">SUM(H53:T53)</f>
        <v>97.43</v>
      </c>
      <c r="V53" s="109" t="s">
        <v>84</v>
      </c>
      <c r="W53" s="10" t="s">
        <v>85</v>
      </c>
      <c r="X53" s="110" t="s">
        <v>39</v>
      </c>
      <c r="Y53" s="187"/>
      <c r="Z53" s="51"/>
    </row>
    <row r="54" s="10" customFormat="true" ht="14.1" hidden="false" customHeight="true" outlineLevel="0" collapsed="false">
      <c r="A54" s="203" t="s">
        <v>51</v>
      </c>
      <c r="B54" s="204" t="s">
        <v>175</v>
      </c>
      <c r="C54" s="205"/>
      <c r="D54" s="206" t="n">
        <v>2153071</v>
      </c>
      <c r="E54" s="207" t="n">
        <v>44972</v>
      </c>
      <c r="F54" s="208" t="s">
        <v>35</v>
      </c>
      <c r="G54" s="209" t="n">
        <v>44972</v>
      </c>
      <c r="H54" s="210"/>
      <c r="I54" s="211"/>
      <c r="J54" s="211"/>
      <c r="K54" s="211"/>
      <c r="L54" s="211"/>
      <c r="M54" s="210"/>
      <c r="N54" s="211"/>
      <c r="O54" s="210"/>
      <c r="P54" s="212"/>
      <c r="Q54" s="213"/>
      <c r="R54" s="210" t="n">
        <v>165</v>
      </c>
      <c r="S54" s="213" t="n">
        <v>30</v>
      </c>
      <c r="T54" s="214" t="n">
        <v>13.61</v>
      </c>
      <c r="U54" s="215" t="n">
        <f aca="false">SUM(H54:T54)</f>
        <v>208.61</v>
      </c>
      <c r="V54" s="216" t="s">
        <v>88</v>
      </c>
      <c r="W54" s="217" t="s">
        <v>51</v>
      </c>
      <c r="X54" s="110" t="s">
        <v>39</v>
      </c>
      <c r="Y54" s="187"/>
      <c r="Z54" s="51"/>
    </row>
    <row r="55" s="10" customFormat="true" ht="14.1" hidden="false" customHeight="true" outlineLevel="0" collapsed="false">
      <c r="A55" s="100" t="s">
        <v>26</v>
      </c>
      <c r="B55" s="2" t="s">
        <v>148</v>
      </c>
      <c r="C55" s="3"/>
      <c r="D55" s="101" t="n">
        <v>4263103</v>
      </c>
      <c r="E55" s="102" t="n">
        <v>45042</v>
      </c>
      <c r="F55" s="103" t="s">
        <v>35</v>
      </c>
      <c r="G55" s="5" t="n">
        <v>45043</v>
      </c>
      <c r="H55" s="105"/>
      <c r="I55" s="106"/>
      <c r="J55" s="106"/>
      <c r="K55" s="106"/>
      <c r="L55" s="106"/>
      <c r="M55" s="105"/>
      <c r="N55" s="106"/>
      <c r="O55" s="105"/>
      <c r="P55" s="7"/>
      <c r="Q55" s="107"/>
      <c r="R55" s="105" t="n">
        <v>414</v>
      </c>
      <c r="S55" s="107" t="n">
        <v>100</v>
      </c>
      <c r="T55" s="108" t="n">
        <v>38.3</v>
      </c>
      <c r="U55" s="95" t="n">
        <f aca="false">SUM(H55:T55)</f>
        <v>552.3</v>
      </c>
      <c r="V55" s="109" t="s">
        <v>37</v>
      </c>
      <c r="W55" s="10" t="s">
        <v>38</v>
      </c>
      <c r="X55" s="110" t="s">
        <v>39</v>
      </c>
      <c r="Y55" s="187"/>
      <c r="Z55" s="51"/>
    </row>
    <row r="56" s="10" customFormat="true" ht="14.1" hidden="false" customHeight="true" outlineLevel="0" collapsed="false">
      <c r="A56" s="100" t="s">
        <v>47</v>
      </c>
      <c r="B56" s="2" t="s">
        <v>176</v>
      </c>
      <c r="C56" s="3"/>
      <c r="D56" s="101" t="n">
        <v>4253063</v>
      </c>
      <c r="E56" s="102" t="n">
        <v>45041</v>
      </c>
      <c r="F56" s="103" t="s">
        <v>35</v>
      </c>
      <c r="G56" s="5" t="n">
        <v>45041</v>
      </c>
      <c r="H56" s="105"/>
      <c r="I56" s="106"/>
      <c r="J56" s="106"/>
      <c r="K56" s="106"/>
      <c r="L56" s="106"/>
      <c r="M56" s="105"/>
      <c r="N56" s="106"/>
      <c r="O56" s="105"/>
      <c r="P56" s="7"/>
      <c r="Q56" s="107"/>
      <c r="R56" s="105" t="n">
        <v>234</v>
      </c>
      <c r="S56" s="107" t="n">
        <v>12.5</v>
      </c>
      <c r="T56" s="108" t="n">
        <v>20.18</v>
      </c>
      <c r="U56" s="95" t="n">
        <f aca="false">SUM(H56:T56)</f>
        <v>266.68</v>
      </c>
      <c r="V56" s="109" t="s">
        <v>37</v>
      </c>
      <c r="W56" s="10" t="s">
        <v>38</v>
      </c>
      <c r="X56" s="110" t="s">
        <v>39</v>
      </c>
      <c r="Y56" s="187"/>
      <c r="Z56" s="51"/>
    </row>
    <row r="57" s="10" customFormat="true" ht="14.1" hidden="false" customHeight="true" outlineLevel="0" collapsed="false">
      <c r="A57" s="242" t="s">
        <v>26</v>
      </c>
      <c r="B57" s="243" t="s">
        <v>106</v>
      </c>
      <c r="C57" s="244"/>
      <c r="D57" s="245" t="n">
        <v>3093103</v>
      </c>
      <c r="E57" s="246" t="n">
        <v>44994</v>
      </c>
      <c r="F57" s="247" t="s">
        <v>35</v>
      </c>
      <c r="G57" s="248" t="n">
        <v>44995</v>
      </c>
      <c r="H57" s="249"/>
      <c r="I57" s="250"/>
      <c r="J57" s="250"/>
      <c r="K57" s="250"/>
      <c r="L57" s="250"/>
      <c r="M57" s="249"/>
      <c r="N57" s="250"/>
      <c r="O57" s="249"/>
      <c r="P57" s="251"/>
      <c r="Q57" s="252"/>
      <c r="R57" s="249" t="n">
        <v>105</v>
      </c>
      <c r="S57" s="252" t="n">
        <v>37.5</v>
      </c>
      <c r="T57" s="253" t="n">
        <v>9.71</v>
      </c>
      <c r="U57" s="254" t="n">
        <f aca="false">SUM(H57:T57)</f>
        <v>152.21</v>
      </c>
      <c r="V57" s="255" t="s">
        <v>37</v>
      </c>
      <c r="W57" s="256" t="s">
        <v>38</v>
      </c>
      <c r="X57" s="110" t="s">
        <v>39</v>
      </c>
      <c r="Y57" s="187"/>
      <c r="Z57" s="51"/>
    </row>
    <row r="58" s="10" customFormat="true" ht="14.1" hidden="false" customHeight="true" outlineLevel="0" collapsed="false">
      <c r="A58" s="100" t="s">
        <v>26</v>
      </c>
      <c r="B58" s="2" t="s">
        <v>135</v>
      </c>
      <c r="C58" s="3"/>
      <c r="D58" s="101" t="n">
        <v>4173103</v>
      </c>
      <c r="E58" s="102" t="n">
        <v>45033</v>
      </c>
      <c r="F58" s="103" t="s">
        <v>35</v>
      </c>
      <c r="G58" s="5" t="n">
        <v>45033</v>
      </c>
      <c r="H58" s="105"/>
      <c r="I58" s="106"/>
      <c r="J58" s="106"/>
      <c r="K58" s="106"/>
      <c r="L58" s="106"/>
      <c r="M58" s="105"/>
      <c r="N58" s="106"/>
      <c r="O58" s="105"/>
      <c r="P58" s="7"/>
      <c r="Q58" s="107"/>
      <c r="R58" s="105" t="n">
        <v>195</v>
      </c>
      <c r="S58" s="107" t="n">
        <v>25</v>
      </c>
      <c r="T58" s="108" t="n">
        <v>18.28</v>
      </c>
      <c r="U58" s="95" t="n">
        <f aca="false">SUM(H58:T58)</f>
        <v>238.28</v>
      </c>
      <c r="V58" s="109" t="s">
        <v>37</v>
      </c>
      <c r="W58" s="10" t="s">
        <v>38</v>
      </c>
      <c r="X58" s="110" t="s">
        <v>39</v>
      </c>
      <c r="Y58" s="187"/>
      <c r="Z58" s="51"/>
    </row>
    <row r="59" s="10" customFormat="true" ht="14.1" hidden="false" customHeight="true" outlineLevel="0" collapsed="false">
      <c r="A59" s="100" t="s">
        <v>26</v>
      </c>
      <c r="B59" s="2" t="s">
        <v>147</v>
      </c>
      <c r="C59" s="3"/>
      <c r="D59" s="101" t="n">
        <v>4263104</v>
      </c>
      <c r="E59" s="102" t="n">
        <v>45042</v>
      </c>
      <c r="F59" s="103" t="s">
        <v>35</v>
      </c>
      <c r="G59" s="5" t="n">
        <v>45043</v>
      </c>
      <c r="H59" s="105"/>
      <c r="I59" s="106"/>
      <c r="J59" s="106"/>
      <c r="K59" s="106"/>
      <c r="L59" s="106"/>
      <c r="M59" s="105"/>
      <c r="N59" s="106"/>
      <c r="O59" s="105"/>
      <c r="P59" s="7"/>
      <c r="Q59" s="107"/>
      <c r="R59" s="105" t="n">
        <v>65</v>
      </c>
      <c r="S59" s="107" t="n">
        <v>12.5</v>
      </c>
      <c r="T59" s="108" t="n">
        <v>5.61</v>
      </c>
      <c r="U59" s="95" t="n">
        <f aca="false">SUM(H59:T59)</f>
        <v>83.11</v>
      </c>
      <c r="V59" s="109" t="s">
        <v>37</v>
      </c>
      <c r="W59" s="10" t="s">
        <v>38</v>
      </c>
      <c r="X59" s="110" t="s">
        <v>39</v>
      </c>
      <c r="Y59" s="187"/>
      <c r="Z59" s="51"/>
    </row>
    <row r="60" s="10" customFormat="true" ht="14.1" hidden="false" customHeight="true" outlineLevel="0" collapsed="false">
      <c r="A60" s="203" t="s">
        <v>26</v>
      </c>
      <c r="B60" s="204" t="s">
        <v>100</v>
      </c>
      <c r="C60" s="205" t="s">
        <v>101</v>
      </c>
      <c r="D60" s="206" t="n">
        <v>2163107</v>
      </c>
      <c r="E60" s="207" t="n">
        <v>44973</v>
      </c>
      <c r="F60" s="208" t="s">
        <v>102</v>
      </c>
      <c r="G60" s="209" t="n">
        <v>44973</v>
      </c>
      <c r="H60" s="210"/>
      <c r="I60" s="211"/>
      <c r="J60" s="211"/>
      <c r="K60" s="211"/>
      <c r="L60" s="211"/>
      <c r="M60" s="210"/>
      <c r="N60" s="211"/>
      <c r="O60" s="210"/>
      <c r="P60" s="212"/>
      <c r="Q60" s="213"/>
      <c r="R60" s="210" t="n">
        <v>37.5</v>
      </c>
      <c r="S60" s="213" t="n">
        <v>10</v>
      </c>
      <c r="T60" s="214" t="n">
        <v>50.92</v>
      </c>
      <c r="U60" s="215" t="n">
        <f aca="false">SUM(H60:T60)</f>
        <v>98.42</v>
      </c>
      <c r="V60" s="216" t="s">
        <v>88</v>
      </c>
      <c r="W60" s="217" t="s">
        <v>38</v>
      </c>
      <c r="X60" s="110" t="s">
        <v>39</v>
      </c>
      <c r="Y60" s="187"/>
      <c r="Z60" s="51"/>
    </row>
    <row r="61" s="10" customFormat="true" ht="13.2" hidden="false" customHeight="true" outlineLevel="0" collapsed="false">
      <c r="A61" s="100" t="s">
        <v>177</v>
      </c>
      <c r="B61" s="2" t="s">
        <v>100</v>
      </c>
      <c r="C61" s="3"/>
      <c r="D61" s="101" t="n">
        <v>4173054</v>
      </c>
      <c r="E61" s="102" t="n">
        <v>45033</v>
      </c>
      <c r="F61" s="103" t="s">
        <v>13</v>
      </c>
      <c r="G61" s="5" t="n">
        <v>45033</v>
      </c>
      <c r="H61" s="105"/>
      <c r="I61" s="106"/>
      <c r="J61" s="106"/>
      <c r="K61" s="106"/>
      <c r="L61" s="106"/>
      <c r="M61" s="105" t="n">
        <v>95</v>
      </c>
      <c r="N61" s="106"/>
      <c r="O61" s="105"/>
      <c r="P61" s="7"/>
      <c r="Q61" s="107"/>
      <c r="R61" s="105"/>
      <c r="S61" s="107"/>
      <c r="T61" s="108"/>
      <c r="U61" s="95" t="n">
        <f aca="false">SUM(H61:T61)</f>
        <v>95</v>
      </c>
      <c r="V61" s="109" t="s">
        <v>50</v>
      </c>
      <c r="W61" s="10" t="s">
        <v>177</v>
      </c>
      <c r="X61" s="110" t="s">
        <v>39</v>
      </c>
      <c r="Y61" s="187"/>
      <c r="Z61" s="51"/>
    </row>
    <row r="62" s="10" customFormat="true" ht="14.1" hidden="false" customHeight="true" outlineLevel="0" collapsed="false">
      <c r="A62" s="172" t="s">
        <v>47</v>
      </c>
      <c r="B62" s="173" t="s">
        <v>127</v>
      </c>
      <c r="C62" s="174"/>
      <c r="D62" s="175" t="n">
        <v>1043062</v>
      </c>
      <c r="E62" s="176" t="n">
        <v>44929</v>
      </c>
      <c r="F62" s="177" t="s">
        <v>35</v>
      </c>
      <c r="G62" s="178" t="n">
        <v>44929</v>
      </c>
      <c r="H62" s="179"/>
      <c r="I62" s="180"/>
      <c r="J62" s="180"/>
      <c r="K62" s="180"/>
      <c r="L62" s="180"/>
      <c r="M62" s="179"/>
      <c r="N62" s="180"/>
      <c r="O62" s="179"/>
      <c r="P62" s="181"/>
      <c r="Q62" s="182"/>
      <c r="R62" s="179" t="n">
        <v>243</v>
      </c>
      <c r="S62" s="182" t="n">
        <v>40</v>
      </c>
      <c r="T62" s="183" t="n">
        <v>20.96</v>
      </c>
      <c r="U62" s="184" t="n">
        <f aca="false">SUM(H62:T62)</f>
        <v>303.96</v>
      </c>
      <c r="V62" s="185" t="s">
        <v>88</v>
      </c>
      <c r="W62" s="186" t="s">
        <v>38</v>
      </c>
      <c r="X62" s="110" t="s">
        <v>39</v>
      </c>
      <c r="Y62" s="187" t="s">
        <v>178</v>
      </c>
      <c r="Z62" s="51"/>
    </row>
    <row r="63" s="10" customFormat="true" ht="13.2" hidden="false" customHeight="true" outlineLevel="0" collapsed="false">
      <c r="A63" s="100" t="s">
        <v>26</v>
      </c>
      <c r="B63" s="2" t="s">
        <v>127</v>
      </c>
      <c r="C63" s="3"/>
      <c r="D63" s="101" t="n">
        <v>4103105</v>
      </c>
      <c r="E63" s="102" t="n">
        <v>45026</v>
      </c>
      <c r="F63" s="103" t="s">
        <v>35</v>
      </c>
      <c r="G63" s="5" t="n">
        <v>45026</v>
      </c>
      <c r="H63" s="105"/>
      <c r="I63" s="106"/>
      <c r="J63" s="106"/>
      <c r="K63" s="106"/>
      <c r="L63" s="106"/>
      <c r="M63" s="105"/>
      <c r="N63" s="106"/>
      <c r="O63" s="105"/>
      <c r="P63" s="7"/>
      <c r="Q63" s="107"/>
      <c r="R63" s="105" t="n">
        <v>308</v>
      </c>
      <c r="S63" s="107" t="n">
        <v>62.5</v>
      </c>
      <c r="T63" s="108" t="n">
        <v>26.57</v>
      </c>
      <c r="U63" s="95" t="n">
        <f aca="false">SUM(H63:T63)</f>
        <v>397.07</v>
      </c>
      <c r="V63" s="109" t="s">
        <v>37</v>
      </c>
      <c r="W63" s="10" t="s">
        <v>38</v>
      </c>
      <c r="X63" s="110" t="s">
        <v>39</v>
      </c>
      <c r="Y63" s="187"/>
      <c r="Z63" s="51"/>
    </row>
    <row r="64" s="10" customFormat="true" ht="14.1" hidden="false" customHeight="true" outlineLevel="0" collapsed="false">
      <c r="A64" s="100" t="s">
        <v>26</v>
      </c>
      <c r="B64" s="2" t="s">
        <v>144</v>
      </c>
      <c r="C64" s="3"/>
      <c r="D64" s="101" t="n">
        <v>4253102</v>
      </c>
      <c r="E64" s="102" t="n">
        <v>45041</v>
      </c>
      <c r="F64" s="103" t="s">
        <v>35</v>
      </c>
      <c r="G64" s="5" t="n">
        <v>45042</v>
      </c>
      <c r="H64" s="105"/>
      <c r="I64" s="106"/>
      <c r="J64" s="106"/>
      <c r="K64" s="106"/>
      <c r="L64" s="106"/>
      <c r="M64" s="105"/>
      <c r="N64" s="106"/>
      <c r="O64" s="105"/>
      <c r="P64" s="7"/>
      <c r="Q64" s="107"/>
      <c r="R64" s="105" t="n">
        <v>195</v>
      </c>
      <c r="S64" s="107" t="n">
        <v>37.5</v>
      </c>
      <c r="T64" s="108" t="n">
        <v>17.06</v>
      </c>
      <c r="U64" s="95" t="n">
        <f aca="false">SUM(H64:T64)</f>
        <v>249.56</v>
      </c>
      <c r="V64" s="109" t="s">
        <v>37</v>
      </c>
      <c r="W64" s="10" t="s">
        <v>38</v>
      </c>
      <c r="X64" s="110" t="s">
        <v>39</v>
      </c>
      <c r="Y64" s="187"/>
      <c r="Z64" s="51"/>
    </row>
    <row r="65" s="10" customFormat="true" ht="14.1" hidden="false" customHeight="true" outlineLevel="0" collapsed="false">
      <c r="A65" s="100" t="s">
        <v>42</v>
      </c>
      <c r="B65" s="2" t="s">
        <v>179</v>
      </c>
      <c r="C65" s="3" t="s">
        <v>180</v>
      </c>
      <c r="D65" s="101" t="n">
        <v>3303041</v>
      </c>
      <c r="E65" s="102" t="n">
        <v>45015</v>
      </c>
      <c r="F65" s="103" t="s">
        <v>153</v>
      </c>
      <c r="G65" s="5" t="n">
        <v>45016</v>
      </c>
      <c r="H65" s="105"/>
      <c r="I65" s="106"/>
      <c r="J65" s="106"/>
      <c r="K65" s="106"/>
      <c r="L65" s="106"/>
      <c r="M65" s="105"/>
      <c r="N65" s="106"/>
      <c r="O65" s="105"/>
      <c r="P65" s="7" t="n">
        <v>180</v>
      </c>
      <c r="Q65" s="107" t="n">
        <v>90</v>
      </c>
      <c r="R65" s="105"/>
      <c r="S65" s="107"/>
      <c r="T65" s="108"/>
      <c r="U65" s="95" t="n">
        <f aca="false">SUM(H65:T65)</f>
        <v>270</v>
      </c>
      <c r="V65" s="109" t="s">
        <v>30</v>
      </c>
      <c r="W65" s="10" t="s">
        <v>42</v>
      </c>
      <c r="X65" s="110" t="s">
        <v>39</v>
      </c>
      <c r="Y65" s="187"/>
      <c r="Z65" s="51"/>
    </row>
    <row r="66" s="10" customFormat="true" ht="14.1" hidden="false" customHeight="true" outlineLevel="0" collapsed="false">
      <c r="A66" s="203" t="s">
        <v>47</v>
      </c>
      <c r="B66" s="204" t="s">
        <v>181</v>
      </c>
      <c r="C66" s="205"/>
      <c r="D66" s="206" t="n">
        <v>2072064</v>
      </c>
      <c r="E66" s="207" t="n">
        <v>44964</v>
      </c>
      <c r="F66" s="208" t="s">
        <v>35</v>
      </c>
      <c r="G66" s="209" t="n">
        <v>44964</v>
      </c>
      <c r="H66" s="210"/>
      <c r="I66" s="211"/>
      <c r="J66" s="211"/>
      <c r="K66" s="211"/>
      <c r="L66" s="211"/>
      <c r="M66" s="210"/>
      <c r="N66" s="211"/>
      <c r="O66" s="210"/>
      <c r="P66" s="212"/>
      <c r="Q66" s="213"/>
      <c r="R66" s="210" t="n">
        <v>79</v>
      </c>
      <c r="S66" s="213"/>
      <c r="T66" s="214"/>
      <c r="U66" s="215" t="n">
        <f aca="false">SUM(H66:T66)</f>
        <v>79</v>
      </c>
      <c r="V66" s="216" t="s">
        <v>84</v>
      </c>
      <c r="W66" s="217" t="s">
        <v>182</v>
      </c>
      <c r="X66" s="110" t="s">
        <v>39</v>
      </c>
      <c r="Y66" s="187"/>
      <c r="Z66" s="51"/>
    </row>
    <row r="67" s="10" customFormat="true" ht="14.1" hidden="false" customHeight="true" outlineLevel="0" collapsed="false">
      <c r="A67" s="242" t="s">
        <v>26</v>
      </c>
      <c r="B67" s="243" t="s">
        <v>117</v>
      </c>
      <c r="C67" s="244" t="s">
        <v>118</v>
      </c>
      <c r="D67" s="245" t="n">
        <v>3283106</v>
      </c>
      <c r="E67" s="246" t="n">
        <v>45013</v>
      </c>
      <c r="F67" s="247" t="s">
        <v>35</v>
      </c>
      <c r="G67" s="248" t="n">
        <v>45013</v>
      </c>
      <c r="H67" s="249"/>
      <c r="I67" s="250"/>
      <c r="J67" s="250"/>
      <c r="K67" s="250"/>
      <c r="L67" s="250"/>
      <c r="M67" s="249"/>
      <c r="N67" s="250"/>
      <c r="O67" s="249"/>
      <c r="P67" s="251"/>
      <c r="Q67" s="252"/>
      <c r="R67" s="249" t="n">
        <v>650</v>
      </c>
      <c r="S67" s="252" t="n">
        <v>125</v>
      </c>
      <c r="T67" s="253" t="n">
        <v>56.88</v>
      </c>
      <c r="U67" s="254" t="n">
        <f aca="false">SUM(H67:T67)</f>
        <v>831.88</v>
      </c>
      <c r="V67" s="255" t="s">
        <v>37</v>
      </c>
      <c r="W67" s="256" t="s">
        <v>38</v>
      </c>
      <c r="X67" s="110" t="s">
        <v>39</v>
      </c>
      <c r="Y67" s="187"/>
      <c r="Z67" s="51"/>
    </row>
    <row r="68" s="10" customFormat="true" ht="14.1" hidden="false" customHeight="true" outlineLevel="0" collapsed="false">
      <c r="A68" s="100" t="s">
        <v>26</v>
      </c>
      <c r="B68" s="2" t="s">
        <v>117</v>
      </c>
      <c r="C68" s="3" t="s">
        <v>143</v>
      </c>
      <c r="D68" s="101" t="n">
        <v>4253102</v>
      </c>
      <c r="E68" s="102" t="n">
        <v>45041</v>
      </c>
      <c r="F68" s="103" t="s">
        <v>35</v>
      </c>
      <c r="G68" s="5" t="n">
        <v>45041</v>
      </c>
      <c r="H68" s="105"/>
      <c r="I68" s="106"/>
      <c r="J68" s="106"/>
      <c r="K68" s="106"/>
      <c r="L68" s="106"/>
      <c r="M68" s="105"/>
      <c r="N68" s="106"/>
      <c r="O68" s="105"/>
      <c r="P68" s="7"/>
      <c r="Q68" s="107"/>
      <c r="R68" s="105" t="n">
        <v>90</v>
      </c>
      <c r="S68" s="107" t="n">
        <v>50</v>
      </c>
      <c r="T68" s="108"/>
      <c r="U68" s="95" t="n">
        <f aca="false">SUM(H68:T68)</f>
        <v>140</v>
      </c>
      <c r="V68" s="109" t="s">
        <v>37</v>
      </c>
      <c r="W68" s="10" t="s">
        <v>38</v>
      </c>
      <c r="X68" s="110" t="s">
        <v>39</v>
      </c>
      <c r="Y68" s="187"/>
      <c r="Z68" s="51"/>
    </row>
    <row r="69" s="10" customFormat="true" ht="14.1" hidden="false" customHeight="true" outlineLevel="0" collapsed="false">
      <c r="A69" s="100" t="s">
        <v>48</v>
      </c>
      <c r="B69" s="2" t="s">
        <v>183</v>
      </c>
      <c r="C69" s="3"/>
      <c r="D69" s="101" t="n">
        <v>4263053</v>
      </c>
      <c r="E69" s="102" t="n">
        <v>45042</v>
      </c>
      <c r="F69" s="103" t="s">
        <v>13</v>
      </c>
      <c r="G69" s="5" t="n">
        <v>45042</v>
      </c>
      <c r="H69" s="105"/>
      <c r="I69" s="106"/>
      <c r="J69" s="106"/>
      <c r="K69" s="106"/>
      <c r="L69" s="106"/>
      <c r="M69" s="105" t="n">
        <v>49</v>
      </c>
      <c r="N69" s="106"/>
      <c r="O69" s="105"/>
      <c r="P69" s="7"/>
      <c r="Q69" s="107"/>
      <c r="R69" s="105"/>
      <c r="S69" s="107"/>
      <c r="T69" s="108"/>
      <c r="U69" s="95" t="n">
        <f aca="false">SUM(H69:T69)</f>
        <v>49</v>
      </c>
      <c r="V69" s="109" t="s">
        <v>50</v>
      </c>
      <c r="W69" s="10" t="s">
        <v>48</v>
      </c>
      <c r="X69" s="110" t="s">
        <v>39</v>
      </c>
      <c r="Y69" s="187"/>
      <c r="Z69" s="51"/>
    </row>
    <row r="70" s="10" customFormat="true" ht="14.1" hidden="false" customHeight="true" outlineLevel="0" collapsed="false">
      <c r="A70" s="172" t="s">
        <v>26</v>
      </c>
      <c r="B70" s="173" t="s">
        <v>89</v>
      </c>
      <c r="C70" s="174"/>
      <c r="D70" s="175" t="n">
        <v>12212102</v>
      </c>
      <c r="E70" s="176" t="n">
        <v>44916</v>
      </c>
      <c r="F70" s="188" t="s">
        <v>35</v>
      </c>
      <c r="G70" s="178" t="n">
        <v>44916</v>
      </c>
      <c r="H70" s="179"/>
      <c r="I70" s="180"/>
      <c r="J70" s="180"/>
      <c r="K70" s="180"/>
      <c r="L70" s="180"/>
      <c r="M70" s="179"/>
      <c r="N70" s="180"/>
      <c r="O70" s="179"/>
      <c r="P70" s="181"/>
      <c r="Q70" s="182"/>
      <c r="R70" s="179" t="n">
        <v>233</v>
      </c>
      <c r="S70" s="182" t="n">
        <v>40</v>
      </c>
      <c r="T70" s="183" t="n">
        <v>23.88</v>
      </c>
      <c r="U70" s="184" t="n">
        <f aca="false">SUM(H70:T70)</f>
        <v>296.88</v>
      </c>
      <c r="V70" s="185" t="s">
        <v>88</v>
      </c>
      <c r="W70" s="186" t="s">
        <v>38</v>
      </c>
      <c r="X70" s="110" t="s">
        <v>39</v>
      </c>
      <c r="Y70" s="187" t="s">
        <v>86</v>
      </c>
      <c r="Z70" s="51"/>
    </row>
    <row r="71" s="10" customFormat="true" ht="14.1" hidden="false" customHeight="true" outlineLevel="0" collapsed="false">
      <c r="A71" s="242" t="s">
        <v>26</v>
      </c>
      <c r="B71" s="243" t="s">
        <v>105</v>
      </c>
      <c r="C71" s="244"/>
      <c r="D71" s="245" t="n">
        <v>3023108</v>
      </c>
      <c r="E71" s="246" t="n">
        <v>44987</v>
      </c>
      <c r="F71" s="247" t="s">
        <v>35</v>
      </c>
      <c r="G71" s="248" t="n">
        <v>44987</v>
      </c>
      <c r="H71" s="249"/>
      <c r="I71" s="250"/>
      <c r="J71" s="250"/>
      <c r="K71" s="250"/>
      <c r="L71" s="250"/>
      <c r="M71" s="249"/>
      <c r="N71" s="250"/>
      <c r="O71" s="249"/>
      <c r="P71" s="251"/>
      <c r="Q71" s="252"/>
      <c r="R71" s="249" t="n">
        <v>213</v>
      </c>
      <c r="S71" s="252" t="n">
        <v>50</v>
      </c>
      <c r="T71" s="253" t="n">
        <v>21.83</v>
      </c>
      <c r="U71" s="254" t="n">
        <f aca="false">SUM(H71:T71)</f>
        <v>284.83</v>
      </c>
      <c r="V71" s="255" t="s">
        <v>88</v>
      </c>
      <c r="W71" s="256" t="s">
        <v>38</v>
      </c>
      <c r="X71" s="110" t="s">
        <v>39</v>
      </c>
      <c r="Y71" s="187"/>
      <c r="Z71" s="51"/>
    </row>
    <row r="72" s="10" customFormat="true" ht="14.1" hidden="false" customHeight="true" outlineLevel="0" collapsed="false">
      <c r="A72" s="242" t="s">
        <v>26</v>
      </c>
      <c r="B72" s="243" t="s">
        <v>111</v>
      </c>
      <c r="C72" s="244"/>
      <c r="D72" s="245" t="n">
        <v>3203103</v>
      </c>
      <c r="E72" s="246" t="n">
        <v>45005</v>
      </c>
      <c r="F72" s="247" t="s">
        <v>35</v>
      </c>
      <c r="G72" s="248" t="n">
        <v>45005</v>
      </c>
      <c r="H72" s="249"/>
      <c r="I72" s="250"/>
      <c r="J72" s="250"/>
      <c r="K72" s="250"/>
      <c r="L72" s="250"/>
      <c r="M72" s="249"/>
      <c r="N72" s="250"/>
      <c r="O72" s="249"/>
      <c r="P72" s="251"/>
      <c r="Q72" s="252"/>
      <c r="R72" s="249" t="n">
        <v>156</v>
      </c>
      <c r="S72" s="252"/>
      <c r="T72" s="253" t="n">
        <v>13.65</v>
      </c>
      <c r="U72" s="254" t="n">
        <f aca="false">SUM(H72:T72)</f>
        <v>169.65</v>
      </c>
      <c r="V72" s="255" t="s">
        <v>84</v>
      </c>
      <c r="W72" s="256" t="s">
        <v>112</v>
      </c>
      <c r="X72" s="110" t="s">
        <v>39</v>
      </c>
      <c r="Y72" s="187"/>
      <c r="Z72" s="51"/>
    </row>
    <row r="73" s="237" customFormat="true" ht="14.1" hidden="false" customHeight="true" outlineLevel="0" collapsed="false">
      <c r="A73" s="218" t="s">
        <v>26</v>
      </c>
      <c r="B73" s="219" t="s">
        <v>104</v>
      </c>
      <c r="C73" s="220"/>
      <c r="D73" s="221" t="n">
        <v>2273108</v>
      </c>
      <c r="E73" s="222" t="n">
        <v>44984</v>
      </c>
      <c r="F73" s="223" t="s">
        <v>35</v>
      </c>
      <c r="G73" s="209" t="n">
        <v>44985</v>
      </c>
      <c r="H73" s="224"/>
      <c r="I73" s="225"/>
      <c r="J73" s="225"/>
      <c r="K73" s="225"/>
      <c r="L73" s="225"/>
      <c r="M73" s="224"/>
      <c r="N73" s="225"/>
      <c r="O73" s="224"/>
      <c r="P73" s="226"/>
      <c r="Q73" s="227"/>
      <c r="R73" s="224" t="n">
        <v>120</v>
      </c>
      <c r="S73" s="227" t="n">
        <v>25</v>
      </c>
      <c r="T73" s="228" t="n">
        <v>10.2</v>
      </c>
      <c r="U73" s="229" t="n">
        <f aca="false">SUM(H73:T73)</f>
        <v>155.2</v>
      </c>
      <c r="V73" s="230" t="s">
        <v>88</v>
      </c>
      <c r="W73" s="231" t="s">
        <v>38</v>
      </c>
      <c r="X73" s="232" t="s">
        <v>39</v>
      </c>
      <c r="Y73" s="235"/>
      <c r="Z73" s="236"/>
    </row>
    <row r="74" s="10" customFormat="true" ht="13.2" hidden="false" customHeight="true" outlineLevel="0" collapsed="false">
      <c r="A74" s="100" t="s">
        <v>26</v>
      </c>
      <c r="B74" s="2" t="s">
        <v>133</v>
      </c>
      <c r="C74" s="3"/>
      <c r="D74" s="101" t="n">
        <v>4123103</v>
      </c>
      <c r="E74" s="102" t="n">
        <v>45028</v>
      </c>
      <c r="F74" s="103" t="s">
        <v>35</v>
      </c>
      <c r="G74" s="5" t="n">
        <v>45028</v>
      </c>
      <c r="H74" s="105"/>
      <c r="I74" s="106"/>
      <c r="J74" s="106"/>
      <c r="K74" s="106"/>
      <c r="L74" s="106"/>
      <c r="M74" s="105"/>
      <c r="N74" s="106"/>
      <c r="O74" s="105"/>
      <c r="P74" s="7"/>
      <c r="Q74" s="107"/>
      <c r="R74" s="105" t="n">
        <v>330</v>
      </c>
      <c r="S74" s="107" t="n">
        <v>75</v>
      </c>
      <c r="T74" s="108" t="n">
        <v>29.29</v>
      </c>
      <c r="U74" s="95" t="n">
        <f aca="false">SUM(H74:T74)</f>
        <v>434.29</v>
      </c>
      <c r="V74" s="109" t="s">
        <v>37</v>
      </c>
      <c r="W74" s="10" t="s">
        <v>38</v>
      </c>
      <c r="X74" s="110" t="s">
        <v>39</v>
      </c>
      <c r="Y74" s="187"/>
      <c r="Z74" s="51"/>
    </row>
    <row r="75" s="10" customFormat="true" ht="14.1" hidden="false" customHeight="true" outlineLevel="0" collapsed="false">
      <c r="A75" s="100" t="s">
        <v>26</v>
      </c>
      <c r="B75" s="2" t="s">
        <v>33</v>
      </c>
      <c r="C75" s="3" t="s">
        <v>151</v>
      </c>
      <c r="D75" s="101" t="n">
        <v>4283102</v>
      </c>
      <c r="E75" s="102" t="n">
        <v>45044</v>
      </c>
      <c r="F75" s="103" t="s">
        <v>35</v>
      </c>
      <c r="G75" s="5" t="n">
        <v>45044</v>
      </c>
      <c r="H75" s="105"/>
      <c r="I75" s="106"/>
      <c r="J75" s="106"/>
      <c r="K75" s="106"/>
      <c r="L75" s="106"/>
      <c r="M75" s="105"/>
      <c r="N75" s="106"/>
      <c r="O75" s="105"/>
      <c r="P75" s="7"/>
      <c r="Q75" s="107"/>
      <c r="R75" s="105" t="n">
        <v>110</v>
      </c>
      <c r="S75" s="107" t="n">
        <v>25</v>
      </c>
      <c r="T75" s="108" t="n">
        <v>10.18</v>
      </c>
      <c r="U75" s="95" t="n">
        <f aca="false">SUM(H75:T75)</f>
        <v>145.18</v>
      </c>
      <c r="V75" s="109" t="s">
        <v>37</v>
      </c>
      <c r="W75" s="10" t="s">
        <v>38</v>
      </c>
      <c r="X75" s="110" t="s">
        <v>39</v>
      </c>
      <c r="Y75" s="187"/>
      <c r="Z75" s="51"/>
    </row>
    <row r="76" s="10" customFormat="true" ht="14.1" hidden="false" customHeight="true" outlineLevel="0" collapsed="false">
      <c r="A76" s="242" t="s">
        <v>26</v>
      </c>
      <c r="B76" s="243" t="s">
        <v>115</v>
      </c>
      <c r="C76" s="244"/>
      <c r="D76" s="245" t="n">
        <v>3223101</v>
      </c>
      <c r="E76" s="246" t="n">
        <v>45007</v>
      </c>
      <c r="F76" s="247" t="s">
        <v>35</v>
      </c>
      <c r="G76" s="248" t="n">
        <v>45007</v>
      </c>
      <c r="H76" s="249"/>
      <c r="I76" s="250"/>
      <c r="J76" s="250"/>
      <c r="K76" s="250"/>
      <c r="L76" s="250"/>
      <c r="M76" s="249"/>
      <c r="N76" s="250"/>
      <c r="O76" s="249"/>
      <c r="P76" s="251"/>
      <c r="Q76" s="252"/>
      <c r="R76" s="249" t="n">
        <v>247</v>
      </c>
      <c r="S76" s="252" t="n">
        <v>62.5</v>
      </c>
      <c r="T76" s="253" t="n">
        <v>21</v>
      </c>
      <c r="U76" s="254" t="n">
        <f aca="false">SUM(H76:T76)</f>
        <v>330.5</v>
      </c>
      <c r="V76" s="255" t="s">
        <v>37</v>
      </c>
      <c r="W76" s="256" t="s">
        <v>38</v>
      </c>
      <c r="X76" s="110" t="s">
        <v>39</v>
      </c>
      <c r="Y76" s="187"/>
      <c r="Z76" s="51"/>
    </row>
    <row r="77" s="10" customFormat="true" ht="14.1" hidden="false" customHeight="true" outlineLevel="0" collapsed="false">
      <c r="A77" s="172" t="s">
        <v>26</v>
      </c>
      <c r="B77" s="173" t="s">
        <v>96</v>
      </c>
      <c r="C77" s="174"/>
      <c r="D77" s="175" t="n">
        <v>1203102</v>
      </c>
      <c r="E77" s="176" t="n">
        <v>44946</v>
      </c>
      <c r="F77" s="177" t="s">
        <v>35</v>
      </c>
      <c r="G77" s="178" t="n">
        <v>44946</v>
      </c>
      <c r="H77" s="179"/>
      <c r="I77" s="180"/>
      <c r="J77" s="180"/>
      <c r="K77" s="180"/>
      <c r="L77" s="180"/>
      <c r="M77" s="179"/>
      <c r="N77" s="180"/>
      <c r="O77" s="179"/>
      <c r="P77" s="181"/>
      <c r="Q77" s="182"/>
      <c r="R77" s="179" t="n">
        <v>65</v>
      </c>
      <c r="S77" s="182"/>
      <c r="T77" s="183" t="n">
        <v>5.69</v>
      </c>
      <c r="U77" s="184" t="n">
        <f aca="false">SUM(H77:T77)</f>
        <v>70.69</v>
      </c>
      <c r="V77" s="185" t="s">
        <v>84</v>
      </c>
      <c r="W77" s="186" t="s">
        <v>97</v>
      </c>
      <c r="X77" s="110" t="s">
        <v>39</v>
      </c>
      <c r="Y77" s="187" t="s">
        <v>86</v>
      </c>
      <c r="Z77" s="51"/>
    </row>
    <row r="78" s="10" customFormat="true" ht="13.2" hidden="false" customHeight="true" outlineLevel="0" collapsed="false">
      <c r="A78" s="100" t="s">
        <v>47</v>
      </c>
      <c r="B78" s="2" t="s">
        <v>184</v>
      </c>
      <c r="C78" s="3"/>
      <c r="D78" s="101" t="n">
        <v>4143062</v>
      </c>
      <c r="E78" s="102" t="n">
        <v>45030</v>
      </c>
      <c r="F78" s="103" t="s">
        <v>35</v>
      </c>
      <c r="G78" s="5" t="n">
        <v>45030</v>
      </c>
      <c r="H78" s="105"/>
      <c r="I78" s="106"/>
      <c r="J78" s="106"/>
      <c r="K78" s="106"/>
      <c r="L78" s="106"/>
      <c r="M78" s="105"/>
      <c r="N78" s="106"/>
      <c r="O78" s="105"/>
      <c r="P78" s="7"/>
      <c r="Q78" s="107"/>
      <c r="R78" s="105" t="n">
        <v>130</v>
      </c>
      <c r="S78" s="107" t="n">
        <v>25</v>
      </c>
      <c r="T78" s="108" t="n">
        <v>11.21</v>
      </c>
      <c r="U78" s="95" t="n">
        <f aca="false">SUM(H78:T78)</f>
        <v>166.21</v>
      </c>
      <c r="V78" s="109" t="s">
        <v>37</v>
      </c>
      <c r="W78" s="10" t="s">
        <v>47</v>
      </c>
      <c r="X78" s="110" t="s">
        <v>39</v>
      </c>
      <c r="Y78" s="187"/>
      <c r="Z78" s="51"/>
    </row>
    <row r="79" s="10" customFormat="true" ht="14.1" hidden="false" customHeight="true" outlineLevel="0" collapsed="false">
      <c r="A79" s="172" t="s">
        <v>26</v>
      </c>
      <c r="B79" s="173" t="s">
        <v>93</v>
      </c>
      <c r="C79" s="174"/>
      <c r="D79" s="175" t="n">
        <v>1093102</v>
      </c>
      <c r="E79" s="176" t="n">
        <v>44935</v>
      </c>
      <c r="F79" s="177" t="s">
        <v>35</v>
      </c>
      <c r="G79" s="178" t="n">
        <v>44935</v>
      </c>
      <c r="H79" s="179"/>
      <c r="I79" s="180"/>
      <c r="J79" s="180"/>
      <c r="K79" s="180"/>
      <c r="L79" s="180"/>
      <c r="M79" s="179"/>
      <c r="N79" s="180"/>
      <c r="O79" s="179"/>
      <c r="P79" s="181"/>
      <c r="Q79" s="182"/>
      <c r="R79" s="179" t="n">
        <v>169</v>
      </c>
      <c r="S79" s="182" t="n">
        <v>30</v>
      </c>
      <c r="T79" s="183" t="n">
        <v>13.94</v>
      </c>
      <c r="U79" s="184" t="n">
        <f aca="false">SUM(H79:T79)</f>
        <v>212.94</v>
      </c>
      <c r="V79" s="185" t="s">
        <v>88</v>
      </c>
      <c r="W79" s="186" t="s">
        <v>38</v>
      </c>
      <c r="X79" s="110" t="s">
        <v>39</v>
      </c>
      <c r="Y79" s="187" t="s">
        <v>86</v>
      </c>
      <c r="Z79" s="51"/>
    </row>
    <row r="80" s="10" customFormat="true" ht="14.1" hidden="false" customHeight="true" outlineLevel="0" collapsed="false">
      <c r="A80" s="100" t="s">
        <v>26</v>
      </c>
      <c r="B80" s="2" t="s">
        <v>140</v>
      </c>
      <c r="C80" s="3"/>
      <c r="D80" s="101" t="n">
        <v>4243105</v>
      </c>
      <c r="E80" s="102" t="n">
        <v>45040</v>
      </c>
      <c r="F80" s="103" t="s">
        <v>35</v>
      </c>
      <c r="G80" s="5" t="n">
        <v>45041</v>
      </c>
      <c r="H80" s="105"/>
      <c r="I80" s="106"/>
      <c r="J80" s="106"/>
      <c r="K80" s="106"/>
      <c r="L80" s="106"/>
      <c r="M80" s="105"/>
      <c r="N80" s="106"/>
      <c r="O80" s="105"/>
      <c r="P80" s="7"/>
      <c r="Q80" s="107"/>
      <c r="R80" s="105" t="n">
        <v>175</v>
      </c>
      <c r="S80" s="107" t="n">
        <v>37.5</v>
      </c>
      <c r="T80" s="108" t="n">
        <v>14.44</v>
      </c>
      <c r="U80" s="95" t="n">
        <f aca="false">SUM(H80:T80)</f>
        <v>226.94</v>
      </c>
      <c r="V80" s="109" t="s">
        <v>37</v>
      </c>
      <c r="W80" s="10" t="s">
        <v>38</v>
      </c>
      <c r="X80" s="110" t="s">
        <v>39</v>
      </c>
      <c r="Y80" s="187"/>
      <c r="Z80" s="51"/>
    </row>
    <row r="81" s="10" customFormat="true" ht="14.1" hidden="false" customHeight="true" outlineLevel="0" collapsed="false">
      <c r="A81" s="172" t="s">
        <v>26</v>
      </c>
      <c r="B81" s="173" t="s">
        <v>90</v>
      </c>
      <c r="C81" s="174"/>
      <c r="D81" s="175" t="n">
        <v>12222102</v>
      </c>
      <c r="E81" s="176" t="n">
        <v>44917</v>
      </c>
      <c r="F81" s="177" t="s">
        <v>35</v>
      </c>
      <c r="G81" s="178" t="n">
        <v>44917</v>
      </c>
      <c r="H81" s="179"/>
      <c r="I81" s="180"/>
      <c r="J81" s="180"/>
      <c r="K81" s="180"/>
      <c r="L81" s="180"/>
      <c r="M81" s="179"/>
      <c r="N81" s="180"/>
      <c r="O81" s="179"/>
      <c r="P81" s="181"/>
      <c r="Q81" s="182"/>
      <c r="R81" s="179" t="n">
        <v>323</v>
      </c>
      <c r="S81" s="182" t="n">
        <v>70</v>
      </c>
      <c r="T81" s="183" t="n">
        <v>30.28</v>
      </c>
      <c r="U81" s="184" t="n">
        <f aca="false">SUM(H81:T81)</f>
        <v>423.28</v>
      </c>
      <c r="V81" s="185" t="s">
        <v>88</v>
      </c>
      <c r="W81" s="186" t="s">
        <v>38</v>
      </c>
      <c r="X81" s="110" t="s">
        <v>39</v>
      </c>
      <c r="Y81" s="187" t="s">
        <v>86</v>
      </c>
      <c r="Z81" s="51"/>
    </row>
    <row r="82" s="10" customFormat="true" ht="13.2" hidden="false" customHeight="true" outlineLevel="0" collapsed="false">
      <c r="A82" s="100" t="s">
        <v>26</v>
      </c>
      <c r="B82" s="2" t="s">
        <v>131</v>
      </c>
      <c r="C82" s="3"/>
      <c r="D82" s="101" t="n">
        <v>4113106</v>
      </c>
      <c r="E82" s="102" t="n">
        <v>45027</v>
      </c>
      <c r="F82" s="103" t="s">
        <v>35</v>
      </c>
      <c r="G82" s="5" t="n">
        <v>45027</v>
      </c>
      <c r="H82" s="105"/>
      <c r="I82" s="106"/>
      <c r="J82" s="106"/>
      <c r="K82" s="106"/>
      <c r="L82" s="106"/>
      <c r="M82" s="105"/>
      <c r="N82" s="106"/>
      <c r="O82" s="105"/>
      <c r="P82" s="7"/>
      <c r="Q82" s="107"/>
      <c r="R82" s="105" t="n">
        <v>65</v>
      </c>
      <c r="S82" s="107" t="n">
        <v>12.5</v>
      </c>
      <c r="T82" s="108" t="n">
        <v>6.09</v>
      </c>
      <c r="U82" s="95" t="n">
        <f aca="false">SUM(H82:T82)</f>
        <v>83.59</v>
      </c>
      <c r="V82" s="109" t="s">
        <v>37</v>
      </c>
      <c r="W82" s="10" t="s">
        <v>26</v>
      </c>
      <c r="X82" s="110" t="s">
        <v>39</v>
      </c>
      <c r="Y82" s="187"/>
      <c r="Z82" s="51"/>
    </row>
    <row r="83" s="10" customFormat="true" ht="14.1" hidden="false" customHeight="true" outlineLevel="0" collapsed="false">
      <c r="A83" s="100" t="s">
        <v>26</v>
      </c>
      <c r="B83" s="2" t="s">
        <v>136</v>
      </c>
      <c r="C83" s="3"/>
      <c r="D83" s="101" t="n">
        <v>4173104</v>
      </c>
      <c r="E83" s="102" t="n">
        <v>45033</v>
      </c>
      <c r="F83" s="103" t="s">
        <v>35</v>
      </c>
      <c r="G83" s="5" t="n">
        <v>45033</v>
      </c>
      <c r="H83" s="105"/>
      <c r="I83" s="106"/>
      <c r="J83" s="106"/>
      <c r="K83" s="106"/>
      <c r="L83" s="106"/>
      <c r="M83" s="105"/>
      <c r="N83" s="106"/>
      <c r="O83" s="105"/>
      <c r="P83" s="7"/>
      <c r="Q83" s="107"/>
      <c r="R83" s="105" t="n">
        <v>435</v>
      </c>
      <c r="S83" s="107" t="n">
        <v>87.5</v>
      </c>
      <c r="T83" s="108" t="n">
        <v>33.71</v>
      </c>
      <c r="U83" s="95" t="n">
        <f aca="false">SUM(H83:T83)</f>
        <v>556.21</v>
      </c>
      <c r="V83" s="109" t="s">
        <v>37</v>
      </c>
      <c r="W83" s="10" t="s">
        <v>38</v>
      </c>
      <c r="X83" s="110" t="s">
        <v>39</v>
      </c>
      <c r="Y83" s="187"/>
      <c r="Z83" s="51"/>
    </row>
    <row r="84" s="10" customFormat="true" ht="13.2" hidden="false" customHeight="true" outlineLevel="0" collapsed="false">
      <c r="A84" s="100" t="s">
        <v>26</v>
      </c>
      <c r="B84" s="2" t="s">
        <v>134</v>
      </c>
      <c r="C84" s="3"/>
      <c r="D84" s="101" t="n">
        <v>4173102</v>
      </c>
      <c r="E84" s="102" t="n">
        <v>45033</v>
      </c>
      <c r="F84" s="103" t="s">
        <v>35</v>
      </c>
      <c r="G84" s="5" t="n">
        <v>45033</v>
      </c>
      <c r="H84" s="105"/>
      <c r="I84" s="106"/>
      <c r="J84" s="106"/>
      <c r="K84" s="106"/>
      <c r="L84" s="106"/>
      <c r="M84" s="105"/>
      <c r="N84" s="106"/>
      <c r="O84" s="105"/>
      <c r="P84" s="7"/>
      <c r="Q84" s="107"/>
      <c r="R84" s="105" t="n">
        <v>434</v>
      </c>
      <c r="S84" s="107" t="n">
        <v>100</v>
      </c>
      <c r="T84" s="108" t="n">
        <v>39.06</v>
      </c>
      <c r="U84" s="95" t="n">
        <f aca="false">SUM(H84:T84)</f>
        <v>573.06</v>
      </c>
      <c r="V84" s="109" t="s">
        <v>37</v>
      </c>
      <c r="W84" s="10" t="s">
        <v>38</v>
      </c>
      <c r="X84" s="110" t="s">
        <v>39</v>
      </c>
      <c r="Y84" s="187"/>
      <c r="Z84" s="51"/>
    </row>
    <row r="85" s="10" customFormat="true" ht="14.1" hidden="false" customHeight="true" outlineLevel="0" collapsed="false">
      <c r="A85" s="290"/>
      <c r="B85" s="2"/>
      <c r="C85" s="3"/>
      <c r="D85" s="101"/>
      <c r="E85" s="102"/>
      <c r="F85" s="103"/>
      <c r="G85" s="5"/>
      <c r="H85" s="105"/>
      <c r="I85" s="106"/>
      <c r="J85" s="106"/>
      <c r="K85" s="106"/>
      <c r="L85" s="106"/>
      <c r="M85" s="105"/>
      <c r="N85" s="106"/>
      <c r="O85" s="105"/>
      <c r="P85" s="7"/>
      <c r="Q85" s="107"/>
      <c r="R85" s="105"/>
      <c r="S85" s="107"/>
      <c r="T85" s="108"/>
      <c r="U85" s="95"/>
      <c r="V85" s="109"/>
      <c r="X85" s="110"/>
      <c r="Y85" s="291" t="n">
        <f aca="false">SUM(U72:U84)</f>
        <v>3547.74</v>
      </c>
      <c r="Z85" s="202" t="e">
        <f aca="false">Y85/V174</f>
        <v>#DIV/0!</v>
      </c>
      <c r="AA85" s="51"/>
    </row>
    <row r="86" s="10" customFormat="true" ht="14.1" hidden="false" customHeight="true" outlineLevel="0" collapsed="false">
      <c r="A86" s="290"/>
      <c r="B86" s="2"/>
      <c r="C86" s="3"/>
      <c r="D86" s="101"/>
      <c r="E86" s="102"/>
      <c r="F86" s="103"/>
      <c r="G86" s="5"/>
      <c r="H86" s="105"/>
      <c r="I86" s="106"/>
      <c r="J86" s="106"/>
      <c r="K86" s="106"/>
      <c r="L86" s="106"/>
      <c r="M86" s="105"/>
      <c r="N86" s="106"/>
      <c r="O86" s="105"/>
      <c r="P86" s="7"/>
      <c r="Q86" s="107"/>
      <c r="R86" s="105"/>
      <c r="S86" s="107"/>
      <c r="T86" s="108"/>
      <c r="U86" s="95"/>
      <c r="V86" s="109"/>
      <c r="X86" s="110"/>
      <c r="Y86" s="292" t="n">
        <f aca="false">SUM(U76:U85)</f>
        <v>2643.42</v>
      </c>
      <c r="Z86" s="202" t="e">
        <f aca="false">Y86/V183</f>
        <v>#DIV/0!</v>
      </c>
      <c r="AA86" s="51"/>
    </row>
    <row r="87" s="10" customFormat="true" ht="14.1" hidden="false" customHeight="true" outlineLevel="0" collapsed="false">
      <c r="A87" s="290"/>
      <c r="B87" s="2"/>
      <c r="C87" s="3"/>
      <c r="D87" s="101"/>
      <c r="E87" s="102"/>
      <c r="F87" s="103"/>
      <c r="G87" s="5"/>
      <c r="H87" s="105"/>
      <c r="I87" s="106"/>
      <c r="J87" s="106"/>
      <c r="K87" s="106"/>
      <c r="L87" s="106"/>
      <c r="M87" s="105"/>
      <c r="N87" s="106"/>
      <c r="O87" s="105"/>
      <c r="P87" s="7"/>
      <c r="Q87" s="107"/>
      <c r="R87" s="105"/>
      <c r="S87" s="107"/>
      <c r="T87" s="108"/>
      <c r="U87" s="95"/>
      <c r="V87" s="109"/>
      <c r="X87" s="110"/>
      <c r="Y87" s="293" t="n">
        <f aca="false">SUM(U73:U86)</f>
        <v>3378.09</v>
      </c>
      <c r="Z87" s="202" t="e">
        <f aca="false">Y87/V185</f>
        <v>#DIV/0!</v>
      </c>
      <c r="AA87" s="51"/>
    </row>
    <row r="88" s="10" customFormat="true" ht="14.1" hidden="false" customHeight="true" outlineLevel="0" collapsed="false">
      <c r="A88" s="189"/>
      <c r="B88" s="190"/>
      <c r="C88" s="191"/>
      <c r="D88" s="191"/>
      <c r="E88" s="192"/>
      <c r="F88" s="193"/>
      <c r="G88" s="194"/>
      <c r="H88" s="195"/>
      <c r="I88" s="195"/>
      <c r="J88" s="196"/>
      <c r="K88" s="196"/>
      <c r="L88" s="196"/>
      <c r="M88" s="195"/>
      <c r="N88" s="195"/>
      <c r="O88" s="195"/>
      <c r="P88" s="128"/>
      <c r="Q88" s="197"/>
      <c r="R88" s="195"/>
      <c r="S88" s="197"/>
      <c r="T88" s="198"/>
      <c r="U88" s="199"/>
      <c r="V88" s="200"/>
      <c r="W88" s="29"/>
      <c r="X88" s="29"/>
      <c r="Y88" s="258" t="n">
        <f aca="false">SUM(U44:U87)</f>
        <v>53426.91</v>
      </c>
      <c r="Z88" s="202" t="n">
        <f aca="false">Y88/V90</f>
        <v>0.796771657805928</v>
      </c>
      <c r="AA88" s="51"/>
    </row>
    <row r="89" s="10" customFormat="true" ht="19.5" hidden="false" customHeight="true" outlineLevel="0" collapsed="false">
      <c r="A89" s="259"/>
      <c r="B89" s="260"/>
      <c r="C89" s="260"/>
      <c r="D89" s="49"/>
      <c r="E89" s="49"/>
      <c r="F89" s="261"/>
      <c r="G89" s="49"/>
      <c r="H89" s="262" t="n">
        <f aca="false">SUM(H4:H87)</f>
        <v>40220</v>
      </c>
      <c r="I89" s="262" t="n">
        <f aca="false">SUM(I4:I87)</f>
        <v>0</v>
      </c>
      <c r="J89" s="262" t="n">
        <f aca="false">SUM(J4:J87)</f>
        <v>180</v>
      </c>
      <c r="K89" s="262" t="n">
        <f aca="false">SUM(K4:K87)</f>
        <v>0</v>
      </c>
      <c r="L89" s="262" t="n">
        <f aca="false">SUM(L4:L87)</f>
        <v>0</v>
      </c>
      <c r="M89" s="262" t="n">
        <f aca="false">SUM(M4:M87)</f>
        <v>1032</v>
      </c>
      <c r="N89" s="262" t="n">
        <f aca="false">SUM(N4:N87)</f>
        <v>78</v>
      </c>
      <c r="O89" s="262" t="n">
        <f aca="false">SUM(O4:O87)</f>
        <v>27.5</v>
      </c>
      <c r="P89" s="262" t="n">
        <f aca="false">SUM(P4:P87)</f>
        <v>360</v>
      </c>
      <c r="Q89" s="262" t="n">
        <f aca="false">SUM(Q4:Q87)</f>
        <v>280</v>
      </c>
      <c r="R89" s="262" t="n">
        <f aca="false">SUM(R4:R87)</f>
        <v>16800.5</v>
      </c>
      <c r="S89" s="262" t="n">
        <f aca="false">SUM(S4:S87)</f>
        <v>3052.5</v>
      </c>
      <c r="T89" s="262" t="n">
        <f aca="false">SUM(T4:T87)</f>
        <v>5023.73</v>
      </c>
      <c r="U89" s="262" t="n">
        <f aca="false">SUM(U4:U87)</f>
        <v>67054.23</v>
      </c>
      <c r="V89" s="263"/>
      <c r="W89" s="11"/>
      <c r="X89" s="11"/>
      <c r="Y89" s="3"/>
      <c r="Z89" s="2"/>
      <c r="AA89" s="264"/>
      <c r="AB89" s="264"/>
      <c r="AC89" s="264"/>
    </row>
    <row r="90" s="10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9"/>
      <c r="V90" s="265" t="n">
        <f aca="false">SUM(H89:T89)</f>
        <v>67054.23</v>
      </c>
      <c r="Y90" s="266"/>
      <c r="Z90" s="12"/>
    </row>
    <row r="91" s="10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9"/>
      <c r="V91" s="2"/>
      <c r="Y91" s="266"/>
      <c r="Z91" s="12"/>
    </row>
    <row r="92" s="10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9"/>
      <c r="V92" s="2"/>
      <c r="Y92" s="266"/>
      <c r="Z92" s="12"/>
    </row>
    <row r="93" s="10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9"/>
      <c r="V93" s="2"/>
      <c r="Y93" s="266"/>
      <c r="Z93" s="12"/>
    </row>
    <row r="94" s="10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9"/>
      <c r="V94" s="2"/>
      <c r="Y94" s="266"/>
      <c r="Z94" s="12"/>
    </row>
    <row r="95" s="10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9"/>
      <c r="V95" s="2"/>
      <c r="Y95" s="266"/>
      <c r="Z95" s="12"/>
    </row>
    <row r="96" s="10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9"/>
      <c r="V96" s="2"/>
      <c r="Y96" s="266"/>
      <c r="Z96" s="12"/>
    </row>
    <row r="97" s="10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9"/>
      <c r="V97" s="2"/>
      <c r="Y97" s="266"/>
      <c r="Z97" s="12"/>
    </row>
    <row r="98" s="10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9"/>
      <c r="V98" s="2"/>
      <c r="Y98" s="266"/>
      <c r="Z98" s="12"/>
    </row>
    <row r="99" s="10" customFormat="true" ht="14.1" hidden="false" customHeight="true" outlineLevel="0" collapsed="false">
      <c r="A99" s="2"/>
      <c r="B99" s="2"/>
      <c r="C99" s="267"/>
      <c r="D99" s="3"/>
      <c r="E99" s="4"/>
      <c r="F99" s="3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8"/>
      <c r="T99" s="8"/>
      <c r="V99" s="268"/>
      <c r="W99" s="269"/>
      <c r="X99" s="269"/>
      <c r="Y99" s="270"/>
      <c r="Z99" s="2"/>
    </row>
    <row r="100" s="10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9"/>
      <c r="V100" s="2"/>
      <c r="Y100" s="266"/>
      <c r="Z100" s="12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"/>
      <c r="Y101" s="266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66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66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66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66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66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66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66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66"/>
      <c r="Z109" s="12"/>
    </row>
    <row r="110" s="10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9"/>
      <c r="V110" s="2"/>
      <c r="Y110" s="266"/>
      <c r="Z110" s="1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66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66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66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66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66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66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66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66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66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66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66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66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66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66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66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66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66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66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66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66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66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66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66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66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66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66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66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66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66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66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66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66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66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66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66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66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66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66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66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66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66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66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66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66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66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66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66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66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66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66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66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66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66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66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66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66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66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66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66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66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66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66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66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66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66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66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66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66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66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66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66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66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66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66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66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66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66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66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66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66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66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66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66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66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66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66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66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66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66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66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66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66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66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66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66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66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66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66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66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66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66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66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66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66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66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66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66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66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66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66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66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66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66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66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66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66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66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66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66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66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66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66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66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66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66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66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66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66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66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66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66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66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66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66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66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66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66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66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66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66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66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66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66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66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66"/>
      <c r="Z255" s="12"/>
    </row>
    <row r="256" s="10" customFormat="true" ht="14.1" hidden="false" customHeight="true" outlineLevel="0" collapsed="false">
      <c r="A256" s="2"/>
      <c r="B256" s="2"/>
      <c r="C256" s="3"/>
      <c r="D256" s="3"/>
      <c r="E256" s="4"/>
      <c r="F256" s="3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9"/>
      <c r="V256" s="2"/>
      <c r="Y256" s="266"/>
      <c r="Z256" s="12"/>
    </row>
    <row r="257" s="10" customFormat="true" ht="14.1" hidden="false" customHeight="true" outlineLevel="0" collapsed="false">
      <c r="A257" s="2"/>
      <c r="B257" s="2"/>
      <c r="C257" s="3"/>
      <c r="D257" s="3"/>
      <c r="E257" s="4"/>
      <c r="F257" s="3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9"/>
      <c r="V257" s="2"/>
      <c r="Y257" s="266"/>
      <c r="Z257" s="12"/>
    </row>
    <row r="258" s="10" customFormat="true" ht="14.1" hidden="false" customHeight="true" outlineLevel="0" collapsed="false">
      <c r="A258" s="2"/>
      <c r="B258" s="2"/>
      <c r="C258" s="3"/>
      <c r="D258" s="3"/>
      <c r="E258" s="4"/>
      <c r="F258" s="3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9"/>
      <c r="V258" s="2"/>
      <c r="Y258" s="266"/>
      <c r="Z258" s="12"/>
    </row>
    <row r="259" s="10" customFormat="true" ht="14.1" hidden="false" customHeight="true" outlineLevel="0" collapsed="false">
      <c r="A259" s="2"/>
      <c r="B259" s="2"/>
      <c r="C259" s="3"/>
      <c r="D259" s="3"/>
      <c r="E259" s="4"/>
      <c r="F259" s="3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8"/>
      <c r="U259" s="9"/>
      <c r="V259" s="2"/>
      <c r="Y259" s="266"/>
      <c r="Z259" s="12"/>
    </row>
    <row r="260" s="10" customFormat="true" ht="14.1" hidden="false" customHeight="true" outlineLevel="0" collapsed="false">
      <c r="A260" s="2"/>
      <c r="B260" s="2"/>
      <c r="C260" s="3"/>
      <c r="D260" s="3"/>
      <c r="E260" s="4"/>
      <c r="F260" s="3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"/>
      <c r="U260" s="9"/>
      <c r="V260" s="2"/>
      <c r="Y260" s="266"/>
      <c r="Z260" s="12"/>
    </row>
    <row r="261" s="10" customFormat="true" ht="14.1" hidden="false" customHeight="true" outlineLevel="0" collapsed="false">
      <c r="A261" s="2"/>
      <c r="B261" s="2"/>
      <c r="C261" s="3"/>
      <c r="D261" s="3"/>
      <c r="E261" s="4"/>
      <c r="F261" s="3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8"/>
      <c r="U261" s="9"/>
      <c r="V261" s="2"/>
      <c r="Y261" s="266"/>
      <c r="Z261" s="12"/>
    </row>
    <row r="262" s="10" customFormat="true" ht="14.1" hidden="false" customHeight="true" outlineLevel="0" collapsed="false">
      <c r="A262" s="2"/>
      <c r="B262" s="2"/>
      <c r="C262" s="3"/>
      <c r="D262" s="3"/>
      <c r="E262" s="4"/>
      <c r="F262" s="3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8"/>
      <c r="U262" s="9"/>
      <c r="V262" s="2"/>
      <c r="Y262" s="266"/>
      <c r="Z262" s="12"/>
    </row>
    <row r="263" s="10" customFormat="true" ht="14.1" hidden="false" customHeight="true" outlineLevel="0" collapsed="false">
      <c r="A263" s="2"/>
      <c r="B263" s="2"/>
      <c r="C263" s="3"/>
      <c r="D263" s="3"/>
      <c r="E263" s="4"/>
      <c r="F263" s="3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8"/>
      <c r="U263" s="9"/>
      <c r="V263" s="2"/>
      <c r="Y263" s="266"/>
      <c r="Z263" s="12"/>
    </row>
    <row r="264" s="10" customFormat="true" ht="14.1" hidden="false" customHeight="true" outlineLevel="0" collapsed="false">
      <c r="A264" s="2"/>
      <c r="B264" s="2"/>
      <c r="C264" s="3"/>
      <c r="D264" s="3"/>
      <c r="E264" s="4"/>
      <c r="F264" s="3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8"/>
      <c r="U264" s="9"/>
      <c r="V264" s="2"/>
      <c r="Y264" s="266"/>
      <c r="Z264" s="12"/>
    </row>
    <row r="265" s="10" customFormat="true" ht="14.1" hidden="false" customHeight="true" outlineLevel="0" collapsed="false">
      <c r="A265" s="2"/>
      <c r="B265" s="2"/>
      <c r="C265" s="3"/>
      <c r="D265" s="3"/>
      <c r="E265" s="4"/>
      <c r="F265" s="3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"/>
      <c r="U265" s="9"/>
      <c r="V265" s="2"/>
      <c r="Y265" s="266"/>
      <c r="Z265" s="12"/>
    </row>
    <row r="266" s="10" customFormat="true" ht="14.1" hidden="false" customHeight="true" outlineLevel="0" collapsed="false">
      <c r="A266" s="2"/>
      <c r="B266" s="2"/>
      <c r="C266" s="3"/>
      <c r="D266" s="3"/>
      <c r="E266" s="4"/>
      <c r="F266" s="3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"/>
      <c r="U266" s="9"/>
      <c r="V266" s="2"/>
      <c r="Y266" s="266"/>
      <c r="Z266" s="12"/>
    </row>
    <row r="267" s="10" customFormat="true" ht="14.1" hidden="false" customHeight="true" outlineLevel="0" collapsed="false">
      <c r="A267" s="2"/>
      <c r="B267" s="2"/>
      <c r="C267" s="3"/>
      <c r="D267" s="3"/>
      <c r="E267" s="4"/>
      <c r="F267" s="3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"/>
      <c r="U267" s="9"/>
      <c r="V267" s="2"/>
      <c r="Y267" s="266"/>
      <c r="Z267" s="12"/>
    </row>
    <row r="268" s="10" customFormat="true" ht="14.1" hidden="false" customHeight="true" outlineLevel="0" collapsed="false">
      <c r="A268" s="2"/>
      <c r="B268" s="2"/>
      <c r="C268" s="3"/>
      <c r="D268" s="3"/>
      <c r="E268" s="4"/>
      <c r="F268" s="3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8"/>
      <c r="U268" s="9"/>
      <c r="V268" s="2"/>
      <c r="Y268" s="266"/>
      <c r="Z268" s="12"/>
    </row>
    <row r="269" s="10" customFormat="true" ht="14.1" hidden="false" customHeight="true" outlineLevel="0" collapsed="false">
      <c r="A269" s="2"/>
      <c r="B269" s="2"/>
      <c r="C269" s="3"/>
      <c r="D269" s="3"/>
      <c r="E269" s="4"/>
      <c r="F269" s="3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8"/>
      <c r="U269" s="9"/>
      <c r="V269" s="2"/>
      <c r="Y269" s="266"/>
      <c r="Z269" s="12"/>
    </row>
    <row r="270" s="10" customFormat="true" ht="14.1" hidden="false" customHeight="true" outlineLevel="0" collapsed="false">
      <c r="A270" s="2"/>
      <c r="B270" s="2"/>
      <c r="C270" s="3"/>
      <c r="D270" s="3"/>
      <c r="E270" s="4"/>
      <c r="F270" s="3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8"/>
      <c r="U270" s="9"/>
      <c r="V270" s="2"/>
      <c r="Y270" s="266"/>
      <c r="Z270" s="12"/>
    </row>
    <row r="271" s="10" customFormat="true" ht="14.1" hidden="false" customHeight="true" outlineLevel="0" collapsed="false">
      <c r="A271" s="2"/>
      <c r="B271" s="2"/>
      <c r="C271" s="3"/>
      <c r="D271" s="3"/>
      <c r="E271" s="4"/>
      <c r="F271" s="3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8"/>
      <c r="U271" s="9"/>
      <c r="V271" s="2"/>
      <c r="Y271" s="266"/>
      <c r="Z271" s="12"/>
    </row>
    <row r="272" s="10" customFormat="true" ht="14.1" hidden="false" customHeight="true" outlineLevel="0" collapsed="false">
      <c r="A272" s="2"/>
      <c r="B272" s="2"/>
      <c r="C272" s="3"/>
      <c r="D272" s="3"/>
      <c r="E272" s="4"/>
      <c r="F272" s="3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8"/>
      <c r="U272" s="9"/>
      <c r="V272" s="2"/>
      <c r="Y272" s="266"/>
      <c r="Z272" s="12"/>
    </row>
    <row r="273" s="10" customFormat="true" ht="14.1" hidden="false" customHeight="true" outlineLevel="0" collapsed="false">
      <c r="A273" s="2"/>
      <c r="B273" s="2"/>
      <c r="C273" s="3"/>
      <c r="D273" s="3"/>
      <c r="E273" s="4"/>
      <c r="F273" s="3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8"/>
      <c r="U273" s="9"/>
      <c r="V273" s="2"/>
      <c r="Y273" s="266"/>
      <c r="Z273" s="12"/>
    </row>
    <row r="274" s="10" customFormat="true" ht="14.1" hidden="false" customHeight="true" outlineLevel="0" collapsed="false">
      <c r="A274" s="2"/>
      <c r="B274" s="2"/>
      <c r="C274" s="3"/>
      <c r="D274" s="3"/>
      <c r="E274" s="4"/>
      <c r="F274" s="3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8"/>
      <c r="U274" s="9"/>
      <c r="V274" s="2"/>
      <c r="Y274" s="266"/>
      <c r="Z274" s="12"/>
    </row>
    <row r="275" s="10" customFormat="true" ht="14.1" hidden="false" customHeight="true" outlineLevel="0" collapsed="false">
      <c r="A275" s="2"/>
      <c r="B275" s="2"/>
      <c r="C275" s="3"/>
      <c r="D275" s="3"/>
      <c r="E275" s="4"/>
      <c r="F275" s="3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8"/>
      <c r="U275" s="9"/>
      <c r="V275" s="2"/>
      <c r="Y275" s="266"/>
      <c r="Z275" s="12"/>
    </row>
    <row r="276" s="10" customFormat="true" ht="14.1" hidden="false" customHeight="true" outlineLevel="0" collapsed="false">
      <c r="A276" s="2"/>
      <c r="B276" s="2"/>
      <c r="C276" s="3"/>
      <c r="D276" s="3"/>
      <c r="E276" s="4"/>
      <c r="F276" s="3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8"/>
      <c r="U276" s="9"/>
      <c r="V276" s="2"/>
      <c r="Y276" s="266"/>
      <c r="Z276" s="12"/>
    </row>
    <row r="277" s="10" customFormat="true" ht="14.1" hidden="false" customHeight="true" outlineLevel="0" collapsed="false">
      <c r="A277" s="2"/>
      <c r="B277" s="2"/>
      <c r="C277" s="3"/>
      <c r="D277" s="3"/>
      <c r="E277" s="4"/>
      <c r="F277" s="3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8"/>
      <c r="U277" s="9"/>
      <c r="V277" s="2"/>
      <c r="Y277" s="266"/>
      <c r="Z277" s="12"/>
    </row>
    <row r="278" s="10" customFormat="true" ht="14.1" hidden="false" customHeight="true" outlineLevel="0" collapsed="false">
      <c r="A278" s="2"/>
      <c r="B278" s="2"/>
      <c r="C278" s="3"/>
      <c r="D278" s="3"/>
      <c r="E278" s="4"/>
      <c r="F278" s="3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8"/>
      <c r="U278" s="9"/>
      <c r="V278" s="2"/>
      <c r="Y278" s="266"/>
      <c r="Z278" s="12"/>
    </row>
    <row r="279" s="10" customFormat="true" ht="14.1" hidden="false" customHeight="true" outlineLevel="0" collapsed="false">
      <c r="A279" s="2"/>
      <c r="B279" s="2"/>
      <c r="C279" s="3"/>
      <c r="D279" s="3"/>
      <c r="E279" s="4"/>
      <c r="F279" s="3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8"/>
      <c r="U279" s="9"/>
      <c r="V279" s="2"/>
      <c r="Y279" s="266"/>
      <c r="Z279" s="12"/>
    </row>
    <row r="280" s="10" customFormat="true" ht="14.1" hidden="false" customHeight="true" outlineLevel="0" collapsed="false">
      <c r="A280" s="2"/>
      <c r="B280" s="2"/>
      <c r="C280" s="3"/>
      <c r="D280" s="3"/>
      <c r="E280" s="4"/>
      <c r="F280" s="3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8"/>
      <c r="U280" s="9"/>
      <c r="V280" s="2"/>
      <c r="Y280" s="266"/>
      <c r="Z280" s="12"/>
    </row>
    <row r="281" s="10" customFormat="true" ht="14.1" hidden="false" customHeight="true" outlineLevel="0" collapsed="false">
      <c r="A281" s="2"/>
      <c r="B281" s="2"/>
      <c r="C281" s="3"/>
      <c r="D281" s="3"/>
      <c r="E281" s="4"/>
      <c r="F281" s="3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8"/>
      <c r="U281" s="9"/>
      <c r="V281" s="2"/>
      <c r="Y281" s="266"/>
      <c r="Z281" s="12"/>
    </row>
    <row r="282" s="10" customFormat="true" ht="14.1" hidden="false" customHeight="true" outlineLevel="0" collapsed="false">
      <c r="A282" s="2"/>
      <c r="B282" s="2"/>
      <c r="C282" s="3"/>
      <c r="D282" s="3"/>
      <c r="E282" s="4"/>
      <c r="F282" s="3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8"/>
      <c r="U282" s="9"/>
      <c r="V282" s="2"/>
      <c r="Y282" s="266"/>
      <c r="Z282" s="12"/>
    </row>
    <row r="283" s="10" customFormat="true" ht="14.1" hidden="false" customHeight="true" outlineLevel="0" collapsed="false">
      <c r="A283" s="2"/>
      <c r="B283" s="2"/>
      <c r="C283" s="3"/>
      <c r="D283" s="3"/>
      <c r="E283" s="4"/>
      <c r="F283" s="3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8"/>
      <c r="U283" s="9"/>
      <c r="V283" s="2"/>
      <c r="Y283" s="266"/>
      <c r="Z283" s="12"/>
    </row>
    <row r="284" s="10" customFormat="true" ht="14.1" hidden="false" customHeight="true" outlineLevel="0" collapsed="false">
      <c r="A284" s="2"/>
      <c r="B284" s="2"/>
      <c r="C284" s="3"/>
      <c r="D284" s="3"/>
      <c r="E284" s="4"/>
      <c r="F284" s="3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8"/>
      <c r="U284" s="9"/>
      <c r="V284" s="2"/>
      <c r="Y284" s="266"/>
      <c r="Z284" s="12"/>
    </row>
    <row r="285" s="10" customFormat="true" ht="14.1" hidden="false" customHeight="true" outlineLevel="0" collapsed="false">
      <c r="A285" s="2"/>
      <c r="B285" s="2"/>
      <c r="C285" s="3"/>
      <c r="D285" s="3"/>
      <c r="E285" s="4"/>
      <c r="F285" s="3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"/>
      <c r="U285" s="9"/>
      <c r="V285" s="2"/>
      <c r="Y285" s="266"/>
      <c r="Z285" s="12"/>
    </row>
    <row r="286" s="10" customFormat="true" ht="14.1" hidden="false" customHeight="true" outlineLevel="0" collapsed="false">
      <c r="A286" s="2"/>
      <c r="B286" s="2"/>
      <c r="C286" s="3"/>
      <c r="D286" s="3"/>
      <c r="E286" s="4"/>
      <c r="F286" s="3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8"/>
      <c r="U286" s="9"/>
      <c r="V286" s="2"/>
      <c r="Y286" s="266"/>
      <c r="Z286" s="12"/>
    </row>
    <row r="287" s="10" customFormat="true" ht="14.1" hidden="false" customHeight="true" outlineLevel="0" collapsed="false">
      <c r="A287" s="2"/>
      <c r="B287" s="2"/>
      <c r="C287" s="3"/>
      <c r="D287" s="3"/>
      <c r="E287" s="4"/>
      <c r="F287" s="3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/>
      <c r="U287" s="9"/>
      <c r="V287" s="2"/>
      <c r="Y287" s="266"/>
      <c r="Z287" s="12"/>
    </row>
    <row r="288" s="10" customFormat="true" ht="14.1" hidden="false" customHeight="true" outlineLevel="0" collapsed="false">
      <c r="A288" s="2"/>
      <c r="B288" s="2"/>
      <c r="C288" s="3"/>
      <c r="D288" s="3"/>
      <c r="E288" s="4"/>
      <c r="F288" s="3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8"/>
      <c r="U288" s="9"/>
      <c r="V288" s="2"/>
      <c r="Y288" s="266"/>
      <c r="Z288" s="12"/>
    </row>
    <row r="289" s="10" customFormat="true" ht="14.1" hidden="false" customHeight="true" outlineLevel="0" collapsed="false">
      <c r="A289" s="2"/>
      <c r="B289" s="2"/>
      <c r="C289" s="267"/>
      <c r="D289" s="3"/>
      <c r="E289" s="4"/>
      <c r="F289" s="3"/>
      <c r="G289" s="5"/>
      <c r="H289" s="7"/>
      <c r="I289" s="7"/>
      <c r="J289" s="7"/>
      <c r="K289" s="271"/>
      <c r="L289" s="7"/>
      <c r="M289" s="7"/>
      <c r="N289" s="7"/>
      <c r="O289" s="7"/>
      <c r="P289" s="7"/>
      <c r="Q289" s="7"/>
      <c r="R289" s="7"/>
      <c r="S289" s="8"/>
      <c r="T289" s="8"/>
      <c r="V289" s="268"/>
      <c r="W289" s="269"/>
      <c r="X289" s="269"/>
      <c r="Y289" s="270"/>
      <c r="Z289" s="2"/>
    </row>
    <row r="290" s="264" customFormat="true" ht="26.25" hidden="false" customHeight="true" outlineLevel="0" collapsed="false">
      <c r="A290" s="272"/>
      <c r="B290" s="273"/>
      <c r="C290" s="273"/>
      <c r="D290" s="10"/>
      <c r="E290" s="10"/>
      <c r="F290" s="266"/>
      <c r="G290" s="10"/>
      <c r="H290" s="271"/>
      <c r="I290" s="271"/>
      <c r="J290" s="271"/>
      <c r="K290" s="7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140"/>
      <c r="W290" s="11"/>
      <c r="X290" s="11"/>
      <c r="Y290" s="3"/>
      <c r="Z290" s="2"/>
    </row>
    <row r="291" customFormat="false" ht="15" hidden="false" customHeight="true" outlineLevel="0" collapsed="false">
      <c r="V291" s="274"/>
      <c r="W291" s="2"/>
      <c r="X291" s="2"/>
    </row>
    <row r="299" s="2" customFormat="true" ht="9.75" hidden="false" customHeight="true" outlineLevel="0" collapsed="false">
      <c r="F299" s="3"/>
    </row>
    <row r="300" s="2" customFormat="true" ht="10.5" hidden="false" customHeight="true" outlineLevel="0" collapsed="false">
      <c r="F300" s="137"/>
    </row>
    <row r="301" s="2" customFormat="true" ht="9.75" hidden="false" customHeight="true" outlineLevel="0" collapsed="false">
      <c r="F301" s="3"/>
    </row>
    <row r="306" customFormat="false" ht="10.5" hidden="false" customHeight="true" outlineLevel="0" collapsed="false"/>
    <row r="308" customFormat="false" ht="10.5" hidden="false" customHeight="true" outlineLevel="0" collapsed="false"/>
    <row r="314" s="2" customFormat="true" ht="9.75" hidden="false" customHeight="true" outlineLevel="0" collapsed="false">
      <c r="J314" s="4"/>
    </row>
  </sheetData>
  <printOptions headings="false" gridLines="true" gridLinesSet="true" horizontalCentered="false" verticalCentered="false"/>
  <pageMargins left="0.2" right="0.209722222222222" top="0.170138888888889" bottom="0.170138888888889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8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53" activePane="bottomLeft" state="frozen"/>
      <selection pane="topLeft" activeCell="A1" activeCellId="0" sqref="A1"/>
      <selection pane="bottomLeft" activeCell="A15" activeCellId="0" sqref="1:1048576"/>
    </sheetView>
  </sheetViews>
  <sheetFormatPr defaultColWidth="6.89453125" defaultRowHeight="13.2" zeroHeight="false" outlineLevelRow="0" outlineLevelCol="0"/>
  <cols>
    <col collapsed="false" customWidth="true" hidden="false" outlineLevel="0" max="1" min="1" style="2" width="4.44"/>
    <col collapsed="false" customWidth="true" hidden="false" outlineLevel="0" max="2" min="2" style="2" width="18.33"/>
    <col collapsed="false" customWidth="true" hidden="false" outlineLevel="0" max="3" min="3" style="2" width="10.89"/>
    <col collapsed="false" customWidth="true" hidden="false" outlineLevel="0" max="4" min="4" style="136" width="9.11"/>
    <col collapsed="false" customWidth="true" hidden="false" outlineLevel="0" max="5" min="5" style="4" width="5.01"/>
    <col collapsed="false" customWidth="true" hidden="false" outlineLevel="0" max="6" min="6" style="137" width="10.33"/>
    <col collapsed="false" customWidth="true" hidden="false" outlineLevel="0" max="7" min="7" style="138" width="5.55"/>
    <col collapsed="false" customWidth="true" hidden="false" outlineLevel="0" max="8" min="8" style="7" width="6.66"/>
    <col collapsed="false" customWidth="true" hidden="false" outlineLevel="0" max="9" min="9" style="7" width="5.1"/>
    <col collapsed="false" customWidth="true" hidden="false" outlineLevel="0" max="10" min="10" style="7" width="5.55"/>
    <col collapsed="false" customWidth="true" hidden="false" outlineLevel="0" max="11" min="11" style="7" width="5.1"/>
    <col collapsed="false" customWidth="true" hidden="false" outlineLevel="0" max="12" min="12" style="7" width="4.89"/>
    <col collapsed="false" customWidth="true" hidden="false" outlineLevel="0" max="13" min="13" style="7" width="6.11"/>
    <col collapsed="false" customWidth="true" hidden="false" outlineLevel="0" max="14" min="14" style="7" width="5.44"/>
    <col collapsed="false" customWidth="true" hidden="false" outlineLevel="0" max="15" min="15" style="7" width="6.34"/>
    <col collapsed="false" customWidth="true" hidden="false" outlineLevel="0" max="16" min="16" style="7" width="6.66"/>
    <col collapsed="false" customWidth="true" hidden="false" outlineLevel="0" max="17" min="17" style="8" width="5.66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9" width="6.34"/>
    <col collapsed="false" customWidth="true" hidden="false" outlineLevel="0" max="21" min="21" style="140" width="9.11"/>
    <col collapsed="false" customWidth="true" hidden="false" outlineLevel="0" max="22" min="22" style="11" width="9"/>
    <col collapsed="false" customWidth="true" hidden="false" outlineLevel="0" max="23" min="23" style="10" width="6.66"/>
    <col collapsed="false" customWidth="true" hidden="false" outlineLevel="0" max="24" min="24" style="10" width="3.56"/>
    <col collapsed="false" customWidth="true" hidden="false" outlineLevel="0" max="25" min="25" style="3" width="7.56"/>
    <col collapsed="false" customWidth="true" hidden="false" outlineLevel="0" max="26" min="26" style="2" width="8.56"/>
    <col collapsed="false" customWidth="true" hidden="false" outlineLevel="0" max="27" min="27" style="2" width="7.44"/>
    <col collapsed="false" customWidth="false" hidden="false" outlineLevel="0" max="1024" min="28" style="2" width="6.88"/>
  </cols>
  <sheetData>
    <row r="1" customFormat="false" ht="18.75" hidden="false" customHeight="true" outlineLevel="0" collapsed="false">
      <c r="A1" s="141"/>
      <c r="B1" s="142" t="n">
        <v>45048</v>
      </c>
      <c r="C1" s="143"/>
      <c r="D1" s="144"/>
      <c r="E1" s="145" t="s">
        <v>66</v>
      </c>
      <c r="F1" s="146"/>
      <c r="G1" s="146"/>
      <c r="H1" s="147" t="s">
        <v>67</v>
      </c>
      <c r="I1" s="148"/>
      <c r="K1" s="149" t="s">
        <v>68</v>
      </c>
      <c r="L1" s="149"/>
      <c r="M1" s="150"/>
      <c r="N1" s="149"/>
      <c r="O1" s="151" t="s">
        <v>69</v>
      </c>
      <c r="P1" s="152"/>
      <c r="Q1" s="153"/>
      <c r="R1" s="154"/>
      <c r="S1" s="155"/>
      <c r="T1" s="156"/>
      <c r="U1" s="157"/>
      <c r="V1" s="158"/>
      <c r="W1" s="11"/>
      <c r="X1" s="11"/>
    </row>
    <row r="2" s="10" customFormat="true" ht="12.75" hidden="false" customHeight="true" outlineLevel="0" collapsed="false">
      <c r="A2" s="29" t="s">
        <v>70</v>
      </c>
      <c r="B2" s="159" t="s">
        <v>1</v>
      </c>
      <c r="C2" s="159"/>
      <c r="D2" s="160" t="s">
        <v>3</v>
      </c>
      <c r="E2" s="161" t="s">
        <v>71</v>
      </c>
      <c r="F2" s="162" t="s">
        <v>5</v>
      </c>
      <c r="G2" s="163" t="s">
        <v>72</v>
      </c>
      <c r="H2" s="164" t="s">
        <v>73</v>
      </c>
      <c r="I2" s="164" t="s">
        <v>74</v>
      </c>
      <c r="J2" s="164" t="s">
        <v>75</v>
      </c>
      <c r="K2" s="164" t="s">
        <v>76</v>
      </c>
      <c r="L2" s="129" t="s">
        <v>12</v>
      </c>
      <c r="M2" s="165" t="s">
        <v>77</v>
      </c>
      <c r="N2" s="129" t="s">
        <v>78</v>
      </c>
      <c r="O2" s="164" t="s">
        <v>79</v>
      </c>
      <c r="P2" s="164" t="s">
        <v>80</v>
      </c>
      <c r="Q2" s="129" t="s">
        <v>81</v>
      </c>
      <c r="R2" s="164" t="s">
        <v>82</v>
      </c>
      <c r="S2" s="164" t="s">
        <v>19</v>
      </c>
      <c r="T2" s="166" t="s">
        <v>20</v>
      </c>
      <c r="U2" s="159" t="s">
        <v>21</v>
      </c>
      <c r="V2" s="140"/>
      <c r="W2" s="167"/>
      <c r="X2" s="167"/>
      <c r="Y2" s="168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9"/>
      <c r="X3" s="169"/>
      <c r="Y3" s="170"/>
      <c r="Z3" s="171"/>
    </row>
    <row r="4" s="10" customFormat="true" ht="14.1" hidden="false" customHeight="true" outlineLevel="0" collapsed="false">
      <c r="A4" s="172" t="s">
        <v>26</v>
      </c>
      <c r="B4" s="173" t="s">
        <v>83</v>
      </c>
      <c r="C4" s="174"/>
      <c r="D4" s="175" t="n">
        <v>12162102</v>
      </c>
      <c r="E4" s="176" t="n">
        <v>44911</v>
      </c>
      <c r="F4" s="177" t="s">
        <v>35</v>
      </c>
      <c r="G4" s="178" t="n">
        <v>44911</v>
      </c>
      <c r="H4" s="179"/>
      <c r="I4" s="180"/>
      <c r="J4" s="180"/>
      <c r="K4" s="180"/>
      <c r="L4" s="180"/>
      <c r="M4" s="179"/>
      <c r="N4" s="180"/>
      <c r="O4" s="179"/>
      <c r="P4" s="181"/>
      <c r="Q4" s="182"/>
      <c r="R4" s="179" t="n">
        <v>149</v>
      </c>
      <c r="S4" s="182"/>
      <c r="T4" s="183" t="n">
        <v>12.29</v>
      </c>
      <c r="U4" s="184" t="n">
        <f aca="false">SUM(H4:T4)</f>
        <v>161.29</v>
      </c>
      <c r="V4" s="185" t="s">
        <v>84</v>
      </c>
      <c r="W4" s="186" t="s">
        <v>85</v>
      </c>
      <c r="X4" s="110" t="s">
        <v>39</v>
      </c>
      <c r="Y4" s="187" t="s">
        <v>86</v>
      </c>
      <c r="Z4" s="51"/>
    </row>
    <row r="5" s="10" customFormat="true" ht="14.1" hidden="false" customHeight="true" outlineLevel="0" collapsed="false">
      <c r="A5" s="172" t="s">
        <v>26</v>
      </c>
      <c r="B5" s="173" t="s">
        <v>87</v>
      </c>
      <c r="C5" s="174"/>
      <c r="D5" s="175" t="n">
        <v>12192104</v>
      </c>
      <c r="E5" s="176" t="n">
        <v>44914</v>
      </c>
      <c r="F5" s="177" t="s">
        <v>35</v>
      </c>
      <c r="G5" s="178" t="n">
        <v>44914</v>
      </c>
      <c r="H5" s="179"/>
      <c r="I5" s="180"/>
      <c r="J5" s="180"/>
      <c r="K5" s="180"/>
      <c r="L5" s="180"/>
      <c r="M5" s="179"/>
      <c r="N5" s="180"/>
      <c r="O5" s="179"/>
      <c r="P5" s="181"/>
      <c r="Q5" s="182"/>
      <c r="R5" s="179" t="n">
        <v>39</v>
      </c>
      <c r="S5" s="182" t="n">
        <v>10</v>
      </c>
      <c r="T5" s="183" t="n">
        <v>3.36</v>
      </c>
      <c r="U5" s="184" t="n">
        <f aca="false">SUM(H5:T5)</f>
        <v>52.36</v>
      </c>
      <c r="V5" s="185" t="s">
        <v>88</v>
      </c>
      <c r="W5" s="186" t="s">
        <v>38</v>
      </c>
      <c r="X5" s="110" t="s">
        <v>39</v>
      </c>
      <c r="Y5" s="187" t="s">
        <v>86</v>
      </c>
      <c r="Z5" s="51"/>
    </row>
    <row r="6" s="10" customFormat="true" ht="14.1" hidden="false" customHeight="true" outlineLevel="0" collapsed="false">
      <c r="A6" s="172" t="s">
        <v>26</v>
      </c>
      <c r="B6" s="173" t="s">
        <v>89</v>
      </c>
      <c r="C6" s="174"/>
      <c r="D6" s="175" t="n">
        <v>12212102</v>
      </c>
      <c r="E6" s="176" t="n">
        <v>44916</v>
      </c>
      <c r="F6" s="188" t="s">
        <v>35</v>
      </c>
      <c r="G6" s="178" t="n">
        <v>44916</v>
      </c>
      <c r="H6" s="179"/>
      <c r="I6" s="180"/>
      <c r="J6" s="180"/>
      <c r="K6" s="180"/>
      <c r="L6" s="180"/>
      <c r="M6" s="179"/>
      <c r="N6" s="180"/>
      <c r="O6" s="179"/>
      <c r="P6" s="181"/>
      <c r="Q6" s="182"/>
      <c r="R6" s="179" t="n">
        <v>233</v>
      </c>
      <c r="S6" s="182" t="n">
        <v>40</v>
      </c>
      <c r="T6" s="183" t="n">
        <v>23.88</v>
      </c>
      <c r="U6" s="184" t="n">
        <f aca="false">SUM(H6:T6)</f>
        <v>296.88</v>
      </c>
      <c r="V6" s="185" t="s">
        <v>88</v>
      </c>
      <c r="W6" s="186" t="s">
        <v>38</v>
      </c>
      <c r="X6" s="110" t="s">
        <v>39</v>
      </c>
      <c r="Y6" s="187" t="s">
        <v>86</v>
      </c>
      <c r="Z6" s="51"/>
    </row>
    <row r="7" s="10" customFormat="true" ht="14.1" hidden="false" customHeight="true" outlineLevel="0" collapsed="false">
      <c r="A7" s="172" t="s">
        <v>26</v>
      </c>
      <c r="B7" s="173" t="s">
        <v>90</v>
      </c>
      <c r="C7" s="174"/>
      <c r="D7" s="175" t="n">
        <v>12222102</v>
      </c>
      <c r="E7" s="176" t="n">
        <v>44917</v>
      </c>
      <c r="F7" s="177" t="s">
        <v>35</v>
      </c>
      <c r="G7" s="178" t="n">
        <v>44917</v>
      </c>
      <c r="H7" s="179"/>
      <c r="I7" s="180"/>
      <c r="J7" s="180"/>
      <c r="K7" s="180"/>
      <c r="L7" s="180"/>
      <c r="M7" s="179"/>
      <c r="N7" s="180"/>
      <c r="O7" s="179"/>
      <c r="P7" s="181"/>
      <c r="Q7" s="182"/>
      <c r="R7" s="179" t="n">
        <v>323</v>
      </c>
      <c r="S7" s="182" t="n">
        <v>70</v>
      </c>
      <c r="T7" s="183" t="n">
        <v>30.28</v>
      </c>
      <c r="U7" s="184" t="n">
        <f aca="false">SUM(H7:T7)</f>
        <v>423.28</v>
      </c>
      <c r="V7" s="185" t="s">
        <v>88</v>
      </c>
      <c r="W7" s="186" t="s">
        <v>38</v>
      </c>
      <c r="X7" s="110" t="s">
        <v>39</v>
      </c>
      <c r="Y7" s="187" t="s">
        <v>86</v>
      </c>
      <c r="Z7" s="51"/>
    </row>
    <row r="8" s="10" customFormat="true" ht="14.1" hidden="false" customHeight="true" outlineLevel="0" collapsed="false">
      <c r="A8" s="172" t="s">
        <v>26</v>
      </c>
      <c r="B8" s="173" t="s">
        <v>91</v>
      </c>
      <c r="C8" s="174"/>
      <c r="D8" s="175" t="n">
        <v>12272103</v>
      </c>
      <c r="E8" s="176" t="n">
        <v>44922</v>
      </c>
      <c r="F8" s="177" t="s">
        <v>35</v>
      </c>
      <c r="G8" s="178" t="n">
        <v>44922</v>
      </c>
      <c r="H8" s="179"/>
      <c r="I8" s="180"/>
      <c r="J8" s="180"/>
      <c r="K8" s="180"/>
      <c r="L8" s="180"/>
      <c r="M8" s="179"/>
      <c r="N8" s="180"/>
      <c r="O8" s="179"/>
      <c r="P8" s="181"/>
      <c r="Q8" s="182"/>
      <c r="R8" s="179" t="n">
        <v>149</v>
      </c>
      <c r="S8" s="182" t="n">
        <v>30</v>
      </c>
      <c r="T8" s="183" t="n">
        <v>12.67</v>
      </c>
      <c r="U8" s="184" t="n">
        <f aca="false">SUM(H8:T8)</f>
        <v>191.67</v>
      </c>
      <c r="V8" s="185" t="s">
        <v>88</v>
      </c>
      <c r="W8" s="186" t="s">
        <v>38</v>
      </c>
      <c r="X8" s="110" t="s">
        <v>39</v>
      </c>
      <c r="Y8" s="187" t="s">
        <v>86</v>
      </c>
      <c r="Z8" s="51"/>
    </row>
    <row r="9" s="10" customFormat="true" ht="14.1" hidden="false" customHeight="true" outlineLevel="0" collapsed="false">
      <c r="A9" s="172" t="s">
        <v>26</v>
      </c>
      <c r="B9" s="173" t="s">
        <v>92</v>
      </c>
      <c r="C9" s="174"/>
      <c r="D9" s="175" t="n">
        <v>12282103</v>
      </c>
      <c r="E9" s="176" t="n">
        <v>44923</v>
      </c>
      <c r="F9" s="177" t="s">
        <v>35</v>
      </c>
      <c r="G9" s="178" t="n">
        <v>44923</v>
      </c>
      <c r="H9" s="179"/>
      <c r="I9" s="180"/>
      <c r="J9" s="180"/>
      <c r="K9" s="180"/>
      <c r="L9" s="180"/>
      <c r="M9" s="179"/>
      <c r="N9" s="180"/>
      <c r="O9" s="179"/>
      <c r="P9" s="181"/>
      <c r="Q9" s="182"/>
      <c r="R9" s="179" t="n">
        <v>45</v>
      </c>
      <c r="S9" s="182" t="n">
        <v>10</v>
      </c>
      <c r="T9" s="183" t="n">
        <v>3.83</v>
      </c>
      <c r="U9" s="184" t="n">
        <f aca="false">SUM(H9:T9)</f>
        <v>58.83</v>
      </c>
      <c r="V9" s="185" t="s">
        <v>88</v>
      </c>
      <c r="W9" s="186" t="s">
        <v>47</v>
      </c>
      <c r="X9" s="110" t="s">
        <v>39</v>
      </c>
      <c r="Y9" s="187" t="s">
        <v>86</v>
      </c>
      <c r="Z9" s="51"/>
    </row>
    <row r="10" s="10" customFormat="true" ht="14.1" hidden="false" customHeight="true" outlineLevel="0" collapsed="false">
      <c r="A10" s="172" t="s">
        <v>26</v>
      </c>
      <c r="B10" s="173" t="s">
        <v>93</v>
      </c>
      <c r="C10" s="174"/>
      <c r="D10" s="175" t="n">
        <v>1093102</v>
      </c>
      <c r="E10" s="176" t="n">
        <v>44935</v>
      </c>
      <c r="F10" s="177" t="s">
        <v>35</v>
      </c>
      <c r="G10" s="178" t="n">
        <v>44935</v>
      </c>
      <c r="H10" s="179"/>
      <c r="I10" s="180"/>
      <c r="J10" s="180"/>
      <c r="K10" s="180"/>
      <c r="L10" s="180"/>
      <c r="M10" s="179"/>
      <c r="N10" s="180"/>
      <c r="O10" s="179"/>
      <c r="P10" s="181"/>
      <c r="Q10" s="182"/>
      <c r="R10" s="179" t="n">
        <v>169</v>
      </c>
      <c r="S10" s="182" t="n">
        <v>30</v>
      </c>
      <c r="T10" s="183" t="n">
        <v>13.94</v>
      </c>
      <c r="U10" s="184" t="n">
        <f aca="false">SUM(H10:T10)</f>
        <v>212.94</v>
      </c>
      <c r="V10" s="185" t="s">
        <v>88</v>
      </c>
      <c r="W10" s="186" t="s">
        <v>38</v>
      </c>
      <c r="X10" s="110" t="s">
        <v>39</v>
      </c>
      <c r="Y10" s="187" t="s">
        <v>86</v>
      </c>
      <c r="Z10" s="51"/>
    </row>
    <row r="11" s="10" customFormat="true" ht="14.1" hidden="false" customHeight="true" outlineLevel="0" collapsed="false">
      <c r="A11" s="172" t="s">
        <v>26</v>
      </c>
      <c r="B11" s="173" t="s">
        <v>94</v>
      </c>
      <c r="C11" s="174"/>
      <c r="D11" s="175" t="n">
        <v>1103101</v>
      </c>
      <c r="E11" s="176" t="n">
        <v>44936</v>
      </c>
      <c r="F11" s="177" t="s">
        <v>35</v>
      </c>
      <c r="G11" s="178" t="n">
        <v>44936</v>
      </c>
      <c r="H11" s="179"/>
      <c r="I11" s="180"/>
      <c r="J11" s="180"/>
      <c r="K11" s="180"/>
      <c r="L11" s="180"/>
      <c r="M11" s="179"/>
      <c r="N11" s="180"/>
      <c r="O11" s="179"/>
      <c r="P11" s="181"/>
      <c r="Q11" s="182"/>
      <c r="R11" s="179" t="n">
        <v>65</v>
      </c>
      <c r="S11" s="182" t="n">
        <v>10</v>
      </c>
      <c r="T11" s="183" t="n">
        <v>5.04</v>
      </c>
      <c r="U11" s="184" t="n">
        <f aca="false">SUM(H11:T11)</f>
        <v>80.04</v>
      </c>
      <c r="V11" s="185" t="s">
        <v>88</v>
      </c>
      <c r="W11" s="186" t="s">
        <v>38</v>
      </c>
      <c r="X11" s="110" t="s">
        <v>39</v>
      </c>
      <c r="Y11" s="187" t="s">
        <v>86</v>
      </c>
      <c r="Z11" s="51"/>
    </row>
    <row r="12" s="10" customFormat="true" ht="14.1" hidden="false" customHeight="true" outlineLevel="0" collapsed="false">
      <c r="A12" s="172" t="s">
        <v>26</v>
      </c>
      <c r="B12" s="173" t="s">
        <v>95</v>
      </c>
      <c r="C12" s="174"/>
      <c r="D12" s="175" t="n">
        <v>1123104</v>
      </c>
      <c r="E12" s="176" t="n">
        <v>44938</v>
      </c>
      <c r="F12" s="177" t="s">
        <v>35</v>
      </c>
      <c r="G12" s="178" t="n">
        <v>44938</v>
      </c>
      <c r="H12" s="179"/>
      <c r="I12" s="180"/>
      <c r="J12" s="180"/>
      <c r="K12" s="180"/>
      <c r="L12" s="180"/>
      <c r="M12" s="179"/>
      <c r="N12" s="180"/>
      <c r="O12" s="179"/>
      <c r="P12" s="181"/>
      <c r="Q12" s="182"/>
      <c r="R12" s="179" t="n">
        <v>39</v>
      </c>
      <c r="S12" s="182" t="n">
        <v>10</v>
      </c>
      <c r="T12" s="183" t="n">
        <v>4</v>
      </c>
      <c r="U12" s="184" t="n">
        <f aca="false">SUM(H12:T12)</f>
        <v>53</v>
      </c>
      <c r="V12" s="185" t="s">
        <v>88</v>
      </c>
      <c r="W12" s="186" t="s">
        <v>38</v>
      </c>
      <c r="X12" s="110" t="s">
        <v>39</v>
      </c>
      <c r="Y12" s="187" t="s">
        <v>86</v>
      </c>
      <c r="Z12" s="51"/>
    </row>
    <row r="13" s="10" customFormat="true" ht="14.1" hidden="false" customHeight="true" outlineLevel="0" collapsed="false">
      <c r="A13" s="172" t="s">
        <v>26</v>
      </c>
      <c r="B13" s="173" t="s">
        <v>96</v>
      </c>
      <c r="C13" s="174"/>
      <c r="D13" s="175" t="n">
        <v>1203102</v>
      </c>
      <c r="E13" s="176" t="n">
        <v>44946</v>
      </c>
      <c r="F13" s="177" t="s">
        <v>35</v>
      </c>
      <c r="G13" s="178" t="n">
        <v>44946</v>
      </c>
      <c r="H13" s="179"/>
      <c r="I13" s="180"/>
      <c r="J13" s="180"/>
      <c r="K13" s="180"/>
      <c r="L13" s="180"/>
      <c r="M13" s="179"/>
      <c r="N13" s="180"/>
      <c r="O13" s="179"/>
      <c r="P13" s="181"/>
      <c r="Q13" s="182"/>
      <c r="R13" s="179" t="n">
        <v>65</v>
      </c>
      <c r="S13" s="182"/>
      <c r="T13" s="183" t="n">
        <v>5.69</v>
      </c>
      <c r="U13" s="184" t="n">
        <f aca="false">SUM(H13:T13)</f>
        <v>70.69</v>
      </c>
      <c r="V13" s="185" t="s">
        <v>84</v>
      </c>
      <c r="W13" s="186" t="s">
        <v>97</v>
      </c>
      <c r="X13" s="110" t="s">
        <v>39</v>
      </c>
      <c r="Y13" s="187" t="s">
        <v>86</v>
      </c>
      <c r="Z13" s="51"/>
    </row>
    <row r="14" s="10" customFormat="true" ht="14.1" hidden="false" customHeight="true" outlineLevel="0" collapsed="false">
      <c r="A14" s="203" t="s">
        <v>26</v>
      </c>
      <c r="B14" s="204" t="s">
        <v>98</v>
      </c>
      <c r="C14" s="205"/>
      <c r="D14" s="206" t="n">
        <v>2143103</v>
      </c>
      <c r="E14" s="207" t="n">
        <v>44971</v>
      </c>
      <c r="F14" s="208" t="s">
        <v>35</v>
      </c>
      <c r="G14" s="209" t="n">
        <v>44971</v>
      </c>
      <c r="H14" s="210"/>
      <c r="I14" s="211"/>
      <c r="J14" s="211"/>
      <c r="K14" s="211"/>
      <c r="L14" s="211"/>
      <c r="M14" s="210"/>
      <c r="N14" s="211"/>
      <c r="O14" s="210"/>
      <c r="P14" s="212"/>
      <c r="Q14" s="213"/>
      <c r="R14" s="210" t="n">
        <v>90</v>
      </c>
      <c r="S14" s="213" t="n">
        <v>10</v>
      </c>
      <c r="T14" s="214" t="n">
        <v>8.44</v>
      </c>
      <c r="U14" s="215" t="n">
        <f aca="false">SUM(H14:T14)</f>
        <v>108.44</v>
      </c>
      <c r="V14" s="216" t="s">
        <v>88</v>
      </c>
      <c r="W14" s="217" t="s">
        <v>26</v>
      </c>
      <c r="X14" s="110" t="s">
        <v>39</v>
      </c>
      <c r="Y14" s="187"/>
      <c r="Z14" s="51"/>
    </row>
    <row r="15" s="10" customFormat="true" ht="14.1" hidden="false" customHeight="true" outlineLevel="0" collapsed="false">
      <c r="A15" s="203" t="s">
        <v>26</v>
      </c>
      <c r="B15" s="204" t="s">
        <v>99</v>
      </c>
      <c r="C15" s="205"/>
      <c r="D15" s="206" t="n">
        <v>2143104</v>
      </c>
      <c r="E15" s="207" t="n">
        <v>44971</v>
      </c>
      <c r="F15" s="208" t="s">
        <v>35</v>
      </c>
      <c r="G15" s="209" t="n">
        <v>44971</v>
      </c>
      <c r="H15" s="210"/>
      <c r="I15" s="211"/>
      <c r="J15" s="211"/>
      <c r="K15" s="211"/>
      <c r="L15" s="211"/>
      <c r="M15" s="210"/>
      <c r="N15" s="211"/>
      <c r="O15" s="210"/>
      <c r="P15" s="212"/>
      <c r="Q15" s="213"/>
      <c r="R15" s="210" t="n">
        <v>515</v>
      </c>
      <c r="S15" s="213" t="n">
        <v>90</v>
      </c>
      <c r="T15" s="214" t="n">
        <v>47.64</v>
      </c>
      <c r="U15" s="215" t="n">
        <f aca="false">SUM(H15:T15)</f>
        <v>652.64</v>
      </c>
      <c r="V15" s="216" t="s">
        <v>88</v>
      </c>
      <c r="W15" s="217" t="s">
        <v>26</v>
      </c>
      <c r="X15" s="110" t="s">
        <v>39</v>
      </c>
      <c r="Y15" s="187"/>
      <c r="Z15" s="51"/>
    </row>
    <row r="16" s="10" customFormat="true" ht="14.1" hidden="false" customHeight="true" outlineLevel="0" collapsed="false">
      <c r="A16" s="203" t="s">
        <v>26</v>
      </c>
      <c r="B16" s="204" t="s">
        <v>100</v>
      </c>
      <c r="C16" s="205" t="s">
        <v>101</v>
      </c>
      <c r="D16" s="206" t="n">
        <v>2163107</v>
      </c>
      <c r="E16" s="207" t="n">
        <v>44973</v>
      </c>
      <c r="F16" s="208" t="s">
        <v>102</v>
      </c>
      <c r="G16" s="209" t="n">
        <v>44973</v>
      </c>
      <c r="H16" s="210"/>
      <c r="I16" s="211"/>
      <c r="J16" s="211"/>
      <c r="K16" s="211"/>
      <c r="L16" s="211"/>
      <c r="M16" s="210"/>
      <c r="N16" s="211"/>
      <c r="O16" s="210"/>
      <c r="P16" s="212"/>
      <c r="Q16" s="213"/>
      <c r="R16" s="210" t="n">
        <v>37.5</v>
      </c>
      <c r="S16" s="213" t="n">
        <v>10</v>
      </c>
      <c r="T16" s="214" t="n">
        <v>50.92</v>
      </c>
      <c r="U16" s="215" t="n">
        <f aca="false">SUM(H16:T16)</f>
        <v>98.42</v>
      </c>
      <c r="V16" s="216" t="s">
        <v>88</v>
      </c>
      <c r="W16" s="217" t="s">
        <v>38</v>
      </c>
      <c r="X16" s="110" t="s">
        <v>39</v>
      </c>
      <c r="Y16" s="187"/>
      <c r="Z16" s="51"/>
    </row>
    <row r="17" s="237" customFormat="true" ht="14.1" hidden="false" customHeight="true" outlineLevel="0" collapsed="false">
      <c r="A17" s="294" t="s">
        <v>26</v>
      </c>
      <c r="B17" s="295" t="s">
        <v>103</v>
      </c>
      <c r="C17" s="296"/>
      <c r="D17" s="296" t="n">
        <v>2273101</v>
      </c>
      <c r="E17" s="297" t="n">
        <v>44984</v>
      </c>
      <c r="F17" s="298" t="s">
        <v>35</v>
      </c>
      <c r="G17" s="280" t="n">
        <v>44984</v>
      </c>
      <c r="H17" s="299"/>
      <c r="I17" s="299"/>
      <c r="J17" s="300"/>
      <c r="K17" s="300"/>
      <c r="L17" s="300"/>
      <c r="M17" s="299"/>
      <c r="N17" s="299"/>
      <c r="O17" s="299"/>
      <c r="P17" s="301"/>
      <c r="Q17" s="302"/>
      <c r="R17" s="299" t="n">
        <v>110</v>
      </c>
      <c r="S17" s="302"/>
      <c r="T17" s="303" t="n">
        <v>9.22</v>
      </c>
      <c r="U17" s="304" t="n">
        <f aca="false">SUM(H17:T17)</f>
        <v>119.22</v>
      </c>
      <c r="V17" s="305" t="s">
        <v>88</v>
      </c>
      <c r="W17" s="306" t="s">
        <v>47</v>
      </c>
      <c r="X17" s="307" t="s">
        <v>39</v>
      </c>
      <c r="Y17" s="308"/>
      <c r="Z17" s="236"/>
    </row>
    <row r="18" s="237" customFormat="true" ht="14.1" hidden="false" customHeight="true" outlineLevel="0" collapsed="false">
      <c r="A18" s="218" t="s">
        <v>26</v>
      </c>
      <c r="B18" s="219" t="s">
        <v>104</v>
      </c>
      <c r="C18" s="220"/>
      <c r="D18" s="221" t="n">
        <v>2273108</v>
      </c>
      <c r="E18" s="222" t="n">
        <v>44984</v>
      </c>
      <c r="F18" s="223" t="s">
        <v>35</v>
      </c>
      <c r="G18" s="209" t="n">
        <v>44985</v>
      </c>
      <c r="H18" s="224"/>
      <c r="I18" s="225"/>
      <c r="J18" s="225"/>
      <c r="K18" s="225"/>
      <c r="L18" s="225"/>
      <c r="M18" s="224"/>
      <c r="N18" s="225"/>
      <c r="O18" s="224"/>
      <c r="P18" s="226"/>
      <c r="Q18" s="227"/>
      <c r="R18" s="224" t="n">
        <v>120</v>
      </c>
      <c r="S18" s="227" t="n">
        <v>25</v>
      </c>
      <c r="T18" s="228" t="n">
        <v>10.2</v>
      </c>
      <c r="U18" s="229" t="n">
        <f aca="false">SUM(H18:T18)</f>
        <v>155.2</v>
      </c>
      <c r="V18" s="230" t="s">
        <v>88</v>
      </c>
      <c r="W18" s="231" t="s">
        <v>38</v>
      </c>
      <c r="X18" s="232" t="s">
        <v>39</v>
      </c>
      <c r="Y18" s="235"/>
      <c r="Z18" s="236"/>
    </row>
    <row r="19" s="10" customFormat="true" ht="14.1" hidden="false" customHeight="true" outlineLevel="0" collapsed="false">
      <c r="A19" s="242" t="s">
        <v>26</v>
      </c>
      <c r="B19" s="243" t="s">
        <v>105</v>
      </c>
      <c r="C19" s="244"/>
      <c r="D19" s="245" t="n">
        <v>3023108</v>
      </c>
      <c r="E19" s="246" t="n">
        <v>44987</v>
      </c>
      <c r="F19" s="247" t="s">
        <v>35</v>
      </c>
      <c r="G19" s="248" t="n">
        <v>44987</v>
      </c>
      <c r="H19" s="249"/>
      <c r="I19" s="250"/>
      <c r="J19" s="250"/>
      <c r="K19" s="250"/>
      <c r="L19" s="250"/>
      <c r="M19" s="249"/>
      <c r="N19" s="250"/>
      <c r="O19" s="249"/>
      <c r="P19" s="251"/>
      <c r="Q19" s="252"/>
      <c r="R19" s="249" t="n">
        <v>213</v>
      </c>
      <c r="S19" s="252" t="n">
        <v>50</v>
      </c>
      <c r="T19" s="253" t="n">
        <v>21.83</v>
      </c>
      <c r="U19" s="254" t="n">
        <f aca="false">SUM(H19:T19)</f>
        <v>284.83</v>
      </c>
      <c r="V19" s="255" t="s">
        <v>88</v>
      </c>
      <c r="W19" s="256" t="s">
        <v>38</v>
      </c>
      <c r="X19" s="110" t="s">
        <v>39</v>
      </c>
      <c r="Y19" s="187"/>
      <c r="Z19" s="51"/>
    </row>
    <row r="20" s="10" customFormat="true" ht="14.1" hidden="false" customHeight="true" outlineLevel="0" collapsed="false">
      <c r="A20" s="242" t="s">
        <v>26</v>
      </c>
      <c r="B20" s="243" t="s">
        <v>106</v>
      </c>
      <c r="C20" s="244"/>
      <c r="D20" s="245" t="n">
        <v>3093103</v>
      </c>
      <c r="E20" s="246" t="n">
        <v>44994</v>
      </c>
      <c r="F20" s="247" t="s">
        <v>35</v>
      </c>
      <c r="G20" s="248" t="n">
        <v>44995</v>
      </c>
      <c r="H20" s="249"/>
      <c r="I20" s="250"/>
      <c r="J20" s="250"/>
      <c r="K20" s="250"/>
      <c r="L20" s="250"/>
      <c r="M20" s="249"/>
      <c r="N20" s="250"/>
      <c r="O20" s="249"/>
      <c r="P20" s="251"/>
      <c r="Q20" s="252"/>
      <c r="R20" s="249" t="n">
        <v>105</v>
      </c>
      <c r="S20" s="252" t="n">
        <v>37.5</v>
      </c>
      <c r="T20" s="253" t="n">
        <v>9.71</v>
      </c>
      <c r="U20" s="254" t="n">
        <f aca="false">SUM(H20:T20)</f>
        <v>152.21</v>
      </c>
      <c r="V20" s="255" t="s">
        <v>37</v>
      </c>
      <c r="W20" s="256" t="s">
        <v>38</v>
      </c>
      <c r="X20" s="110" t="s">
        <v>39</v>
      </c>
      <c r="Y20" s="187"/>
      <c r="Z20" s="51"/>
    </row>
    <row r="21" s="10" customFormat="true" ht="14.1" hidden="false" customHeight="true" outlineLevel="0" collapsed="false">
      <c r="A21" s="242" t="s">
        <v>26</v>
      </c>
      <c r="B21" s="243" t="s">
        <v>107</v>
      </c>
      <c r="C21" s="244"/>
      <c r="D21" s="245" t="n">
        <v>3093104</v>
      </c>
      <c r="E21" s="246" t="n">
        <v>44994</v>
      </c>
      <c r="F21" s="247" t="s">
        <v>35</v>
      </c>
      <c r="G21" s="248" t="n">
        <v>44995</v>
      </c>
      <c r="H21" s="249"/>
      <c r="I21" s="250"/>
      <c r="J21" s="250"/>
      <c r="K21" s="250"/>
      <c r="L21" s="250"/>
      <c r="M21" s="249"/>
      <c r="N21" s="250"/>
      <c r="O21" s="249"/>
      <c r="P21" s="251"/>
      <c r="Q21" s="252"/>
      <c r="R21" s="249" t="n">
        <v>39</v>
      </c>
      <c r="S21" s="252" t="n">
        <v>12.5</v>
      </c>
      <c r="T21" s="253" t="n">
        <v>4</v>
      </c>
      <c r="U21" s="254" t="n">
        <f aca="false">SUM(H21:T21)</f>
        <v>55.5</v>
      </c>
      <c r="V21" s="255" t="s">
        <v>37</v>
      </c>
      <c r="W21" s="256" t="s">
        <v>38</v>
      </c>
      <c r="X21" s="110" t="s">
        <v>39</v>
      </c>
      <c r="Y21" s="187"/>
      <c r="Z21" s="51"/>
    </row>
    <row r="22" s="10" customFormat="true" ht="14.1" hidden="false" customHeight="true" outlineLevel="0" collapsed="false">
      <c r="A22" s="242" t="s">
        <v>26</v>
      </c>
      <c r="B22" s="243" t="s">
        <v>108</v>
      </c>
      <c r="C22" s="244"/>
      <c r="D22" s="245" t="n">
        <v>3133101</v>
      </c>
      <c r="E22" s="246" t="n">
        <v>44998</v>
      </c>
      <c r="F22" s="247" t="s">
        <v>35</v>
      </c>
      <c r="G22" s="248" t="n">
        <v>44998</v>
      </c>
      <c r="H22" s="249"/>
      <c r="I22" s="250"/>
      <c r="J22" s="250"/>
      <c r="K22" s="250"/>
      <c r="L22" s="250"/>
      <c r="M22" s="249"/>
      <c r="N22" s="250"/>
      <c r="O22" s="249"/>
      <c r="P22" s="251"/>
      <c r="Q22" s="252"/>
      <c r="R22" s="249" t="n">
        <v>298</v>
      </c>
      <c r="S22" s="252" t="n">
        <v>62.5</v>
      </c>
      <c r="T22" s="253" t="n">
        <v>24.59</v>
      </c>
      <c r="U22" s="254" t="n">
        <f aca="false">SUM(H22:T22)</f>
        <v>385.09</v>
      </c>
      <c r="V22" s="255" t="s">
        <v>37</v>
      </c>
      <c r="W22" s="256" t="s">
        <v>109</v>
      </c>
      <c r="X22" s="110" t="s">
        <v>39</v>
      </c>
      <c r="Y22" s="187"/>
      <c r="Z22" s="51"/>
    </row>
    <row r="23" s="10" customFormat="true" ht="14.1" hidden="false" customHeight="true" outlineLevel="0" collapsed="false">
      <c r="A23" s="242" t="s">
        <v>26</v>
      </c>
      <c r="B23" s="243" t="s">
        <v>110</v>
      </c>
      <c r="C23" s="244"/>
      <c r="D23" s="245" t="n">
        <v>3203101</v>
      </c>
      <c r="E23" s="246" t="n">
        <v>45005</v>
      </c>
      <c r="F23" s="247" t="s">
        <v>35</v>
      </c>
      <c r="G23" s="248" t="n">
        <v>45005</v>
      </c>
      <c r="H23" s="249"/>
      <c r="I23" s="250"/>
      <c r="J23" s="250"/>
      <c r="K23" s="250"/>
      <c r="L23" s="250"/>
      <c r="M23" s="249"/>
      <c r="N23" s="250"/>
      <c r="O23" s="249"/>
      <c r="P23" s="251"/>
      <c r="Q23" s="252"/>
      <c r="R23" s="249" t="n">
        <v>130</v>
      </c>
      <c r="S23" s="252" t="n">
        <v>25</v>
      </c>
      <c r="T23" s="253" t="n">
        <v>11.21</v>
      </c>
      <c r="U23" s="254" t="n">
        <f aca="false">SUM(H23:T23)</f>
        <v>166.21</v>
      </c>
      <c r="V23" s="255" t="s">
        <v>37</v>
      </c>
      <c r="W23" s="256" t="s">
        <v>38</v>
      </c>
      <c r="X23" s="110" t="s">
        <v>39</v>
      </c>
      <c r="Y23" s="187"/>
      <c r="Z23" s="51"/>
    </row>
    <row r="24" s="10" customFormat="true" ht="14.1" hidden="false" customHeight="true" outlineLevel="0" collapsed="false">
      <c r="A24" s="242" t="s">
        <v>26</v>
      </c>
      <c r="B24" s="243" t="s">
        <v>111</v>
      </c>
      <c r="C24" s="244"/>
      <c r="D24" s="245" t="n">
        <v>3203103</v>
      </c>
      <c r="E24" s="246" t="n">
        <v>45005</v>
      </c>
      <c r="F24" s="247" t="s">
        <v>35</v>
      </c>
      <c r="G24" s="248" t="n">
        <v>45005</v>
      </c>
      <c r="H24" s="249"/>
      <c r="I24" s="250"/>
      <c r="J24" s="250"/>
      <c r="K24" s="250"/>
      <c r="L24" s="250"/>
      <c r="M24" s="249"/>
      <c r="N24" s="250"/>
      <c r="O24" s="249"/>
      <c r="P24" s="251"/>
      <c r="Q24" s="252"/>
      <c r="R24" s="249" t="n">
        <v>156</v>
      </c>
      <c r="S24" s="252"/>
      <c r="T24" s="253" t="n">
        <v>13.65</v>
      </c>
      <c r="U24" s="254" t="n">
        <f aca="false">SUM(H24:T24)</f>
        <v>169.65</v>
      </c>
      <c r="V24" s="255" t="s">
        <v>84</v>
      </c>
      <c r="W24" s="256" t="s">
        <v>112</v>
      </c>
      <c r="X24" s="110" t="s">
        <v>39</v>
      </c>
      <c r="Y24" s="187"/>
      <c r="Z24" s="51"/>
    </row>
    <row r="25" s="10" customFormat="true" ht="14.1" hidden="false" customHeight="true" outlineLevel="0" collapsed="false">
      <c r="A25" s="242" t="s">
        <v>26</v>
      </c>
      <c r="B25" s="243" t="s">
        <v>113</v>
      </c>
      <c r="C25" s="244" t="s">
        <v>114</v>
      </c>
      <c r="D25" s="245" t="n">
        <v>3213106</v>
      </c>
      <c r="E25" s="246" t="n">
        <v>45006</v>
      </c>
      <c r="F25" s="247" t="s">
        <v>35</v>
      </c>
      <c r="G25" s="248" t="n">
        <v>45006</v>
      </c>
      <c r="H25" s="249"/>
      <c r="I25" s="250"/>
      <c r="J25" s="250"/>
      <c r="K25" s="250"/>
      <c r="L25" s="250"/>
      <c r="M25" s="249"/>
      <c r="N25" s="250"/>
      <c r="O25" s="249"/>
      <c r="P25" s="251"/>
      <c r="Q25" s="252"/>
      <c r="R25" s="249" t="n">
        <v>45</v>
      </c>
      <c r="S25" s="252" t="n">
        <v>12.5</v>
      </c>
      <c r="T25" s="253" t="n">
        <v>3.94</v>
      </c>
      <c r="U25" s="254" t="n">
        <f aca="false">SUM(H25:T25)</f>
        <v>61.44</v>
      </c>
      <c r="V25" s="255" t="s">
        <v>37</v>
      </c>
      <c r="W25" s="256" t="s">
        <v>48</v>
      </c>
      <c r="X25" s="110" t="s">
        <v>39</v>
      </c>
      <c r="Y25" s="187"/>
      <c r="Z25" s="51"/>
    </row>
    <row r="26" s="10" customFormat="true" ht="14.1" hidden="false" customHeight="true" outlineLevel="0" collapsed="false">
      <c r="A26" s="242" t="s">
        <v>26</v>
      </c>
      <c r="B26" s="243" t="s">
        <v>115</v>
      </c>
      <c r="C26" s="244"/>
      <c r="D26" s="245" t="n">
        <v>3223101</v>
      </c>
      <c r="E26" s="246" t="n">
        <v>45007</v>
      </c>
      <c r="F26" s="247" t="s">
        <v>35</v>
      </c>
      <c r="G26" s="248" t="n">
        <v>45007</v>
      </c>
      <c r="H26" s="249"/>
      <c r="I26" s="250"/>
      <c r="J26" s="250"/>
      <c r="K26" s="250"/>
      <c r="L26" s="250"/>
      <c r="M26" s="249"/>
      <c r="N26" s="250"/>
      <c r="O26" s="249"/>
      <c r="P26" s="251"/>
      <c r="Q26" s="252"/>
      <c r="R26" s="249" t="n">
        <v>247</v>
      </c>
      <c r="S26" s="252" t="n">
        <v>62.5</v>
      </c>
      <c r="T26" s="253" t="n">
        <v>21</v>
      </c>
      <c r="U26" s="254" t="n">
        <f aca="false">SUM(H26:T26)</f>
        <v>330.5</v>
      </c>
      <c r="V26" s="255" t="s">
        <v>37</v>
      </c>
      <c r="W26" s="256" t="s">
        <v>38</v>
      </c>
      <c r="X26" s="110" t="s">
        <v>39</v>
      </c>
      <c r="Y26" s="187"/>
      <c r="Z26" s="51"/>
    </row>
    <row r="27" s="10" customFormat="true" ht="14.1" hidden="false" customHeight="true" outlineLevel="0" collapsed="false">
      <c r="A27" s="242" t="s">
        <v>26</v>
      </c>
      <c r="B27" s="243" t="s">
        <v>116</v>
      </c>
      <c r="C27" s="244"/>
      <c r="D27" s="245" t="n">
        <v>3223103</v>
      </c>
      <c r="E27" s="246" t="n">
        <v>45007</v>
      </c>
      <c r="F27" s="247" t="s">
        <v>35</v>
      </c>
      <c r="G27" s="248" t="n">
        <v>45007</v>
      </c>
      <c r="H27" s="249"/>
      <c r="I27" s="250"/>
      <c r="J27" s="250"/>
      <c r="K27" s="250"/>
      <c r="L27" s="250"/>
      <c r="M27" s="249"/>
      <c r="N27" s="250"/>
      <c r="O27" s="249"/>
      <c r="P27" s="251"/>
      <c r="Q27" s="252"/>
      <c r="R27" s="249" t="n">
        <v>188</v>
      </c>
      <c r="S27" s="252" t="n">
        <v>50</v>
      </c>
      <c r="T27" s="253" t="n">
        <v>16.22</v>
      </c>
      <c r="U27" s="254" t="n">
        <f aca="false">SUM(H27:T27)</f>
        <v>254.22</v>
      </c>
      <c r="V27" s="255" t="s">
        <v>37</v>
      </c>
      <c r="W27" s="256" t="s">
        <v>38</v>
      </c>
      <c r="X27" s="110" t="s">
        <v>39</v>
      </c>
      <c r="Y27" s="187"/>
      <c r="Z27" s="51"/>
    </row>
    <row r="28" s="10" customFormat="true" ht="14.1" hidden="false" customHeight="true" outlineLevel="0" collapsed="false">
      <c r="A28" s="309" t="s">
        <v>26</v>
      </c>
      <c r="B28" s="310" t="s">
        <v>113</v>
      </c>
      <c r="C28" s="311" t="s">
        <v>114</v>
      </c>
      <c r="D28" s="311" t="n">
        <v>3243105</v>
      </c>
      <c r="E28" s="312" t="n">
        <v>45009</v>
      </c>
      <c r="F28" s="313" t="s">
        <v>35</v>
      </c>
      <c r="G28" s="314" t="n">
        <v>45009</v>
      </c>
      <c r="H28" s="315"/>
      <c r="I28" s="315"/>
      <c r="J28" s="316"/>
      <c r="K28" s="316"/>
      <c r="L28" s="316"/>
      <c r="M28" s="315"/>
      <c r="N28" s="315"/>
      <c r="O28" s="315"/>
      <c r="P28" s="317"/>
      <c r="Q28" s="318"/>
      <c r="R28" s="315" t="n">
        <v>45</v>
      </c>
      <c r="S28" s="318" t="n">
        <v>12.5</v>
      </c>
      <c r="T28" s="319" t="n">
        <v>3.94</v>
      </c>
      <c r="U28" s="320" t="n">
        <f aca="false">SUM(H28:T28)</f>
        <v>61.44</v>
      </c>
      <c r="V28" s="321" t="s">
        <v>37</v>
      </c>
      <c r="W28" s="322" t="s">
        <v>38</v>
      </c>
      <c r="X28" s="29" t="s">
        <v>39</v>
      </c>
      <c r="Y28" s="289"/>
      <c r="Z28" s="51"/>
    </row>
    <row r="29" s="10" customFormat="true" ht="14.1" hidden="false" customHeight="true" outlineLevel="0" collapsed="false">
      <c r="A29" s="242" t="s">
        <v>26</v>
      </c>
      <c r="B29" s="243" t="s">
        <v>110</v>
      </c>
      <c r="C29" s="244"/>
      <c r="D29" s="245" t="n">
        <v>3273102</v>
      </c>
      <c r="E29" s="246" t="n">
        <v>45012</v>
      </c>
      <c r="F29" s="247" t="s">
        <v>35</v>
      </c>
      <c r="G29" s="248" t="n">
        <v>45012</v>
      </c>
      <c r="H29" s="249"/>
      <c r="I29" s="250"/>
      <c r="J29" s="250"/>
      <c r="K29" s="250"/>
      <c r="L29" s="250"/>
      <c r="M29" s="249"/>
      <c r="N29" s="250"/>
      <c r="O29" s="249"/>
      <c r="P29" s="251"/>
      <c r="Q29" s="252"/>
      <c r="R29" s="249" t="n">
        <v>427</v>
      </c>
      <c r="S29" s="252" t="n">
        <v>87.5</v>
      </c>
      <c r="T29" s="253" t="n">
        <v>36.83</v>
      </c>
      <c r="U29" s="254" t="n">
        <f aca="false">SUM(H29:T29)</f>
        <v>551.33</v>
      </c>
      <c r="V29" s="255" t="s">
        <v>37</v>
      </c>
      <c r="W29" s="256" t="s">
        <v>38</v>
      </c>
      <c r="X29" s="110" t="s">
        <v>39</v>
      </c>
      <c r="Y29" s="187"/>
      <c r="Z29" s="51"/>
    </row>
    <row r="30" s="10" customFormat="true" ht="14.1" hidden="false" customHeight="true" outlineLevel="0" collapsed="false">
      <c r="A30" s="242" t="s">
        <v>26</v>
      </c>
      <c r="B30" s="243" t="s">
        <v>117</v>
      </c>
      <c r="C30" s="244" t="s">
        <v>118</v>
      </c>
      <c r="D30" s="245" t="n">
        <v>3283106</v>
      </c>
      <c r="E30" s="246" t="n">
        <v>45013</v>
      </c>
      <c r="F30" s="247" t="s">
        <v>35</v>
      </c>
      <c r="G30" s="248" t="n">
        <v>45013</v>
      </c>
      <c r="H30" s="249"/>
      <c r="I30" s="250"/>
      <c r="J30" s="250"/>
      <c r="K30" s="250"/>
      <c r="L30" s="250"/>
      <c r="M30" s="249"/>
      <c r="N30" s="250"/>
      <c r="O30" s="249"/>
      <c r="P30" s="251"/>
      <c r="Q30" s="252"/>
      <c r="R30" s="249" t="n">
        <v>650</v>
      </c>
      <c r="S30" s="252" t="n">
        <v>125</v>
      </c>
      <c r="T30" s="253" t="n">
        <v>56.88</v>
      </c>
      <c r="U30" s="254" t="n">
        <f aca="false">SUM(H30:T30)</f>
        <v>831.88</v>
      </c>
      <c r="V30" s="255" t="s">
        <v>37</v>
      </c>
      <c r="W30" s="256" t="s">
        <v>38</v>
      </c>
      <c r="X30" s="110" t="s">
        <v>39</v>
      </c>
      <c r="Y30" s="187"/>
      <c r="Z30" s="51"/>
    </row>
    <row r="31" s="10" customFormat="true" ht="14.1" hidden="false" customHeight="true" outlineLevel="0" collapsed="false">
      <c r="A31" s="242" t="s">
        <v>26</v>
      </c>
      <c r="B31" s="243" t="s">
        <v>119</v>
      </c>
      <c r="C31" s="244"/>
      <c r="D31" s="245" t="n">
        <v>3283107</v>
      </c>
      <c r="E31" s="246" t="n">
        <v>45013</v>
      </c>
      <c r="F31" s="247" t="s">
        <v>35</v>
      </c>
      <c r="G31" s="248" t="n">
        <v>45013</v>
      </c>
      <c r="H31" s="249"/>
      <c r="I31" s="250"/>
      <c r="J31" s="250"/>
      <c r="K31" s="250"/>
      <c r="L31" s="250"/>
      <c r="M31" s="249"/>
      <c r="N31" s="250"/>
      <c r="O31" s="249"/>
      <c r="P31" s="251"/>
      <c r="Q31" s="252"/>
      <c r="R31" s="249" t="n">
        <v>376</v>
      </c>
      <c r="S31" s="252" t="n">
        <v>62.5</v>
      </c>
      <c r="T31" s="253" t="n">
        <v>34.78</v>
      </c>
      <c r="U31" s="254" t="n">
        <f aca="false">SUM(H31:T31)</f>
        <v>473.28</v>
      </c>
      <c r="V31" s="255" t="s">
        <v>37</v>
      </c>
      <c r="W31" s="256" t="s">
        <v>38</v>
      </c>
      <c r="X31" s="110" t="s">
        <v>39</v>
      </c>
      <c r="Y31" s="187"/>
      <c r="Z31" s="51"/>
    </row>
    <row r="32" s="10" customFormat="true" ht="14.1" hidden="false" customHeight="true" outlineLevel="0" collapsed="false">
      <c r="A32" s="100" t="s">
        <v>26</v>
      </c>
      <c r="B32" s="2" t="s">
        <v>120</v>
      </c>
      <c r="C32" s="3"/>
      <c r="D32" s="101" t="n">
        <v>3293103</v>
      </c>
      <c r="E32" s="102" t="n">
        <v>45014</v>
      </c>
      <c r="F32" s="103" t="s">
        <v>35</v>
      </c>
      <c r="G32" s="5" t="n">
        <v>45014</v>
      </c>
      <c r="H32" s="105"/>
      <c r="I32" s="106"/>
      <c r="J32" s="106"/>
      <c r="K32" s="106"/>
      <c r="L32" s="106"/>
      <c r="M32" s="105"/>
      <c r="N32" s="106"/>
      <c r="O32" s="105"/>
      <c r="P32" s="7"/>
      <c r="Q32" s="107"/>
      <c r="R32" s="105" t="n">
        <v>208</v>
      </c>
      <c r="S32" s="107" t="n">
        <v>50</v>
      </c>
      <c r="T32" s="108" t="n">
        <v>17.94</v>
      </c>
      <c r="U32" s="95" t="n">
        <f aca="false">SUM(H32:T32)</f>
        <v>275.94</v>
      </c>
      <c r="V32" s="109" t="s">
        <v>37</v>
      </c>
      <c r="W32" s="10" t="s">
        <v>38</v>
      </c>
      <c r="X32" s="110" t="s">
        <v>39</v>
      </c>
      <c r="Y32" s="187"/>
      <c r="Z32" s="51"/>
    </row>
    <row r="33" s="10" customFormat="true" ht="14.1" hidden="false" customHeight="true" outlineLevel="0" collapsed="false">
      <c r="A33" s="100" t="s">
        <v>26</v>
      </c>
      <c r="B33" s="2" t="s">
        <v>121</v>
      </c>
      <c r="C33" s="3"/>
      <c r="D33" s="101" t="n">
        <v>3303101</v>
      </c>
      <c r="E33" s="102" t="n">
        <v>45015</v>
      </c>
      <c r="F33" s="103" t="s">
        <v>35</v>
      </c>
      <c r="G33" s="5" t="n">
        <v>45015</v>
      </c>
      <c r="H33" s="105"/>
      <c r="I33" s="106"/>
      <c r="J33" s="106"/>
      <c r="K33" s="106"/>
      <c r="L33" s="106"/>
      <c r="M33" s="105"/>
      <c r="N33" s="106"/>
      <c r="O33" s="105"/>
      <c r="P33" s="7"/>
      <c r="Q33" s="107"/>
      <c r="R33" s="105" t="n">
        <v>110</v>
      </c>
      <c r="S33" s="107" t="n">
        <v>25</v>
      </c>
      <c r="T33" s="108" t="n">
        <v>11.28</v>
      </c>
      <c r="U33" s="95" t="n">
        <f aca="false">SUM(H33:T33)</f>
        <v>146.28</v>
      </c>
      <c r="V33" s="109" t="s">
        <v>37</v>
      </c>
      <c r="W33" s="10" t="s">
        <v>47</v>
      </c>
      <c r="X33" s="110" t="s">
        <v>39</v>
      </c>
      <c r="Y33" s="187"/>
      <c r="Z33" s="51"/>
    </row>
    <row r="34" s="10" customFormat="true" ht="14.1" hidden="false" customHeight="true" outlineLevel="0" collapsed="false">
      <c r="A34" s="100" t="s">
        <v>26</v>
      </c>
      <c r="B34" s="2" t="s">
        <v>122</v>
      </c>
      <c r="C34" s="3" t="s">
        <v>123</v>
      </c>
      <c r="D34" s="101" t="n">
        <v>3313101</v>
      </c>
      <c r="E34" s="102" t="n">
        <v>45016</v>
      </c>
      <c r="F34" s="103" t="s">
        <v>35</v>
      </c>
      <c r="G34" s="5" t="n">
        <v>45016</v>
      </c>
      <c r="H34" s="105"/>
      <c r="I34" s="106"/>
      <c r="J34" s="106"/>
      <c r="K34" s="106"/>
      <c r="L34" s="106"/>
      <c r="M34" s="105"/>
      <c r="N34" s="106"/>
      <c r="O34" s="105"/>
      <c r="P34" s="7"/>
      <c r="Q34" s="107"/>
      <c r="R34" s="105" t="n">
        <v>-50</v>
      </c>
      <c r="S34" s="107"/>
      <c r="T34" s="108" t="n">
        <v>-4.63</v>
      </c>
      <c r="U34" s="95" t="n">
        <f aca="false">SUM(H34:T34)</f>
        <v>-54.63</v>
      </c>
      <c r="V34" s="109" t="s">
        <v>84</v>
      </c>
      <c r="W34" s="10" t="s">
        <v>26</v>
      </c>
      <c r="X34" s="110" t="s">
        <v>39</v>
      </c>
      <c r="Y34" s="187"/>
      <c r="Z34" s="51"/>
    </row>
    <row r="35" s="10" customFormat="true" ht="13.2" hidden="false" customHeight="true" outlineLevel="0" collapsed="false">
      <c r="A35" s="100" t="s">
        <v>26</v>
      </c>
      <c r="B35" s="2" t="s">
        <v>124</v>
      </c>
      <c r="C35" s="3"/>
      <c r="D35" s="101" t="n">
        <v>4063105</v>
      </c>
      <c r="E35" s="102" t="n">
        <v>45022</v>
      </c>
      <c r="F35" s="103" t="s">
        <v>35</v>
      </c>
      <c r="G35" s="5" t="n">
        <v>45023</v>
      </c>
      <c r="H35" s="105"/>
      <c r="I35" s="106"/>
      <c r="J35" s="106"/>
      <c r="K35" s="106"/>
      <c r="L35" s="106"/>
      <c r="M35" s="105"/>
      <c r="N35" s="106"/>
      <c r="O35" s="105"/>
      <c r="P35" s="7"/>
      <c r="Q35" s="107"/>
      <c r="R35" s="105" t="n">
        <v>129</v>
      </c>
      <c r="S35" s="107" t="n">
        <v>37.5</v>
      </c>
      <c r="T35" s="108" t="n">
        <v>10.97</v>
      </c>
      <c r="U35" s="95" t="n">
        <f aca="false">SUM(H35:T35)</f>
        <v>177.47</v>
      </c>
      <c r="V35" s="109" t="s">
        <v>37</v>
      </c>
      <c r="W35" s="10" t="s">
        <v>38</v>
      </c>
      <c r="X35" s="110" t="s">
        <v>39</v>
      </c>
      <c r="Y35" s="187"/>
      <c r="Z35" s="51"/>
    </row>
    <row r="36" s="10" customFormat="true" ht="13.2" hidden="false" customHeight="true" outlineLevel="0" collapsed="false">
      <c r="A36" s="100" t="s">
        <v>26</v>
      </c>
      <c r="B36" s="2" t="s">
        <v>125</v>
      </c>
      <c r="C36" s="3" t="s">
        <v>126</v>
      </c>
      <c r="D36" s="101" t="n">
        <v>4073101</v>
      </c>
      <c r="E36" s="102" t="n">
        <v>45023</v>
      </c>
      <c r="F36" s="103" t="s">
        <v>35</v>
      </c>
      <c r="G36" s="5" t="n">
        <v>45023</v>
      </c>
      <c r="H36" s="105"/>
      <c r="I36" s="106"/>
      <c r="J36" s="106"/>
      <c r="K36" s="106"/>
      <c r="L36" s="106"/>
      <c r="M36" s="105"/>
      <c r="N36" s="106"/>
      <c r="O36" s="105"/>
      <c r="P36" s="7"/>
      <c r="Q36" s="107"/>
      <c r="R36" s="105" t="n">
        <v>149</v>
      </c>
      <c r="S36" s="107" t="n">
        <v>37.5</v>
      </c>
      <c r="T36" s="108" t="n">
        <v>15.27</v>
      </c>
      <c r="U36" s="95" t="n">
        <f aca="false">SUM(H36:T36)</f>
        <v>201.77</v>
      </c>
      <c r="V36" s="109" t="s">
        <v>37</v>
      </c>
      <c r="W36" s="10" t="s">
        <v>38</v>
      </c>
      <c r="X36" s="110" t="s">
        <v>39</v>
      </c>
      <c r="Y36" s="187"/>
      <c r="Z36" s="51"/>
    </row>
    <row r="37" s="10" customFormat="true" ht="13.2" hidden="false" customHeight="true" outlineLevel="0" collapsed="false">
      <c r="A37" s="100" t="s">
        <v>26</v>
      </c>
      <c r="B37" s="2" t="s">
        <v>108</v>
      </c>
      <c r="C37" s="3"/>
      <c r="D37" s="101" t="n">
        <v>4103101</v>
      </c>
      <c r="E37" s="102" t="n">
        <v>45026</v>
      </c>
      <c r="F37" s="103" t="s">
        <v>35</v>
      </c>
      <c r="G37" s="5" t="n">
        <v>45026</v>
      </c>
      <c r="H37" s="105"/>
      <c r="I37" s="106"/>
      <c r="J37" s="106"/>
      <c r="K37" s="106"/>
      <c r="L37" s="106"/>
      <c r="M37" s="105"/>
      <c r="N37" s="106"/>
      <c r="O37" s="105"/>
      <c r="P37" s="7"/>
      <c r="Q37" s="107"/>
      <c r="R37" s="105" t="n">
        <v>415</v>
      </c>
      <c r="S37" s="107" t="n">
        <v>62.5</v>
      </c>
      <c r="T37" s="108" t="n">
        <v>34.24</v>
      </c>
      <c r="U37" s="95" t="n">
        <f aca="false">SUM(H37:T37)</f>
        <v>511.74</v>
      </c>
      <c r="V37" s="109" t="s">
        <v>37</v>
      </c>
      <c r="W37" s="10" t="s">
        <v>38</v>
      </c>
      <c r="X37" s="110" t="s">
        <v>39</v>
      </c>
      <c r="Y37" s="187"/>
      <c r="Z37" s="51"/>
    </row>
    <row r="38" s="10" customFormat="true" ht="13.2" hidden="false" customHeight="true" outlineLevel="0" collapsed="false">
      <c r="A38" s="100" t="s">
        <v>26</v>
      </c>
      <c r="B38" s="2" t="s">
        <v>127</v>
      </c>
      <c r="C38" s="3"/>
      <c r="D38" s="101" t="n">
        <v>4103105</v>
      </c>
      <c r="E38" s="102" t="n">
        <v>45026</v>
      </c>
      <c r="F38" s="103" t="s">
        <v>35</v>
      </c>
      <c r="G38" s="5" t="n">
        <v>45026</v>
      </c>
      <c r="H38" s="105"/>
      <c r="I38" s="106"/>
      <c r="J38" s="106"/>
      <c r="K38" s="106"/>
      <c r="L38" s="106"/>
      <c r="M38" s="105"/>
      <c r="N38" s="106"/>
      <c r="O38" s="105"/>
      <c r="P38" s="7"/>
      <c r="Q38" s="107"/>
      <c r="R38" s="105" t="n">
        <v>308</v>
      </c>
      <c r="S38" s="107" t="n">
        <v>62.5</v>
      </c>
      <c r="T38" s="108" t="n">
        <v>26.57</v>
      </c>
      <c r="U38" s="95" t="n">
        <f aca="false">SUM(H38:T38)</f>
        <v>397.07</v>
      </c>
      <c r="V38" s="109" t="s">
        <v>37</v>
      </c>
      <c r="W38" s="10" t="s">
        <v>38</v>
      </c>
      <c r="X38" s="110" t="s">
        <v>39</v>
      </c>
      <c r="Y38" s="187"/>
      <c r="Z38" s="51"/>
    </row>
    <row r="39" s="10" customFormat="true" ht="13.2" hidden="false" customHeight="true" outlineLevel="0" collapsed="false">
      <c r="A39" s="100" t="s">
        <v>26</v>
      </c>
      <c r="B39" s="2" t="s">
        <v>128</v>
      </c>
      <c r="C39" s="3"/>
      <c r="D39" s="101" t="n">
        <v>4113105</v>
      </c>
      <c r="E39" s="102" t="n">
        <v>45027</v>
      </c>
      <c r="F39" s="103" t="s">
        <v>35</v>
      </c>
      <c r="G39" s="5" t="n">
        <v>45027</v>
      </c>
      <c r="H39" s="105"/>
      <c r="I39" s="106"/>
      <c r="J39" s="106"/>
      <c r="K39" s="106"/>
      <c r="L39" s="106"/>
      <c r="M39" s="105"/>
      <c r="N39" s="106"/>
      <c r="O39" s="105"/>
      <c r="P39" s="7"/>
      <c r="Q39" s="107"/>
      <c r="R39" s="105" t="n">
        <v>1125</v>
      </c>
      <c r="S39" s="107" t="n">
        <v>187.5</v>
      </c>
      <c r="T39" s="108" t="n">
        <v>81.56</v>
      </c>
      <c r="U39" s="95" t="n">
        <f aca="false">SUM(H39:T39)</f>
        <v>1394.06</v>
      </c>
      <c r="V39" s="109" t="s">
        <v>129</v>
      </c>
      <c r="W39" s="10" t="s">
        <v>130</v>
      </c>
      <c r="X39" s="110" t="s">
        <v>39</v>
      </c>
      <c r="Y39" s="187"/>
      <c r="Z39" s="51"/>
    </row>
    <row r="40" s="10" customFormat="true" ht="13.2" hidden="false" customHeight="true" outlineLevel="0" collapsed="false">
      <c r="A40" s="100" t="s">
        <v>26</v>
      </c>
      <c r="B40" s="2" t="s">
        <v>131</v>
      </c>
      <c r="C40" s="3"/>
      <c r="D40" s="101" t="n">
        <v>4113106</v>
      </c>
      <c r="E40" s="102" t="n">
        <v>45027</v>
      </c>
      <c r="F40" s="103" t="s">
        <v>35</v>
      </c>
      <c r="G40" s="5" t="n">
        <v>45027</v>
      </c>
      <c r="H40" s="105"/>
      <c r="I40" s="106"/>
      <c r="J40" s="106"/>
      <c r="K40" s="106"/>
      <c r="L40" s="106"/>
      <c r="M40" s="105"/>
      <c r="N40" s="106"/>
      <c r="O40" s="105"/>
      <c r="P40" s="7"/>
      <c r="Q40" s="107"/>
      <c r="R40" s="105" t="n">
        <v>65</v>
      </c>
      <c r="S40" s="107" t="n">
        <v>12.5</v>
      </c>
      <c r="T40" s="108" t="n">
        <v>6.09</v>
      </c>
      <c r="U40" s="95" t="n">
        <f aca="false">SUM(H40:T40)</f>
        <v>83.59</v>
      </c>
      <c r="V40" s="109" t="s">
        <v>37</v>
      </c>
      <c r="W40" s="10" t="s">
        <v>26</v>
      </c>
      <c r="X40" s="110" t="s">
        <v>39</v>
      </c>
      <c r="Y40" s="187"/>
      <c r="Z40" s="51"/>
    </row>
    <row r="41" s="10" customFormat="true" ht="13.2" hidden="false" customHeight="true" outlineLevel="0" collapsed="false">
      <c r="A41" s="100" t="s">
        <v>26</v>
      </c>
      <c r="B41" s="2" t="s">
        <v>132</v>
      </c>
      <c r="C41" s="3"/>
      <c r="D41" s="101" t="n">
        <v>4123102</v>
      </c>
      <c r="E41" s="102" t="n">
        <v>45028</v>
      </c>
      <c r="F41" s="103" t="s">
        <v>35</v>
      </c>
      <c r="G41" s="5" t="n">
        <v>45028</v>
      </c>
      <c r="H41" s="105"/>
      <c r="I41" s="106"/>
      <c r="J41" s="106"/>
      <c r="K41" s="106"/>
      <c r="L41" s="106"/>
      <c r="M41" s="105"/>
      <c r="N41" s="106"/>
      <c r="O41" s="105"/>
      <c r="P41" s="7"/>
      <c r="Q41" s="107"/>
      <c r="R41" s="105" t="n">
        <v>156</v>
      </c>
      <c r="S41" s="107" t="n">
        <v>50</v>
      </c>
      <c r="T41" s="108" t="n">
        <v>14.04</v>
      </c>
      <c r="U41" s="95" t="n">
        <f aca="false">SUM(H41:T41)</f>
        <v>220.04</v>
      </c>
      <c r="V41" s="109" t="s">
        <v>30</v>
      </c>
      <c r="W41" s="10" t="s">
        <v>51</v>
      </c>
      <c r="X41" s="110" t="s">
        <v>39</v>
      </c>
      <c r="Y41" s="187"/>
      <c r="Z41" s="51"/>
    </row>
    <row r="42" s="10" customFormat="true" ht="13.2" hidden="false" customHeight="true" outlineLevel="0" collapsed="false">
      <c r="A42" s="100" t="s">
        <v>26</v>
      </c>
      <c r="B42" s="2" t="s">
        <v>133</v>
      </c>
      <c r="C42" s="3"/>
      <c r="D42" s="101" t="n">
        <v>4123103</v>
      </c>
      <c r="E42" s="102" t="n">
        <v>45028</v>
      </c>
      <c r="F42" s="103" t="s">
        <v>35</v>
      </c>
      <c r="G42" s="5" t="n">
        <v>45028</v>
      </c>
      <c r="H42" s="105"/>
      <c r="I42" s="106"/>
      <c r="J42" s="106"/>
      <c r="K42" s="106"/>
      <c r="L42" s="106"/>
      <c r="M42" s="105"/>
      <c r="N42" s="106"/>
      <c r="O42" s="105"/>
      <c r="P42" s="7"/>
      <c r="Q42" s="107"/>
      <c r="R42" s="105" t="n">
        <v>330</v>
      </c>
      <c r="S42" s="107" t="n">
        <v>75</v>
      </c>
      <c r="T42" s="108" t="n">
        <v>29.29</v>
      </c>
      <c r="U42" s="95" t="n">
        <f aca="false">SUM(H42:T42)</f>
        <v>434.29</v>
      </c>
      <c r="V42" s="109" t="s">
        <v>37</v>
      </c>
      <c r="W42" s="10" t="s">
        <v>38</v>
      </c>
      <c r="X42" s="110" t="s">
        <v>39</v>
      </c>
      <c r="Y42" s="187"/>
      <c r="Z42" s="51"/>
    </row>
    <row r="43" s="10" customFormat="true" ht="13.2" hidden="false" customHeight="true" outlineLevel="0" collapsed="false">
      <c r="A43" s="113" t="s">
        <v>26</v>
      </c>
      <c r="B43" s="190" t="s">
        <v>134</v>
      </c>
      <c r="C43" s="191"/>
      <c r="D43" s="191" t="n">
        <v>4173102</v>
      </c>
      <c r="E43" s="192" t="n">
        <v>45033</v>
      </c>
      <c r="F43" s="193" t="s">
        <v>35</v>
      </c>
      <c r="G43" s="194" t="n">
        <v>45033</v>
      </c>
      <c r="H43" s="195"/>
      <c r="I43" s="195"/>
      <c r="J43" s="196"/>
      <c r="K43" s="196"/>
      <c r="L43" s="196"/>
      <c r="M43" s="195"/>
      <c r="N43" s="195"/>
      <c r="O43" s="195"/>
      <c r="P43" s="128"/>
      <c r="Q43" s="197"/>
      <c r="R43" s="195" t="n">
        <v>434</v>
      </c>
      <c r="S43" s="197" t="n">
        <v>100</v>
      </c>
      <c r="T43" s="198" t="n">
        <v>39.06</v>
      </c>
      <c r="U43" s="199" t="n">
        <f aca="false">SUM(H43:T43)</f>
        <v>573.06</v>
      </c>
      <c r="V43" s="200" t="s">
        <v>37</v>
      </c>
      <c r="W43" s="29" t="s">
        <v>38</v>
      </c>
      <c r="X43" s="29" t="s">
        <v>39</v>
      </c>
      <c r="Y43" s="289"/>
      <c r="Z43" s="51"/>
    </row>
    <row r="44" s="10" customFormat="true" ht="14.1" hidden="false" customHeight="true" outlineLevel="0" collapsed="false">
      <c r="A44" s="100" t="s">
        <v>26</v>
      </c>
      <c r="B44" s="2" t="s">
        <v>135</v>
      </c>
      <c r="C44" s="3"/>
      <c r="D44" s="101" t="n">
        <v>4173103</v>
      </c>
      <c r="E44" s="102" t="n">
        <v>45033</v>
      </c>
      <c r="F44" s="103" t="s">
        <v>35</v>
      </c>
      <c r="G44" s="5" t="n">
        <v>45033</v>
      </c>
      <c r="H44" s="105"/>
      <c r="I44" s="106"/>
      <c r="J44" s="106"/>
      <c r="K44" s="106"/>
      <c r="L44" s="106"/>
      <c r="M44" s="105"/>
      <c r="N44" s="106"/>
      <c r="O44" s="105"/>
      <c r="P44" s="7"/>
      <c r="Q44" s="107"/>
      <c r="R44" s="105" t="n">
        <v>195</v>
      </c>
      <c r="S44" s="107" t="n">
        <v>25</v>
      </c>
      <c r="T44" s="108" t="n">
        <v>18.28</v>
      </c>
      <c r="U44" s="95" t="n">
        <f aca="false">SUM(H44:T44)</f>
        <v>238.28</v>
      </c>
      <c r="V44" s="109" t="s">
        <v>37</v>
      </c>
      <c r="W44" s="10" t="s">
        <v>38</v>
      </c>
      <c r="X44" s="110" t="s">
        <v>39</v>
      </c>
      <c r="Y44" s="187"/>
      <c r="Z44" s="51"/>
    </row>
    <row r="45" s="10" customFormat="true" ht="14.1" hidden="false" customHeight="true" outlineLevel="0" collapsed="false">
      <c r="A45" s="100" t="s">
        <v>26</v>
      </c>
      <c r="B45" s="2" t="s">
        <v>136</v>
      </c>
      <c r="C45" s="3"/>
      <c r="D45" s="101" t="n">
        <v>4173104</v>
      </c>
      <c r="E45" s="102" t="n">
        <v>45033</v>
      </c>
      <c r="F45" s="103" t="s">
        <v>35</v>
      </c>
      <c r="G45" s="5" t="n">
        <v>45033</v>
      </c>
      <c r="H45" s="105"/>
      <c r="I45" s="106"/>
      <c r="J45" s="106"/>
      <c r="K45" s="106"/>
      <c r="L45" s="106"/>
      <c r="M45" s="105"/>
      <c r="N45" s="106"/>
      <c r="O45" s="105"/>
      <c r="P45" s="7"/>
      <c r="Q45" s="107"/>
      <c r="R45" s="105" t="n">
        <v>435</v>
      </c>
      <c r="S45" s="107" t="n">
        <v>87.5</v>
      </c>
      <c r="T45" s="108" t="n">
        <v>33.71</v>
      </c>
      <c r="U45" s="95" t="n">
        <f aca="false">SUM(H45:T45)</f>
        <v>556.21</v>
      </c>
      <c r="V45" s="109" t="s">
        <v>37</v>
      </c>
      <c r="W45" s="10" t="s">
        <v>38</v>
      </c>
      <c r="X45" s="110" t="s">
        <v>39</v>
      </c>
      <c r="Y45" s="187"/>
      <c r="Z45" s="51"/>
    </row>
    <row r="46" s="10" customFormat="true" ht="14.1" hidden="false" customHeight="true" outlineLevel="0" collapsed="false">
      <c r="A46" s="100" t="s">
        <v>26</v>
      </c>
      <c r="B46" s="2" t="s">
        <v>137</v>
      </c>
      <c r="C46" s="3"/>
      <c r="D46" s="101" t="n">
        <v>4203101</v>
      </c>
      <c r="E46" s="102" t="n">
        <v>45036</v>
      </c>
      <c r="F46" s="103" t="s">
        <v>35</v>
      </c>
      <c r="G46" s="5" t="n">
        <v>45036</v>
      </c>
      <c r="H46" s="105"/>
      <c r="I46" s="106"/>
      <c r="J46" s="106"/>
      <c r="K46" s="106"/>
      <c r="L46" s="106"/>
      <c r="M46" s="105"/>
      <c r="N46" s="106"/>
      <c r="O46" s="105"/>
      <c r="P46" s="7"/>
      <c r="Q46" s="107"/>
      <c r="R46" s="105" t="n">
        <v>399</v>
      </c>
      <c r="S46" s="107" t="n">
        <v>87.5</v>
      </c>
      <c r="T46" s="108" t="n">
        <v>34.41</v>
      </c>
      <c r="U46" s="95" t="n">
        <f aca="false">SUM(H46:T46)</f>
        <v>520.91</v>
      </c>
      <c r="V46" s="109" t="s">
        <v>37</v>
      </c>
      <c r="W46" s="10" t="s">
        <v>38</v>
      </c>
      <c r="X46" s="110" t="s">
        <v>39</v>
      </c>
      <c r="Y46" s="187"/>
      <c r="Z46" s="51"/>
    </row>
    <row r="47" s="10" customFormat="true" ht="14.1" hidden="false" customHeight="true" outlineLevel="0" collapsed="false">
      <c r="A47" s="100" t="s">
        <v>26</v>
      </c>
      <c r="B47" s="2" t="s">
        <v>138</v>
      </c>
      <c r="C47" s="3"/>
      <c r="D47" s="101" t="n">
        <v>4203102</v>
      </c>
      <c r="E47" s="102" t="n">
        <v>45036</v>
      </c>
      <c r="F47" s="103" t="s">
        <v>35</v>
      </c>
      <c r="G47" s="5" t="n">
        <v>45036</v>
      </c>
      <c r="H47" s="105"/>
      <c r="I47" s="106"/>
      <c r="J47" s="106"/>
      <c r="K47" s="106"/>
      <c r="L47" s="106"/>
      <c r="M47" s="105"/>
      <c r="N47" s="106"/>
      <c r="O47" s="105"/>
      <c r="P47" s="7"/>
      <c r="Q47" s="107"/>
      <c r="R47" s="105" t="n">
        <v>195</v>
      </c>
      <c r="S47" s="107" t="n">
        <v>37.5</v>
      </c>
      <c r="T47" s="108" t="n">
        <v>18.04</v>
      </c>
      <c r="U47" s="95" t="n">
        <f aca="false">SUM(H47:T47)</f>
        <v>250.54</v>
      </c>
      <c r="V47" s="109" t="s">
        <v>37</v>
      </c>
      <c r="W47" s="10" t="s">
        <v>38</v>
      </c>
      <c r="X47" s="110" t="s">
        <v>39</v>
      </c>
      <c r="Y47" s="187"/>
      <c r="Z47" s="51"/>
    </row>
    <row r="48" s="10" customFormat="true" ht="14.1" hidden="false" customHeight="true" outlineLevel="0" collapsed="false">
      <c r="A48" s="100" t="s">
        <v>26</v>
      </c>
      <c r="B48" s="2" t="s">
        <v>83</v>
      </c>
      <c r="C48" s="3"/>
      <c r="D48" s="101" t="n">
        <v>4203103</v>
      </c>
      <c r="E48" s="102" t="n">
        <v>45036</v>
      </c>
      <c r="F48" s="103" t="s">
        <v>35</v>
      </c>
      <c r="G48" s="5" t="n">
        <v>45036</v>
      </c>
      <c r="H48" s="105"/>
      <c r="I48" s="106"/>
      <c r="J48" s="106"/>
      <c r="K48" s="106"/>
      <c r="L48" s="106"/>
      <c r="M48" s="105"/>
      <c r="N48" s="106"/>
      <c r="O48" s="105"/>
      <c r="P48" s="7"/>
      <c r="Q48" s="107"/>
      <c r="R48" s="105" t="n">
        <v>90</v>
      </c>
      <c r="S48" s="107"/>
      <c r="T48" s="108" t="n">
        <v>7.43</v>
      </c>
      <c r="U48" s="95" t="n">
        <f aca="false">SUM(H48:T48)</f>
        <v>97.43</v>
      </c>
      <c r="V48" s="109" t="s">
        <v>84</v>
      </c>
      <c r="W48" s="10" t="s">
        <v>85</v>
      </c>
      <c r="X48" s="110" t="s">
        <v>39</v>
      </c>
      <c r="Y48" s="187"/>
      <c r="Z48" s="51"/>
    </row>
    <row r="49" s="10" customFormat="true" ht="14.1" hidden="false" customHeight="true" outlineLevel="0" collapsed="false">
      <c r="A49" s="100" t="s">
        <v>26</v>
      </c>
      <c r="B49" s="2" t="s">
        <v>139</v>
      </c>
      <c r="C49" s="3"/>
      <c r="D49" s="101" t="n">
        <v>4243101</v>
      </c>
      <c r="E49" s="102" t="n">
        <v>45040</v>
      </c>
      <c r="F49" s="103" t="s">
        <v>35</v>
      </c>
      <c r="G49" s="5" t="n">
        <v>45040</v>
      </c>
      <c r="H49" s="105"/>
      <c r="I49" s="106"/>
      <c r="J49" s="106"/>
      <c r="K49" s="106"/>
      <c r="L49" s="106"/>
      <c r="M49" s="105"/>
      <c r="N49" s="106"/>
      <c r="O49" s="105"/>
      <c r="P49" s="7"/>
      <c r="Q49" s="107"/>
      <c r="R49" s="105" t="n">
        <v>110</v>
      </c>
      <c r="S49" s="107"/>
      <c r="T49" s="108" t="n">
        <v>10.18</v>
      </c>
      <c r="U49" s="95" t="n">
        <f aca="false">SUM(H49:T49)</f>
        <v>120.18</v>
      </c>
      <c r="V49" s="109" t="s">
        <v>30</v>
      </c>
      <c r="W49" s="10" t="s">
        <v>51</v>
      </c>
      <c r="X49" s="110" t="s">
        <v>39</v>
      </c>
      <c r="Y49" s="187"/>
      <c r="Z49" s="51"/>
    </row>
    <row r="50" s="10" customFormat="true" ht="14.1" hidden="false" customHeight="true" outlineLevel="0" collapsed="false">
      <c r="A50" s="100" t="s">
        <v>26</v>
      </c>
      <c r="B50" s="2" t="s">
        <v>140</v>
      </c>
      <c r="C50" s="3"/>
      <c r="D50" s="101" t="n">
        <v>4243105</v>
      </c>
      <c r="E50" s="102" t="n">
        <v>45040</v>
      </c>
      <c r="F50" s="103" t="s">
        <v>35</v>
      </c>
      <c r="G50" s="5" t="n">
        <v>45041</v>
      </c>
      <c r="H50" s="105"/>
      <c r="I50" s="106"/>
      <c r="J50" s="106"/>
      <c r="K50" s="106"/>
      <c r="L50" s="106"/>
      <c r="M50" s="105"/>
      <c r="N50" s="106"/>
      <c r="O50" s="105"/>
      <c r="P50" s="7"/>
      <c r="Q50" s="107"/>
      <c r="R50" s="105" t="n">
        <v>175</v>
      </c>
      <c r="S50" s="107" t="n">
        <v>37.5</v>
      </c>
      <c r="T50" s="108" t="n">
        <v>14.44</v>
      </c>
      <c r="U50" s="95" t="n">
        <f aca="false">SUM(H50:T50)</f>
        <v>226.94</v>
      </c>
      <c r="V50" s="109" t="s">
        <v>37</v>
      </c>
      <c r="W50" s="10" t="s">
        <v>38</v>
      </c>
      <c r="X50" s="110" t="s">
        <v>39</v>
      </c>
      <c r="Y50" s="187"/>
      <c r="Z50" s="51"/>
    </row>
    <row r="51" s="10" customFormat="true" ht="14.1" hidden="false" customHeight="true" outlineLevel="0" collapsed="false">
      <c r="A51" s="100" t="s">
        <v>26</v>
      </c>
      <c r="B51" s="2" t="s">
        <v>141</v>
      </c>
      <c r="C51" s="3"/>
      <c r="D51" s="101" t="n">
        <v>4243106</v>
      </c>
      <c r="E51" s="102" t="n">
        <v>45040</v>
      </c>
      <c r="F51" s="103" t="s">
        <v>35</v>
      </c>
      <c r="G51" s="5" t="n">
        <v>45041</v>
      </c>
      <c r="H51" s="105"/>
      <c r="I51" s="106"/>
      <c r="J51" s="106"/>
      <c r="K51" s="106"/>
      <c r="L51" s="106"/>
      <c r="M51" s="105"/>
      <c r="N51" s="106"/>
      <c r="O51" s="105"/>
      <c r="P51" s="7"/>
      <c r="Q51" s="107"/>
      <c r="R51" s="105" t="n">
        <v>775</v>
      </c>
      <c r="S51" s="107" t="n">
        <v>150</v>
      </c>
      <c r="T51" s="108" t="n">
        <v>71.69</v>
      </c>
      <c r="U51" s="95" t="n">
        <f aca="false">SUM(H51:T51)</f>
        <v>996.69</v>
      </c>
      <c r="V51" s="109" t="s">
        <v>37</v>
      </c>
      <c r="W51" s="10" t="s">
        <v>38</v>
      </c>
      <c r="X51" s="110" t="s">
        <v>39</v>
      </c>
      <c r="Y51" s="187"/>
      <c r="Z51" s="51"/>
    </row>
    <row r="52" s="10" customFormat="true" ht="14.1" hidden="false" customHeight="true" outlineLevel="0" collapsed="false">
      <c r="A52" s="100" t="s">
        <v>26</v>
      </c>
      <c r="B52" s="2" t="s">
        <v>142</v>
      </c>
      <c r="C52" s="3"/>
      <c r="D52" s="101" t="n">
        <v>4243107</v>
      </c>
      <c r="E52" s="102" t="n">
        <v>45040</v>
      </c>
      <c r="F52" s="103" t="s">
        <v>35</v>
      </c>
      <c r="G52" s="5" t="n">
        <v>45041</v>
      </c>
      <c r="H52" s="105"/>
      <c r="I52" s="106"/>
      <c r="J52" s="106"/>
      <c r="K52" s="106"/>
      <c r="L52" s="106"/>
      <c r="M52" s="105"/>
      <c r="N52" s="106"/>
      <c r="O52" s="105"/>
      <c r="P52" s="7"/>
      <c r="Q52" s="107"/>
      <c r="R52" s="105" t="n">
        <v>317</v>
      </c>
      <c r="S52" s="107" t="n">
        <v>62.5</v>
      </c>
      <c r="T52" s="108" t="n">
        <v>26.15</v>
      </c>
      <c r="U52" s="95" t="n">
        <f aca="false">SUM(H52:T52)</f>
        <v>405.65</v>
      </c>
      <c r="V52" s="109" t="s">
        <v>37</v>
      </c>
      <c r="W52" s="10" t="s">
        <v>38</v>
      </c>
      <c r="X52" s="110" t="s">
        <v>39</v>
      </c>
      <c r="Y52" s="187"/>
      <c r="Z52" s="51"/>
    </row>
    <row r="53" s="10" customFormat="true" ht="14.1" hidden="false" customHeight="true" outlineLevel="0" collapsed="false">
      <c r="A53" s="100" t="s">
        <v>26</v>
      </c>
      <c r="B53" s="2" t="s">
        <v>117</v>
      </c>
      <c r="C53" s="3" t="s">
        <v>143</v>
      </c>
      <c r="D53" s="101" t="n">
        <v>4253102</v>
      </c>
      <c r="E53" s="102" t="n">
        <v>45041</v>
      </c>
      <c r="F53" s="103" t="s">
        <v>35</v>
      </c>
      <c r="G53" s="5" t="n">
        <v>45041</v>
      </c>
      <c r="H53" s="105"/>
      <c r="I53" s="106"/>
      <c r="J53" s="106"/>
      <c r="K53" s="106"/>
      <c r="L53" s="106"/>
      <c r="M53" s="105"/>
      <c r="N53" s="106"/>
      <c r="O53" s="105"/>
      <c r="P53" s="7"/>
      <c r="Q53" s="107"/>
      <c r="R53" s="105" t="n">
        <v>90</v>
      </c>
      <c r="S53" s="107" t="n">
        <v>50</v>
      </c>
      <c r="T53" s="108"/>
      <c r="U53" s="95" t="n">
        <f aca="false">SUM(H53:T53)</f>
        <v>140</v>
      </c>
      <c r="V53" s="109" t="s">
        <v>37</v>
      </c>
      <c r="W53" s="10" t="s">
        <v>38</v>
      </c>
      <c r="X53" s="110" t="s">
        <v>39</v>
      </c>
      <c r="Y53" s="187"/>
      <c r="Z53" s="51"/>
    </row>
    <row r="54" s="10" customFormat="true" ht="14.1" hidden="false" customHeight="true" outlineLevel="0" collapsed="false">
      <c r="A54" s="100" t="s">
        <v>26</v>
      </c>
      <c r="B54" s="2" t="s">
        <v>144</v>
      </c>
      <c r="C54" s="3"/>
      <c r="D54" s="101" t="n">
        <v>4253102</v>
      </c>
      <c r="E54" s="102" t="n">
        <v>45041</v>
      </c>
      <c r="F54" s="103" t="s">
        <v>35</v>
      </c>
      <c r="G54" s="5" t="n">
        <v>45042</v>
      </c>
      <c r="H54" s="105"/>
      <c r="I54" s="106"/>
      <c r="J54" s="106"/>
      <c r="K54" s="106"/>
      <c r="L54" s="106"/>
      <c r="M54" s="105"/>
      <c r="N54" s="106"/>
      <c r="O54" s="105"/>
      <c r="P54" s="7"/>
      <c r="Q54" s="107"/>
      <c r="R54" s="105" t="n">
        <v>195</v>
      </c>
      <c r="S54" s="107" t="n">
        <v>37.5</v>
      </c>
      <c r="T54" s="108" t="n">
        <v>17.06</v>
      </c>
      <c r="U54" s="95" t="n">
        <f aca="false">SUM(H54:T54)</f>
        <v>249.56</v>
      </c>
      <c r="V54" s="109" t="s">
        <v>37</v>
      </c>
      <c r="W54" s="10" t="s">
        <v>38</v>
      </c>
      <c r="X54" s="110" t="s">
        <v>39</v>
      </c>
      <c r="Y54" s="187"/>
      <c r="Z54" s="51"/>
    </row>
    <row r="55" s="10" customFormat="true" ht="14.1" hidden="false" customHeight="true" outlineLevel="0" collapsed="false">
      <c r="A55" s="100" t="s">
        <v>26</v>
      </c>
      <c r="B55" s="2" t="s">
        <v>145</v>
      </c>
      <c r="C55" s="3"/>
      <c r="D55" s="101" t="n">
        <v>4263101</v>
      </c>
      <c r="E55" s="102" t="n">
        <v>45042</v>
      </c>
      <c r="F55" s="103" t="s">
        <v>35</v>
      </c>
      <c r="G55" s="5" t="n">
        <v>45042</v>
      </c>
      <c r="H55" s="105"/>
      <c r="I55" s="106"/>
      <c r="J55" s="106"/>
      <c r="K55" s="106"/>
      <c r="L55" s="106"/>
      <c r="M55" s="105"/>
      <c r="N55" s="106"/>
      <c r="O55" s="105"/>
      <c r="P55" s="7"/>
      <c r="Q55" s="107"/>
      <c r="R55" s="105" t="n">
        <v>39</v>
      </c>
      <c r="S55" s="107"/>
      <c r="T55" s="108" t="n">
        <v>3.22</v>
      </c>
      <c r="U55" s="95" t="n">
        <f aca="false">SUM(H55:T55)</f>
        <v>42.22</v>
      </c>
      <c r="V55" s="109" t="s">
        <v>30</v>
      </c>
      <c r="W55" s="10" t="s">
        <v>51</v>
      </c>
      <c r="X55" s="110" t="s">
        <v>39</v>
      </c>
      <c r="Y55" s="187"/>
      <c r="Z55" s="51"/>
    </row>
    <row r="56" s="10" customFormat="true" ht="14.1" hidden="false" customHeight="true" outlineLevel="0" collapsed="false">
      <c r="A56" s="100" t="s">
        <v>26</v>
      </c>
      <c r="B56" s="2" t="s">
        <v>146</v>
      </c>
      <c r="C56" s="3"/>
      <c r="D56" s="101" t="n">
        <v>4253101</v>
      </c>
      <c r="E56" s="102" t="n">
        <v>45041</v>
      </c>
      <c r="F56" s="103" t="s">
        <v>35</v>
      </c>
      <c r="G56" s="5" t="n">
        <v>45043</v>
      </c>
      <c r="H56" s="105"/>
      <c r="I56" s="106"/>
      <c r="J56" s="106"/>
      <c r="K56" s="106"/>
      <c r="L56" s="106"/>
      <c r="M56" s="105"/>
      <c r="N56" s="106"/>
      <c r="O56" s="105"/>
      <c r="P56" s="7"/>
      <c r="Q56" s="107"/>
      <c r="R56" s="105" t="n">
        <v>55</v>
      </c>
      <c r="S56" s="107" t="n">
        <v>12.5</v>
      </c>
      <c r="T56" s="108" t="n">
        <v>4.68</v>
      </c>
      <c r="U56" s="95" t="n">
        <f aca="false">SUM(H56:T56)</f>
        <v>72.18</v>
      </c>
      <c r="V56" s="109" t="s">
        <v>37</v>
      </c>
      <c r="W56" s="10" t="s">
        <v>38</v>
      </c>
      <c r="X56" s="110" t="s">
        <v>39</v>
      </c>
      <c r="Y56" s="187"/>
      <c r="Z56" s="51"/>
    </row>
    <row r="57" s="10" customFormat="true" ht="14.1" hidden="false" customHeight="true" outlineLevel="0" collapsed="false">
      <c r="A57" s="100" t="s">
        <v>26</v>
      </c>
      <c r="B57" s="2" t="s">
        <v>147</v>
      </c>
      <c r="C57" s="3"/>
      <c r="D57" s="101" t="n">
        <v>4263104</v>
      </c>
      <c r="E57" s="102" t="n">
        <v>45042</v>
      </c>
      <c r="F57" s="103" t="s">
        <v>35</v>
      </c>
      <c r="G57" s="5" t="n">
        <v>45043</v>
      </c>
      <c r="H57" s="105"/>
      <c r="I57" s="106"/>
      <c r="J57" s="106"/>
      <c r="K57" s="106"/>
      <c r="L57" s="106"/>
      <c r="M57" s="105"/>
      <c r="N57" s="106"/>
      <c r="O57" s="105"/>
      <c r="P57" s="7"/>
      <c r="Q57" s="107"/>
      <c r="R57" s="105" t="n">
        <v>65</v>
      </c>
      <c r="S57" s="107" t="n">
        <v>12.5</v>
      </c>
      <c r="T57" s="108" t="n">
        <v>5.61</v>
      </c>
      <c r="U57" s="95" t="n">
        <f aca="false">SUM(H57:T57)</f>
        <v>83.11</v>
      </c>
      <c r="V57" s="109" t="s">
        <v>37</v>
      </c>
      <c r="W57" s="10" t="s">
        <v>38</v>
      </c>
      <c r="X57" s="110" t="s">
        <v>39</v>
      </c>
      <c r="Y57" s="187"/>
      <c r="Z57" s="51"/>
    </row>
    <row r="58" s="10" customFormat="true" ht="14.1" hidden="false" customHeight="true" outlineLevel="0" collapsed="false">
      <c r="A58" s="100" t="s">
        <v>26</v>
      </c>
      <c r="B58" s="2" t="s">
        <v>148</v>
      </c>
      <c r="C58" s="3"/>
      <c r="D58" s="101" t="n">
        <v>4263103</v>
      </c>
      <c r="E58" s="102" t="n">
        <v>45042</v>
      </c>
      <c r="F58" s="103" t="s">
        <v>35</v>
      </c>
      <c r="G58" s="5" t="n">
        <v>45043</v>
      </c>
      <c r="H58" s="105"/>
      <c r="I58" s="106"/>
      <c r="J58" s="106"/>
      <c r="K58" s="106"/>
      <c r="L58" s="106"/>
      <c r="M58" s="105"/>
      <c r="N58" s="106"/>
      <c r="O58" s="105"/>
      <c r="P58" s="7"/>
      <c r="Q58" s="107"/>
      <c r="R58" s="105" t="n">
        <v>414</v>
      </c>
      <c r="S58" s="107" t="n">
        <v>100</v>
      </c>
      <c r="T58" s="108" t="n">
        <v>38.3</v>
      </c>
      <c r="U58" s="95" t="n">
        <f aca="false">SUM(H58:T58)</f>
        <v>552.3</v>
      </c>
      <c r="V58" s="109" t="s">
        <v>37</v>
      </c>
      <c r="W58" s="10" t="s">
        <v>38</v>
      </c>
      <c r="X58" s="110" t="s">
        <v>39</v>
      </c>
      <c r="Y58" s="187"/>
      <c r="Z58" s="51"/>
    </row>
    <row r="59" s="10" customFormat="true" ht="14.1" hidden="false" customHeight="true" outlineLevel="0" collapsed="false">
      <c r="A59" s="100" t="s">
        <v>26</v>
      </c>
      <c r="B59" s="2" t="s">
        <v>149</v>
      </c>
      <c r="C59" s="3"/>
      <c r="D59" s="101" t="n">
        <v>4273101</v>
      </c>
      <c r="E59" s="102" t="n">
        <v>45043</v>
      </c>
      <c r="F59" s="103" t="s">
        <v>35</v>
      </c>
      <c r="G59" s="5" t="n">
        <v>45043</v>
      </c>
      <c r="H59" s="105"/>
      <c r="I59" s="106"/>
      <c r="J59" s="106"/>
      <c r="K59" s="106"/>
      <c r="L59" s="106"/>
      <c r="M59" s="105"/>
      <c r="N59" s="106"/>
      <c r="O59" s="105"/>
      <c r="P59" s="7"/>
      <c r="Q59" s="107"/>
      <c r="R59" s="105" t="n">
        <v>110</v>
      </c>
      <c r="S59" s="107" t="n">
        <v>25</v>
      </c>
      <c r="T59" s="108" t="n">
        <v>9.35</v>
      </c>
      <c r="U59" s="95" t="n">
        <f aca="false">SUM(H59:T59)</f>
        <v>144.35</v>
      </c>
      <c r="V59" s="109" t="s">
        <v>37</v>
      </c>
      <c r="W59" s="10" t="s">
        <v>38</v>
      </c>
      <c r="X59" s="110" t="s">
        <v>39</v>
      </c>
      <c r="Y59" s="187"/>
      <c r="Z59" s="51"/>
    </row>
    <row r="60" s="10" customFormat="true" ht="14.1" hidden="false" customHeight="true" outlineLevel="0" collapsed="false">
      <c r="A60" s="100" t="s">
        <v>26</v>
      </c>
      <c r="B60" s="2" t="s">
        <v>150</v>
      </c>
      <c r="C60" s="3"/>
      <c r="D60" s="101" t="n">
        <v>4273102</v>
      </c>
      <c r="E60" s="102" t="n">
        <v>45043</v>
      </c>
      <c r="F60" s="103" t="s">
        <v>35</v>
      </c>
      <c r="G60" s="5" t="n">
        <v>45043</v>
      </c>
      <c r="H60" s="105"/>
      <c r="I60" s="106"/>
      <c r="J60" s="106"/>
      <c r="K60" s="106"/>
      <c r="L60" s="106"/>
      <c r="M60" s="105"/>
      <c r="N60" s="106"/>
      <c r="O60" s="105"/>
      <c r="P60" s="7"/>
      <c r="Q60" s="107"/>
      <c r="R60" s="105" t="n">
        <v>220</v>
      </c>
      <c r="S60" s="107" t="n">
        <v>50</v>
      </c>
      <c r="T60" s="108" t="n">
        <v>20.24</v>
      </c>
      <c r="U60" s="95" t="n">
        <f aca="false">SUM(H60:T60)</f>
        <v>290.24</v>
      </c>
      <c r="V60" s="109" t="s">
        <v>37</v>
      </c>
      <c r="W60" s="10" t="s">
        <v>38</v>
      </c>
      <c r="X60" s="110" t="s">
        <v>39</v>
      </c>
      <c r="Y60" s="187"/>
      <c r="Z60" s="51"/>
    </row>
    <row r="61" s="10" customFormat="true" ht="14.1" hidden="false" customHeight="true" outlineLevel="0" collapsed="false">
      <c r="A61" s="100" t="s">
        <v>26</v>
      </c>
      <c r="B61" s="2" t="s">
        <v>33</v>
      </c>
      <c r="C61" s="3" t="s">
        <v>151</v>
      </c>
      <c r="D61" s="101" t="n">
        <v>4283102</v>
      </c>
      <c r="E61" s="102" t="n">
        <v>45044</v>
      </c>
      <c r="F61" s="103" t="s">
        <v>35</v>
      </c>
      <c r="G61" s="5" t="n">
        <v>45044</v>
      </c>
      <c r="H61" s="105"/>
      <c r="I61" s="106"/>
      <c r="J61" s="106"/>
      <c r="K61" s="106"/>
      <c r="L61" s="106"/>
      <c r="M61" s="105"/>
      <c r="N61" s="106"/>
      <c r="O61" s="105"/>
      <c r="P61" s="7"/>
      <c r="Q61" s="107"/>
      <c r="R61" s="105" t="n">
        <v>110</v>
      </c>
      <c r="S61" s="107" t="n">
        <v>25</v>
      </c>
      <c r="T61" s="108" t="n">
        <v>10.18</v>
      </c>
      <c r="U61" s="95" t="n">
        <f aca="false">SUM(H61:T61)</f>
        <v>145.18</v>
      </c>
      <c r="V61" s="109" t="s">
        <v>37</v>
      </c>
      <c r="W61" s="10" t="s">
        <v>38</v>
      </c>
      <c r="X61" s="110" t="s">
        <v>39</v>
      </c>
      <c r="Y61" s="187"/>
      <c r="Z61" s="51"/>
    </row>
    <row r="62" s="10" customFormat="true" ht="13.2" hidden="false" customHeight="true" outlineLevel="0" collapsed="false">
      <c r="A62" s="100" t="s">
        <v>177</v>
      </c>
      <c r="B62" s="2" t="s">
        <v>100</v>
      </c>
      <c r="C62" s="3"/>
      <c r="D62" s="101" t="n">
        <v>4173054</v>
      </c>
      <c r="E62" s="102" t="n">
        <v>45033</v>
      </c>
      <c r="F62" s="103" t="s">
        <v>13</v>
      </c>
      <c r="G62" s="5" t="n">
        <v>45033</v>
      </c>
      <c r="H62" s="105"/>
      <c r="I62" s="106"/>
      <c r="J62" s="106"/>
      <c r="K62" s="106"/>
      <c r="L62" s="106"/>
      <c r="M62" s="105" t="n">
        <v>95</v>
      </c>
      <c r="N62" s="106"/>
      <c r="O62" s="105"/>
      <c r="P62" s="7"/>
      <c r="Q62" s="107"/>
      <c r="R62" s="105"/>
      <c r="S62" s="107"/>
      <c r="T62" s="108"/>
      <c r="U62" s="95" t="n">
        <f aca="false">SUM(H62:T62)</f>
        <v>95</v>
      </c>
      <c r="V62" s="109" t="s">
        <v>50</v>
      </c>
      <c r="W62" s="10" t="s">
        <v>177</v>
      </c>
      <c r="X62" s="110" t="s">
        <v>39</v>
      </c>
      <c r="Y62" s="187"/>
      <c r="Z62" s="51"/>
    </row>
    <row r="63" s="10" customFormat="true" ht="14.1" hidden="false" customHeight="true" outlineLevel="0" collapsed="false">
      <c r="A63" s="203" t="s">
        <v>51</v>
      </c>
      <c r="B63" s="204" t="s">
        <v>175</v>
      </c>
      <c r="C63" s="205"/>
      <c r="D63" s="206" t="n">
        <v>2153071</v>
      </c>
      <c r="E63" s="207" t="n">
        <v>44972</v>
      </c>
      <c r="F63" s="208" t="s">
        <v>35</v>
      </c>
      <c r="G63" s="209" t="n">
        <v>44972</v>
      </c>
      <c r="H63" s="210"/>
      <c r="I63" s="211"/>
      <c r="J63" s="211"/>
      <c r="K63" s="211"/>
      <c r="L63" s="211"/>
      <c r="M63" s="210"/>
      <c r="N63" s="211"/>
      <c r="O63" s="210"/>
      <c r="P63" s="212"/>
      <c r="Q63" s="213"/>
      <c r="R63" s="210" t="n">
        <v>165</v>
      </c>
      <c r="S63" s="213" t="n">
        <v>30</v>
      </c>
      <c r="T63" s="214" t="n">
        <v>13.61</v>
      </c>
      <c r="U63" s="215" t="n">
        <f aca="false">SUM(H63:T63)</f>
        <v>208.61</v>
      </c>
      <c r="V63" s="216" t="s">
        <v>88</v>
      </c>
      <c r="W63" s="217" t="s">
        <v>51</v>
      </c>
      <c r="X63" s="110" t="s">
        <v>39</v>
      </c>
      <c r="Y63" s="187"/>
      <c r="Z63" s="51"/>
    </row>
    <row r="64" s="10" customFormat="true" ht="14.1" hidden="false" customHeight="true" outlineLevel="0" collapsed="false">
      <c r="A64" s="203" t="s">
        <v>42</v>
      </c>
      <c r="B64" s="204" t="s">
        <v>152</v>
      </c>
      <c r="C64" s="205"/>
      <c r="D64" s="206" t="n">
        <v>2063261</v>
      </c>
      <c r="E64" s="207" t="n">
        <v>44963</v>
      </c>
      <c r="F64" s="208" t="s">
        <v>153</v>
      </c>
      <c r="G64" s="209" t="n">
        <v>44963</v>
      </c>
      <c r="H64" s="210"/>
      <c r="I64" s="211"/>
      <c r="J64" s="211"/>
      <c r="K64" s="211"/>
      <c r="L64" s="211"/>
      <c r="M64" s="210"/>
      <c r="N64" s="211"/>
      <c r="O64" s="210"/>
      <c r="P64" s="212" t="n">
        <v>180</v>
      </c>
      <c r="Q64" s="213" t="n">
        <v>90</v>
      </c>
      <c r="R64" s="210"/>
      <c r="S64" s="213"/>
      <c r="T64" s="214"/>
      <c r="U64" s="215" t="n">
        <f aca="false">SUM(H64:T64)</f>
        <v>270</v>
      </c>
      <c r="V64" s="216" t="s">
        <v>30</v>
      </c>
      <c r="W64" s="217" t="s">
        <v>42</v>
      </c>
      <c r="X64" s="110" t="s">
        <v>39</v>
      </c>
      <c r="Y64" s="187"/>
      <c r="Z64" s="51"/>
    </row>
    <row r="65" s="10" customFormat="true" ht="14.1" hidden="false" customHeight="true" outlineLevel="0" collapsed="false">
      <c r="A65" s="100" t="s">
        <v>42</v>
      </c>
      <c r="B65" s="2" t="s">
        <v>179</v>
      </c>
      <c r="C65" s="3" t="s">
        <v>180</v>
      </c>
      <c r="D65" s="101" t="n">
        <v>3303041</v>
      </c>
      <c r="E65" s="102" t="n">
        <v>45015</v>
      </c>
      <c r="F65" s="103" t="s">
        <v>153</v>
      </c>
      <c r="G65" s="5" t="n">
        <v>45016</v>
      </c>
      <c r="H65" s="105"/>
      <c r="I65" s="106"/>
      <c r="J65" s="106"/>
      <c r="K65" s="106"/>
      <c r="L65" s="106"/>
      <c r="M65" s="105"/>
      <c r="N65" s="106"/>
      <c r="O65" s="105"/>
      <c r="P65" s="7" t="n">
        <v>180</v>
      </c>
      <c r="Q65" s="107" t="n">
        <v>90</v>
      </c>
      <c r="R65" s="105"/>
      <c r="S65" s="107"/>
      <c r="T65" s="108"/>
      <c r="U65" s="95" t="n">
        <f aca="false">SUM(H65:T65)</f>
        <v>270</v>
      </c>
      <c r="V65" s="109" t="s">
        <v>30</v>
      </c>
      <c r="W65" s="10" t="s">
        <v>42</v>
      </c>
      <c r="X65" s="110" t="s">
        <v>39</v>
      </c>
      <c r="Y65" s="187"/>
      <c r="Z65" s="51"/>
    </row>
    <row r="66" s="10" customFormat="true" ht="14.1" hidden="false" customHeight="true" outlineLevel="0" collapsed="false">
      <c r="A66" s="100" t="s">
        <v>42</v>
      </c>
      <c r="B66" s="2" t="s">
        <v>170</v>
      </c>
      <c r="C66" s="3" t="s">
        <v>171</v>
      </c>
      <c r="D66" s="101" t="n">
        <v>4273251</v>
      </c>
      <c r="E66" s="102" t="n">
        <v>45043</v>
      </c>
      <c r="F66" s="103" t="s">
        <v>172</v>
      </c>
      <c r="G66" s="5" t="n">
        <v>45044</v>
      </c>
      <c r="H66" s="105" t="n">
        <v>995</v>
      </c>
      <c r="I66" s="106"/>
      <c r="J66" s="106" t="n">
        <v>180</v>
      </c>
      <c r="K66" s="106"/>
      <c r="L66" s="106"/>
      <c r="M66" s="105"/>
      <c r="N66" s="106"/>
      <c r="O66" s="105"/>
      <c r="P66" s="7"/>
      <c r="Q66" s="107" t="n">
        <v>90</v>
      </c>
      <c r="R66" s="105"/>
      <c r="S66" s="107"/>
      <c r="T66" s="108" t="n">
        <v>97.01</v>
      </c>
      <c r="U66" s="95" t="n">
        <f aca="false">SUM(H66:T66)</f>
        <v>1362.01</v>
      </c>
      <c r="V66" s="109" t="s">
        <v>30</v>
      </c>
      <c r="W66" s="10" t="s">
        <v>42</v>
      </c>
      <c r="X66" s="110" t="s">
        <v>39</v>
      </c>
      <c r="Y66" s="187"/>
      <c r="Z66" s="51"/>
    </row>
    <row r="67" s="10" customFormat="true" ht="14.1" hidden="false" customHeight="true" outlineLevel="0" collapsed="false">
      <c r="A67" s="172" t="s">
        <v>48</v>
      </c>
      <c r="B67" s="173" t="s">
        <v>154</v>
      </c>
      <c r="C67" s="174"/>
      <c r="D67" s="175" t="n">
        <v>12192051</v>
      </c>
      <c r="E67" s="176" t="n">
        <v>44914</v>
      </c>
      <c r="F67" s="177" t="s">
        <v>13</v>
      </c>
      <c r="G67" s="178" t="n">
        <v>44914</v>
      </c>
      <c r="H67" s="179"/>
      <c r="I67" s="180"/>
      <c r="J67" s="180"/>
      <c r="K67" s="180"/>
      <c r="L67" s="180"/>
      <c r="M67" s="179" t="n">
        <v>750</v>
      </c>
      <c r="N67" s="180"/>
      <c r="O67" s="179"/>
      <c r="P67" s="181"/>
      <c r="Q67" s="182"/>
      <c r="R67" s="179"/>
      <c r="S67" s="182"/>
      <c r="T67" s="183"/>
      <c r="U67" s="184" t="n">
        <f aca="false">SUM(H67:T67)</f>
        <v>750</v>
      </c>
      <c r="V67" s="185" t="s">
        <v>50</v>
      </c>
      <c r="W67" s="186" t="s">
        <v>48</v>
      </c>
      <c r="X67" s="110" t="s">
        <v>39</v>
      </c>
      <c r="Y67" s="187" t="s">
        <v>155</v>
      </c>
      <c r="Z67" s="51"/>
    </row>
    <row r="68" s="10" customFormat="true" ht="14.1" hidden="false" customHeight="true" outlineLevel="0" collapsed="false">
      <c r="A68" s="172" t="s">
        <v>48</v>
      </c>
      <c r="B68" s="173" t="s">
        <v>167</v>
      </c>
      <c r="C68" s="174" t="s">
        <v>168</v>
      </c>
      <c r="D68" s="175" t="n">
        <v>1103063</v>
      </c>
      <c r="E68" s="176" t="n">
        <v>44936</v>
      </c>
      <c r="F68" s="177" t="s">
        <v>169</v>
      </c>
      <c r="G68" s="178" t="n">
        <v>44936</v>
      </c>
      <c r="H68" s="179"/>
      <c r="I68" s="180"/>
      <c r="J68" s="180"/>
      <c r="K68" s="180"/>
      <c r="L68" s="180"/>
      <c r="M68" s="179"/>
      <c r="N68" s="180"/>
      <c r="O68" s="179" t="n">
        <v>27.5</v>
      </c>
      <c r="P68" s="181"/>
      <c r="Q68" s="182" t="n">
        <v>10</v>
      </c>
      <c r="R68" s="179"/>
      <c r="S68" s="182"/>
      <c r="T68" s="183" t="n">
        <v>2.41</v>
      </c>
      <c r="U68" s="184" t="n">
        <f aca="false">SUM(H68:T68)</f>
        <v>39.91</v>
      </c>
      <c r="V68" s="185" t="s">
        <v>88</v>
      </c>
      <c r="W68" s="186" t="s">
        <v>38</v>
      </c>
      <c r="X68" s="110" t="s">
        <v>39</v>
      </c>
      <c r="Y68" s="187" t="s">
        <v>155</v>
      </c>
      <c r="Z68" s="51"/>
    </row>
    <row r="69" s="10" customFormat="true" ht="14.1" hidden="false" customHeight="true" outlineLevel="0" collapsed="false">
      <c r="A69" s="242" t="s">
        <v>48</v>
      </c>
      <c r="B69" s="243" t="s">
        <v>165</v>
      </c>
      <c r="C69" s="244"/>
      <c r="D69" s="245" t="n">
        <v>3103012</v>
      </c>
      <c r="E69" s="246" t="n">
        <v>44995</v>
      </c>
      <c r="F69" s="247" t="s">
        <v>166</v>
      </c>
      <c r="G69" s="248" t="n">
        <v>44998</v>
      </c>
      <c r="H69" s="249" t="n">
        <v>225</v>
      </c>
      <c r="I69" s="250"/>
      <c r="J69" s="250"/>
      <c r="K69" s="250"/>
      <c r="L69" s="250"/>
      <c r="M69" s="249"/>
      <c r="N69" s="250"/>
      <c r="O69" s="249"/>
      <c r="P69" s="251"/>
      <c r="Q69" s="252"/>
      <c r="R69" s="249"/>
      <c r="S69" s="252"/>
      <c r="T69" s="253" t="n">
        <v>19.42</v>
      </c>
      <c r="U69" s="254" t="n">
        <f aca="false">SUM(H69:T69)</f>
        <v>244.42</v>
      </c>
      <c r="V69" s="255" t="s">
        <v>30</v>
      </c>
      <c r="W69" s="256" t="s">
        <v>48</v>
      </c>
      <c r="X69" s="110" t="s">
        <v>39</v>
      </c>
      <c r="Y69" s="187"/>
      <c r="Z69" s="51"/>
    </row>
    <row r="70" s="10" customFormat="true" ht="13.2" hidden="false" customHeight="true" outlineLevel="0" collapsed="false">
      <c r="A70" s="100" t="s">
        <v>48</v>
      </c>
      <c r="B70" s="2" t="s">
        <v>161</v>
      </c>
      <c r="C70" s="3" t="s">
        <v>162</v>
      </c>
      <c r="D70" s="101" t="n">
        <v>4173052</v>
      </c>
      <c r="E70" s="102" t="n">
        <v>45033</v>
      </c>
      <c r="F70" s="103" t="s">
        <v>13</v>
      </c>
      <c r="G70" s="5" t="n">
        <v>45033</v>
      </c>
      <c r="H70" s="105"/>
      <c r="I70" s="106"/>
      <c r="J70" s="106"/>
      <c r="K70" s="106"/>
      <c r="L70" s="106"/>
      <c r="M70" s="105" t="n">
        <v>69</v>
      </c>
      <c r="N70" s="106" t="n">
        <v>39</v>
      </c>
      <c r="O70" s="105"/>
      <c r="P70" s="7"/>
      <c r="Q70" s="107"/>
      <c r="R70" s="105"/>
      <c r="S70" s="107"/>
      <c r="T70" s="108"/>
      <c r="U70" s="95" t="n">
        <f aca="false">SUM(H70:T70)</f>
        <v>108</v>
      </c>
      <c r="V70" s="109" t="s">
        <v>50</v>
      </c>
      <c r="W70" s="10" t="s">
        <v>163</v>
      </c>
      <c r="X70" s="110" t="s">
        <v>39</v>
      </c>
      <c r="Y70" s="187"/>
      <c r="Z70" s="51"/>
    </row>
    <row r="71" s="10" customFormat="true" ht="13.2" hidden="false" customHeight="true" outlineLevel="0" collapsed="false">
      <c r="A71" s="100" t="s">
        <v>48</v>
      </c>
      <c r="B71" s="2" t="s">
        <v>161</v>
      </c>
      <c r="C71" s="3" t="s">
        <v>164</v>
      </c>
      <c r="D71" s="101" t="n">
        <v>4173053</v>
      </c>
      <c r="E71" s="102" t="n">
        <v>45033</v>
      </c>
      <c r="F71" s="103" t="s">
        <v>13</v>
      </c>
      <c r="G71" s="5" t="n">
        <v>45033</v>
      </c>
      <c r="H71" s="105"/>
      <c r="I71" s="106"/>
      <c r="J71" s="106"/>
      <c r="K71" s="106"/>
      <c r="L71" s="106"/>
      <c r="M71" s="105" t="n">
        <v>69</v>
      </c>
      <c r="N71" s="106" t="n">
        <v>39</v>
      </c>
      <c r="O71" s="105"/>
      <c r="P71" s="7"/>
      <c r="Q71" s="107"/>
      <c r="R71" s="105"/>
      <c r="S71" s="107"/>
      <c r="T71" s="108"/>
      <c r="U71" s="95" t="n">
        <f aca="false">SUM(H71:T71)</f>
        <v>108</v>
      </c>
      <c r="V71" s="109" t="s">
        <v>50</v>
      </c>
      <c r="W71" s="10" t="s">
        <v>51</v>
      </c>
      <c r="X71" s="110" t="s">
        <v>39</v>
      </c>
      <c r="Y71" s="187"/>
      <c r="Z71" s="51"/>
    </row>
    <row r="72" s="10" customFormat="true" ht="14.1" hidden="false" customHeight="true" outlineLevel="0" collapsed="false">
      <c r="A72" s="100" t="s">
        <v>48</v>
      </c>
      <c r="B72" s="2" t="s">
        <v>183</v>
      </c>
      <c r="C72" s="3"/>
      <c r="D72" s="101" t="n">
        <v>4263053</v>
      </c>
      <c r="E72" s="102" t="n">
        <v>45042</v>
      </c>
      <c r="F72" s="103" t="s">
        <v>13</v>
      </c>
      <c r="G72" s="5" t="n">
        <v>45042</v>
      </c>
      <c r="H72" s="105"/>
      <c r="I72" s="106"/>
      <c r="J72" s="106"/>
      <c r="K72" s="106"/>
      <c r="L72" s="106"/>
      <c r="M72" s="105" t="n">
        <v>49</v>
      </c>
      <c r="N72" s="106"/>
      <c r="O72" s="105"/>
      <c r="P72" s="7"/>
      <c r="Q72" s="107"/>
      <c r="R72" s="105"/>
      <c r="S72" s="107"/>
      <c r="T72" s="108"/>
      <c r="U72" s="95" t="n">
        <f aca="false">SUM(H72:T72)</f>
        <v>49</v>
      </c>
      <c r="V72" s="109" t="s">
        <v>50</v>
      </c>
      <c r="W72" s="10" t="s">
        <v>48</v>
      </c>
      <c r="X72" s="110" t="s">
        <v>39</v>
      </c>
      <c r="Y72" s="187"/>
      <c r="Z72" s="51"/>
    </row>
    <row r="73" s="10" customFormat="true" ht="14.1" hidden="false" customHeight="true" outlineLevel="0" collapsed="false">
      <c r="A73" s="172" t="s">
        <v>47</v>
      </c>
      <c r="B73" s="173" t="s">
        <v>127</v>
      </c>
      <c r="C73" s="174"/>
      <c r="D73" s="175" t="n">
        <v>1043062</v>
      </c>
      <c r="E73" s="176" t="n">
        <v>44929</v>
      </c>
      <c r="F73" s="177" t="s">
        <v>35</v>
      </c>
      <c r="G73" s="178" t="n">
        <v>44929</v>
      </c>
      <c r="H73" s="179"/>
      <c r="I73" s="180"/>
      <c r="J73" s="180"/>
      <c r="K73" s="180"/>
      <c r="L73" s="180"/>
      <c r="M73" s="179"/>
      <c r="N73" s="180"/>
      <c r="O73" s="179"/>
      <c r="P73" s="181"/>
      <c r="Q73" s="182"/>
      <c r="R73" s="179" t="n">
        <v>243</v>
      </c>
      <c r="S73" s="182" t="n">
        <v>40</v>
      </c>
      <c r="T73" s="183" t="n">
        <v>20.96</v>
      </c>
      <c r="U73" s="184" t="n">
        <f aca="false">SUM(H73:T73)</f>
        <v>303.96</v>
      </c>
      <c r="V73" s="185" t="s">
        <v>88</v>
      </c>
      <c r="W73" s="186" t="s">
        <v>38</v>
      </c>
      <c r="X73" s="110" t="s">
        <v>39</v>
      </c>
      <c r="Y73" s="187" t="s">
        <v>178</v>
      </c>
      <c r="Z73" s="51"/>
    </row>
    <row r="74" s="10" customFormat="true" ht="14.1" hidden="false" customHeight="true" outlineLevel="0" collapsed="false">
      <c r="A74" s="203" t="s">
        <v>47</v>
      </c>
      <c r="B74" s="204" t="s">
        <v>181</v>
      </c>
      <c r="C74" s="205"/>
      <c r="D74" s="206" t="n">
        <v>2072064</v>
      </c>
      <c r="E74" s="207" t="n">
        <v>44964</v>
      </c>
      <c r="F74" s="208" t="s">
        <v>35</v>
      </c>
      <c r="G74" s="209" t="n">
        <v>44964</v>
      </c>
      <c r="H74" s="210"/>
      <c r="I74" s="211"/>
      <c r="J74" s="211"/>
      <c r="K74" s="211"/>
      <c r="L74" s="211"/>
      <c r="M74" s="210"/>
      <c r="N74" s="211"/>
      <c r="O74" s="210"/>
      <c r="P74" s="212"/>
      <c r="Q74" s="213"/>
      <c r="R74" s="210" t="n">
        <v>79</v>
      </c>
      <c r="S74" s="213"/>
      <c r="T74" s="214"/>
      <c r="U74" s="215" t="n">
        <f aca="false">SUM(H74:T74)</f>
        <v>79</v>
      </c>
      <c r="V74" s="216" t="s">
        <v>84</v>
      </c>
      <c r="W74" s="217" t="s">
        <v>182</v>
      </c>
      <c r="X74" s="110" t="s">
        <v>39</v>
      </c>
      <c r="Y74" s="187"/>
      <c r="Z74" s="51"/>
    </row>
    <row r="75" s="10" customFormat="true" ht="14.1" hidden="false" customHeight="true" outlineLevel="0" collapsed="false">
      <c r="A75" s="203" t="s">
        <v>47</v>
      </c>
      <c r="B75" s="204" t="s">
        <v>159</v>
      </c>
      <c r="C75" s="205"/>
      <c r="D75" s="206" t="n">
        <v>2083062</v>
      </c>
      <c r="E75" s="207" t="n">
        <v>44965</v>
      </c>
      <c r="F75" s="208" t="s">
        <v>35</v>
      </c>
      <c r="G75" s="209" t="n">
        <v>44965</v>
      </c>
      <c r="H75" s="210"/>
      <c r="I75" s="211"/>
      <c r="J75" s="211"/>
      <c r="K75" s="211"/>
      <c r="L75" s="211"/>
      <c r="M75" s="210"/>
      <c r="N75" s="211"/>
      <c r="O75" s="210"/>
      <c r="P75" s="212"/>
      <c r="Q75" s="213"/>
      <c r="R75" s="210" t="n">
        <v>345</v>
      </c>
      <c r="S75" s="213"/>
      <c r="T75" s="214"/>
      <c r="U75" s="215" t="n">
        <f aca="false">SUM(H75:T75)</f>
        <v>345</v>
      </c>
      <c r="V75" s="216" t="s">
        <v>88</v>
      </c>
      <c r="W75" s="217" t="s">
        <v>38</v>
      </c>
      <c r="X75" s="110" t="s">
        <v>39</v>
      </c>
      <c r="Y75" s="187"/>
      <c r="Z75" s="51"/>
    </row>
    <row r="76" s="10" customFormat="true" ht="14.1" hidden="false" customHeight="true" outlineLevel="0" collapsed="false">
      <c r="A76" s="203" t="s">
        <v>47</v>
      </c>
      <c r="B76" s="204" t="s">
        <v>159</v>
      </c>
      <c r="C76" s="205"/>
      <c r="D76" s="206" t="n">
        <v>2083064</v>
      </c>
      <c r="E76" s="207" t="n">
        <v>44965</v>
      </c>
      <c r="F76" s="208" t="s">
        <v>35</v>
      </c>
      <c r="G76" s="209" t="n">
        <v>44965</v>
      </c>
      <c r="H76" s="210"/>
      <c r="I76" s="211"/>
      <c r="J76" s="211"/>
      <c r="K76" s="211"/>
      <c r="L76" s="211"/>
      <c r="M76" s="210"/>
      <c r="N76" s="211"/>
      <c r="O76" s="210"/>
      <c r="P76" s="212"/>
      <c r="Q76" s="213"/>
      <c r="R76" s="210" t="n">
        <v>79</v>
      </c>
      <c r="S76" s="213"/>
      <c r="T76" s="214"/>
      <c r="U76" s="215" t="n">
        <f aca="false">SUM(H76:T76)</f>
        <v>79</v>
      </c>
      <c r="V76" s="216" t="s">
        <v>88</v>
      </c>
      <c r="W76" s="217" t="s">
        <v>38</v>
      </c>
      <c r="X76" s="110" t="s">
        <v>39</v>
      </c>
      <c r="Y76" s="187"/>
      <c r="Z76" s="51"/>
    </row>
    <row r="77" s="10" customFormat="true" ht="13.2" hidden="false" customHeight="true" outlineLevel="0" collapsed="false">
      <c r="A77" s="100" t="s">
        <v>47</v>
      </c>
      <c r="B77" s="2" t="s">
        <v>159</v>
      </c>
      <c r="C77" s="3"/>
      <c r="D77" s="101" t="n">
        <v>4063064</v>
      </c>
      <c r="E77" s="102" t="n">
        <v>45022</v>
      </c>
      <c r="F77" s="103" t="s">
        <v>35</v>
      </c>
      <c r="G77" s="5" t="n">
        <v>45022</v>
      </c>
      <c r="H77" s="105"/>
      <c r="I77" s="106"/>
      <c r="J77" s="106"/>
      <c r="K77" s="106"/>
      <c r="L77" s="106"/>
      <c r="M77" s="105"/>
      <c r="N77" s="106"/>
      <c r="O77" s="105"/>
      <c r="P77" s="7"/>
      <c r="Q77" s="107"/>
      <c r="R77" s="105" t="n">
        <v>395</v>
      </c>
      <c r="S77" s="107"/>
      <c r="T77" s="108"/>
      <c r="U77" s="95" t="n">
        <f aca="false">SUM(H77:T77)</f>
        <v>395</v>
      </c>
      <c r="V77" s="109" t="s">
        <v>37</v>
      </c>
      <c r="W77" s="10" t="s">
        <v>38</v>
      </c>
      <c r="X77" s="110" t="s">
        <v>39</v>
      </c>
      <c r="Y77" s="187"/>
      <c r="Z77" s="51"/>
    </row>
    <row r="78" s="10" customFormat="true" ht="13.2" hidden="false" customHeight="true" outlineLevel="0" collapsed="false">
      <c r="A78" s="100" t="s">
        <v>47</v>
      </c>
      <c r="B78" s="2" t="s">
        <v>173</v>
      </c>
      <c r="C78" s="3"/>
      <c r="D78" s="101" t="n">
        <v>4073068</v>
      </c>
      <c r="E78" s="102" t="n">
        <v>45023</v>
      </c>
      <c r="F78" s="103" t="s">
        <v>174</v>
      </c>
      <c r="G78" s="5" t="n">
        <v>45023</v>
      </c>
      <c r="H78" s="105" t="n">
        <v>39000</v>
      </c>
      <c r="I78" s="106"/>
      <c r="J78" s="106"/>
      <c r="K78" s="106"/>
      <c r="L78" s="106"/>
      <c r="M78" s="105"/>
      <c r="N78" s="106"/>
      <c r="O78" s="105"/>
      <c r="P78" s="7"/>
      <c r="Q78" s="107"/>
      <c r="R78" s="105"/>
      <c r="S78" s="107" t="n">
        <v>475</v>
      </c>
      <c r="T78" s="106" t="n">
        <v>3705</v>
      </c>
      <c r="U78" s="95" t="n">
        <f aca="false">SUM(H78:T78)</f>
        <v>43180</v>
      </c>
      <c r="V78" s="109" t="s">
        <v>129</v>
      </c>
      <c r="W78" s="10" t="s">
        <v>48</v>
      </c>
      <c r="X78" s="110" t="s">
        <v>39</v>
      </c>
      <c r="Y78" s="187"/>
      <c r="Z78" s="51"/>
    </row>
    <row r="79" s="10" customFormat="true" ht="13.2" hidden="false" customHeight="true" outlineLevel="0" collapsed="false">
      <c r="A79" s="100" t="s">
        <v>47</v>
      </c>
      <c r="B79" s="2" t="s">
        <v>156</v>
      </c>
      <c r="C79" s="3"/>
      <c r="D79" s="101" t="n">
        <v>4133062</v>
      </c>
      <c r="E79" s="102" t="n">
        <v>45029</v>
      </c>
      <c r="F79" s="103" t="s">
        <v>35</v>
      </c>
      <c r="G79" s="5" t="n">
        <v>45029</v>
      </c>
      <c r="H79" s="105"/>
      <c r="I79" s="106"/>
      <c r="J79" s="106"/>
      <c r="K79" s="106"/>
      <c r="L79" s="106"/>
      <c r="M79" s="105"/>
      <c r="N79" s="106"/>
      <c r="O79" s="105"/>
      <c r="P79" s="7"/>
      <c r="Q79" s="107"/>
      <c r="R79" s="105" t="n">
        <v>120</v>
      </c>
      <c r="S79" s="107" t="n">
        <v>25</v>
      </c>
      <c r="T79" s="108" t="n">
        <v>9.3</v>
      </c>
      <c r="U79" s="95" t="n">
        <f aca="false">SUM(H79:T79)</f>
        <v>154.3</v>
      </c>
      <c r="V79" s="109" t="s">
        <v>37</v>
      </c>
      <c r="W79" s="10" t="s">
        <v>38</v>
      </c>
      <c r="X79" s="110" t="s">
        <v>39</v>
      </c>
      <c r="Y79" s="187"/>
      <c r="Z79" s="51"/>
    </row>
    <row r="80" s="10" customFormat="true" ht="13.2" hidden="false" customHeight="true" outlineLevel="0" collapsed="false">
      <c r="A80" s="100" t="s">
        <v>47</v>
      </c>
      <c r="B80" s="2" t="s">
        <v>184</v>
      </c>
      <c r="C80" s="3"/>
      <c r="D80" s="101" t="n">
        <v>4143062</v>
      </c>
      <c r="E80" s="102" t="n">
        <v>45030</v>
      </c>
      <c r="F80" s="103" t="s">
        <v>35</v>
      </c>
      <c r="G80" s="5" t="n">
        <v>45030</v>
      </c>
      <c r="H80" s="105"/>
      <c r="I80" s="106"/>
      <c r="J80" s="106"/>
      <c r="K80" s="106"/>
      <c r="L80" s="106"/>
      <c r="M80" s="105"/>
      <c r="N80" s="106"/>
      <c r="O80" s="105"/>
      <c r="P80" s="7"/>
      <c r="Q80" s="107"/>
      <c r="R80" s="105" t="n">
        <v>130</v>
      </c>
      <c r="S80" s="107" t="n">
        <v>25</v>
      </c>
      <c r="T80" s="108" t="n">
        <v>11.21</v>
      </c>
      <c r="U80" s="95" t="n">
        <f aca="false">SUM(H80:T80)</f>
        <v>166.21</v>
      </c>
      <c r="V80" s="109" t="s">
        <v>37</v>
      </c>
      <c r="W80" s="10" t="s">
        <v>47</v>
      </c>
      <c r="X80" s="110" t="s">
        <v>39</v>
      </c>
      <c r="Y80" s="187"/>
      <c r="Z80" s="51"/>
    </row>
    <row r="81" s="10" customFormat="true" ht="14.1" hidden="false" customHeight="true" outlineLevel="0" collapsed="false">
      <c r="A81" s="100" t="s">
        <v>47</v>
      </c>
      <c r="B81" s="2" t="s">
        <v>176</v>
      </c>
      <c r="C81" s="3"/>
      <c r="D81" s="101" t="n">
        <v>4253063</v>
      </c>
      <c r="E81" s="102" t="n">
        <v>45041</v>
      </c>
      <c r="F81" s="103" t="s">
        <v>35</v>
      </c>
      <c r="G81" s="5" t="n">
        <v>45041</v>
      </c>
      <c r="H81" s="105"/>
      <c r="I81" s="106"/>
      <c r="J81" s="106"/>
      <c r="K81" s="106"/>
      <c r="L81" s="106"/>
      <c r="M81" s="105"/>
      <c r="N81" s="106"/>
      <c r="O81" s="105"/>
      <c r="P81" s="7"/>
      <c r="Q81" s="107"/>
      <c r="R81" s="105" t="n">
        <v>234</v>
      </c>
      <c r="S81" s="107" t="n">
        <v>12.5</v>
      </c>
      <c r="T81" s="108" t="n">
        <v>20.18</v>
      </c>
      <c r="U81" s="95" t="n">
        <f aca="false">SUM(H81:T81)</f>
        <v>266.68</v>
      </c>
      <c r="V81" s="109" t="s">
        <v>37</v>
      </c>
      <c r="W81" s="10" t="s">
        <v>38</v>
      </c>
      <c r="X81" s="110" t="s">
        <v>39</v>
      </c>
      <c r="Y81" s="187"/>
      <c r="Z81" s="51"/>
    </row>
    <row r="82" s="10" customFormat="true" ht="14.1" hidden="false" customHeight="true" outlineLevel="0" collapsed="false">
      <c r="A82" s="100" t="s">
        <v>47</v>
      </c>
      <c r="B82" s="2" t="s">
        <v>159</v>
      </c>
      <c r="C82" s="3" t="s">
        <v>160</v>
      </c>
      <c r="D82" s="101" t="n">
        <v>4253064</v>
      </c>
      <c r="E82" s="102" t="n">
        <v>45041</v>
      </c>
      <c r="F82" s="103" t="s">
        <v>35</v>
      </c>
      <c r="G82" s="5" t="n">
        <v>45042</v>
      </c>
      <c r="H82" s="105"/>
      <c r="I82" s="106"/>
      <c r="J82" s="106"/>
      <c r="K82" s="106"/>
      <c r="L82" s="106"/>
      <c r="M82" s="105"/>
      <c r="N82" s="106"/>
      <c r="O82" s="105"/>
      <c r="P82" s="7"/>
      <c r="Q82" s="107"/>
      <c r="R82" s="105" t="n">
        <v>483</v>
      </c>
      <c r="S82" s="107"/>
      <c r="T82" s="108"/>
      <c r="U82" s="95" t="n">
        <f aca="false">SUM(H82:T82)</f>
        <v>483</v>
      </c>
      <c r="V82" s="109" t="s">
        <v>37</v>
      </c>
      <c r="W82" s="10" t="s">
        <v>38</v>
      </c>
      <c r="X82" s="110" t="s">
        <v>39</v>
      </c>
      <c r="Y82" s="187"/>
      <c r="Z82" s="51"/>
    </row>
    <row r="83" s="10" customFormat="true" ht="14.1" hidden="false" customHeight="true" outlineLevel="0" collapsed="false">
      <c r="A83" s="100" t="s">
        <v>47</v>
      </c>
      <c r="B83" s="2" t="s">
        <v>159</v>
      </c>
      <c r="C83" s="3" t="s">
        <v>160</v>
      </c>
      <c r="D83" s="101" t="n">
        <v>4253065</v>
      </c>
      <c r="E83" s="102" t="n">
        <v>45041</v>
      </c>
      <c r="F83" s="103" t="s">
        <v>35</v>
      </c>
      <c r="G83" s="5" t="n">
        <v>45042</v>
      </c>
      <c r="H83" s="105"/>
      <c r="I83" s="106"/>
      <c r="J83" s="106"/>
      <c r="K83" s="106"/>
      <c r="L83" s="106"/>
      <c r="M83" s="105"/>
      <c r="N83" s="106"/>
      <c r="O83" s="105"/>
      <c r="P83" s="7"/>
      <c r="Q83" s="107"/>
      <c r="R83" s="105" t="n">
        <v>602</v>
      </c>
      <c r="S83" s="107"/>
      <c r="T83" s="108"/>
      <c r="U83" s="95" t="n">
        <f aca="false">SUM(H83:T83)</f>
        <v>602</v>
      </c>
      <c r="V83" s="109" t="s">
        <v>37</v>
      </c>
      <c r="W83" s="10" t="s">
        <v>38</v>
      </c>
      <c r="X83" s="110" t="s">
        <v>39</v>
      </c>
      <c r="Y83" s="187"/>
      <c r="Z83" s="51"/>
    </row>
    <row r="84" s="10" customFormat="true" ht="14.1" hidden="false" customHeight="true" outlineLevel="0" collapsed="false">
      <c r="A84" s="100" t="s">
        <v>47</v>
      </c>
      <c r="B84" s="2" t="s">
        <v>157</v>
      </c>
      <c r="C84" s="3"/>
      <c r="D84" s="101" t="n">
        <v>4263062</v>
      </c>
      <c r="E84" s="102" t="n">
        <v>45042</v>
      </c>
      <c r="F84" s="103" t="s">
        <v>35</v>
      </c>
      <c r="G84" s="5" t="n">
        <v>45042</v>
      </c>
      <c r="H84" s="105"/>
      <c r="I84" s="106"/>
      <c r="J84" s="106"/>
      <c r="K84" s="106"/>
      <c r="L84" s="106"/>
      <c r="M84" s="105"/>
      <c r="N84" s="106"/>
      <c r="O84" s="105"/>
      <c r="P84" s="7"/>
      <c r="Q84" s="107"/>
      <c r="R84" s="105" t="n">
        <v>1490</v>
      </c>
      <c r="S84" s="107"/>
      <c r="T84" s="108"/>
      <c r="U84" s="95" t="n">
        <f aca="false">SUM(H84:T84)</f>
        <v>1490</v>
      </c>
      <c r="V84" s="109" t="s">
        <v>84</v>
      </c>
      <c r="W84" s="10" t="s">
        <v>158</v>
      </c>
      <c r="X84" s="110" t="s">
        <v>39</v>
      </c>
      <c r="Y84" s="187"/>
      <c r="Z84" s="51"/>
    </row>
    <row r="85" s="10" customFormat="true" ht="14.1" hidden="false" customHeight="true" outlineLevel="0" collapsed="false">
      <c r="A85" s="290"/>
      <c r="B85" s="2"/>
      <c r="C85" s="3"/>
      <c r="D85" s="101"/>
      <c r="E85" s="102"/>
      <c r="F85" s="103"/>
      <c r="G85" s="5"/>
      <c r="H85" s="105"/>
      <c r="I85" s="106"/>
      <c r="J85" s="106"/>
      <c r="K85" s="106"/>
      <c r="L85" s="106"/>
      <c r="M85" s="105"/>
      <c r="N85" s="106"/>
      <c r="O85" s="105"/>
      <c r="P85" s="7"/>
      <c r="Q85" s="107"/>
      <c r="R85" s="105"/>
      <c r="S85" s="107"/>
      <c r="T85" s="108"/>
      <c r="U85" s="95"/>
      <c r="V85" s="109"/>
      <c r="X85" s="110"/>
      <c r="Y85" s="291" t="n">
        <f aca="false">SUM(U72:U84)</f>
        <v>47593.15</v>
      </c>
      <c r="Z85" s="202" t="e">
        <f aca="false">Y85/V174</f>
        <v>#DIV/0!</v>
      </c>
      <c r="AA85" s="51"/>
    </row>
    <row r="86" s="10" customFormat="true" ht="14.1" hidden="false" customHeight="true" outlineLevel="0" collapsed="false">
      <c r="A86" s="290"/>
      <c r="B86" s="2"/>
      <c r="C86" s="3"/>
      <c r="D86" s="101"/>
      <c r="E86" s="102"/>
      <c r="F86" s="103"/>
      <c r="G86" s="5"/>
      <c r="H86" s="105"/>
      <c r="I86" s="106"/>
      <c r="J86" s="106"/>
      <c r="K86" s="106"/>
      <c r="L86" s="106"/>
      <c r="M86" s="105"/>
      <c r="N86" s="106"/>
      <c r="O86" s="105"/>
      <c r="P86" s="7"/>
      <c r="Q86" s="107"/>
      <c r="R86" s="105"/>
      <c r="S86" s="107"/>
      <c r="T86" s="108"/>
      <c r="U86" s="95"/>
      <c r="V86" s="109"/>
      <c r="X86" s="110"/>
      <c r="Y86" s="292" t="n">
        <f aca="false">SUM(U76:U85)</f>
        <v>46816.19</v>
      </c>
      <c r="Z86" s="202" t="e">
        <f aca="false">Y86/V183</f>
        <v>#DIV/0!</v>
      </c>
      <c r="AA86" s="51"/>
    </row>
    <row r="87" s="10" customFormat="true" ht="14.1" hidden="false" customHeight="true" outlineLevel="0" collapsed="false">
      <c r="A87" s="290"/>
      <c r="B87" s="2"/>
      <c r="C87" s="3"/>
      <c r="D87" s="101"/>
      <c r="E87" s="102"/>
      <c r="F87" s="103"/>
      <c r="G87" s="5"/>
      <c r="H87" s="105"/>
      <c r="I87" s="106"/>
      <c r="J87" s="106"/>
      <c r="K87" s="106"/>
      <c r="L87" s="106"/>
      <c r="M87" s="105"/>
      <c r="N87" s="106"/>
      <c r="O87" s="105"/>
      <c r="P87" s="7"/>
      <c r="Q87" s="107"/>
      <c r="R87" s="105"/>
      <c r="S87" s="107"/>
      <c r="T87" s="108"/>
      <c r="U87" s="95"/>
      <c r="V87" s="109"/>
      <c r="X87" s="110"/>
      <c r="Y87" s="293" t="n">
        <f aca="false">SUM(U73:U86)</f>
        <v>47544.15</v>
      </c>
      <c r="Z87" s="202" t="e">
        <f aca="false">Y87/V185</f>
        <v>#DIV/0!</v>
      </c>
      <c r="AA87" s="51"/>
    </row>
    <row r="88" s="10" customFormat="true" ht="14.1" hidden="false" customHeight="true" outlineLevel="0" collapsed="false">
      <c r="A88" s="189"/>
      <c r="B88" s="190"/>
      <c r="C88" s="191"/>
      <c r="D88" s="191"/>
      <c r="E88" s="192"/>
      <c r="F88" s="193"/>
      <c r="G88" s="194"/>
      <c r="H88" s="195"/>
      <c r="I88" s="195"/>
      <c r="J88" s="196"/>
      <c r="K88" s="196"/>
      <c r="L88" s="196"/>
      <c r="M88" s="195"/>
      <c r="N88" s="195"/>
      <c r="O88" s="195"/>
      <c r="P88" s="128"/>
      <c r="Q88" s="197"/>
      <c r="R88" s="195"/>
      <c r="S88" s="197"/>
      <c r="T88" s="198"/>
      <c r="U88" s="199"/>
      <c r="V88" s="200"/>
      <c r="W88" s="29"/>
      <c r="X88" s="29"/>
      <c r="Y88" s="258" t="n">
        <f aca="false">SUM(U44:U87)</f>
        <v>56181.07</v>
      </c>
      <c r="Z88" s="202" t="n">
        <f aca="false">Y88/V90</f>
        <v>0.83784527836648</v>
      </c>
      <c r="AA88" s="51"/>
    </row>
    <row r="89" s="10" customFormat="true" ht="19.5" hidden="false" customHeight="true" outlineLevel="0" collapsed="false">
      <c r="A89" s="259"/>
      <c r="B89" s="260"/>
      <c r="C89" s="260"/>
      <c r="D89" s="49"/>
      <c r="E89" s="49"/>
      <c r="F89" s="261"/>
      <c r="G89" s="49"/>
      <c r="H89" s="262" t="n">
        <f aca="false">SUM(H4:H87)</f>
        <v>40220</v>
      </c>
      <c r="I89" s="262" t="n">
        <f aca="false">SUM(I4:I87)</f>
        <v>0</v>
      </c>
      <c r="J89" s="262" t="n">
        <f aca="false">SUM(J4:J87)</f>
        <v>180</v>
      </c>
      <c r="K89" s="262" t="n">
        <f aca="false">SUM(K4:K87)</f>
        <v>0</v>
      </c>
      <c r="L89" s="262" t="n">
        <f aca="false">SUM(L4:L87)</f>
        <v>0</v>
      </c>
      <c r="M89" s="262" t="n">
        <f aca="false">SUM(M4:M87)</f>
        <v>1032</v>
      </c>
      <c r="N89" s="262" t="n">
        <f aca="false">SUM(N4:N87)</f>
        <v>78</v>
      </c>
      <c r="O89" s="262" t="n">
        <f aca="false">SUM(O4:O87)</f>
        <v>27.5</v>
      </c>
      <c r="P89" s="262" t="n">
        <f aca="false">SUM(P4:P87)</f>
        <v>360</v>
      </c>
      <c r="Q89" s="262" t="n">
        <f aca="false">SUM(Q4:Q87)</f>
        <v>280</v>
      </c>
      <c r="R89" s="262" t="n">
        <f aca="false">SUM(R4:R87)</f>
        <v>16800.5</v>
      </c>
      <c r="S89" s="262" t="n">
        <f aca="false">SUM(S4:S87)</f>
        <v>3052.5</v>
      </c>
      <c r="T89" s="262" t="n">
        <f aca="false">SUM(T4:T87)</f>
        <v>5023.73</v>
      </c>
      <c r="U89" s="262" t="n">
        <f aca="false">SUM(U4:U87)</f>
        <v>67054.23</v>
      </c>
      <c r="V89" s="263"/>
      <c r="W89" s="11"/>
      <c r="X89" s="11"/>
      <c r="Y89" s="3"/>
      <c r="Z89" s="2"/>
      <c r="AA89" s="264"/>
      <c r="AB89" s="264"/>
      <c r="AC89" s="264"/>
    </row>
    <row r="90" s="10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9"/>
      <c r="V90" s="265" t="n">
        <f aca="false">SUM(H89:T89)</f>
        <v>67054.23</v>
      </c>
      <c r="Y90" s="266"/>
      <c r="Z90" s="12"/>
    </row>
    <row r="91" s="10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9"/>
      <c r="V91" s="2"/>
      <c r="Y91" s="266"/>
      <c r="Z91" s="12"/>
    </row>
    <row r="92" s="10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9"/>
      <c r="V92" s="2"/>
      <c r="Y92" s="266"/>
      <c r="Z92" s="12"/>
    </row>
    <row r="93" s="10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9"/>
      <c r="V93" s="2"/>
      <c r="Y93" s="266"/>
      <c r="Z93" s="12"/>
    </row>
    <row r="94" s="10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9"/>
      <c r="V94" s="2"/>
      <c r="Y94" s="266"/>
      <c r="Z94" s="12"/>
    </row>
    <row r="95" s="10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9"/>
      <c r="V95" s="2"/>
      <c r="Y95" s="266"/>
      <c r="Z95" s="12"/>
    </row>
    <row r="96" s="10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9"/>
      <c r="V96" s="2"/>
      <c r="Y96" s="266"/>
      <c r="Z96" s="12"/>
    </row>
    <row r="97" s="10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9"/>
      <c r="V97" s="2"/>
      <c r="Y97" s="266"/>
      <c r="Z97" s="12"/>
    </row>
    <row r="98" s="10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9"/>
      <c r="V98" s="2"/>
      <c r="Y98" s="266"/>
      <c r="Z98" s="12"/>
    </row>
    <row r="99" s="10" customFormat="true" ht="14.1" hidden="false" customHeight="true" outlineLevel="0" collapsed="false">
      <c r="A99" s="2"/>
      <c r="B99" s="2"/>
      <c r="C99" s="267"/>
      <c r="D99" s="3"/>
      <c r="E99" s="4"/>
      <c r="F99" s="3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8"/>
      <c r="T99" s="8"/>
      <c r="V99" s="268"/>
      <c r="W99" s="269"/>
      <c r="X99" s="269"/>
      <c r="Y99" s="270"/>
      <c r="Z99" s="2"/>
    </row>
    <row r="100" s="10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9"/>
      <c r="V100" s="2"/>
      <c r="Y100" s="266"/>
      <c r="Z100" s="12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"/>
      <c r="Y101" s="266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66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66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66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66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66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66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66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66"/>
      <c r="Z109" s="12"/>
    </row>
    <row r="110" s="10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9"/>
      <c r="V110" s="2"/>
      <c r="Y110" s="266"/>
      <c r="Z110" s="1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66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66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66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66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66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66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66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66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66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66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66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66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66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66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66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66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66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66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66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66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66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66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66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66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66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66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66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66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66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66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66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66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66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66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66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66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66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66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66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66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66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66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66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66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66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66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66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66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66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66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66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66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66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66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66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66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66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66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66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66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66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66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66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66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66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66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66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66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66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66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66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66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66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66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66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66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66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66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66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66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66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66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66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66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66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66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66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66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66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66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66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66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66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66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66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66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66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66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66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66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66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66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66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66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66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66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66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66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66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66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66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66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66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66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66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66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66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66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66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66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66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66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66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66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66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66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66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66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66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66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66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66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66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66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66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66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66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66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66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66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66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66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66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66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66"/>
      <c r="Z255" s="12"/>
    </row>
    <row r="256" s="10" customFormat="true" ht="14.1" hidden="false" customHeight="true" outlineLevel="0" collapsed="false">
      <c r="A256" s="2"/>
      <c r="B256" s="2"/>
      <c r="C256" s="3"/>
      <c r="D256" s="3"/>
      <c r="E256" s="4"/>
      <c r="F256" s="3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9"/>
      <c r="V256" s="2"/>
      <c r="Y256" s="266"/>
      <c r="Z256" s="12"/>
    </row>
    <row r="257" s="10" customFormat="true" ht="14.1" hidden="false" customHeight="true" outlineLevel="0" collapsed="false">
      <c r="A257" s="2"/>
      <c r="B257" s="2"/>
      <c r="C257" s="3"/>
      <c r="D257" s="3"/>
      <c r="E257" s="4"/>
      <c r="F257" s="3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9"/>
      <c r="V257" s="2"/>
      <c r="Y257" s="266"/>
      <c r="Z257" s="12"/>
    </row>
    <row r="258" s="10" customFormat="true" ht="14.1" hidden="false" customHeight="true" outlineLevel="0" collapsed="false">
      <c r="A258" s="2"/>
      <c r="B258" s="2"/>
      <c r="C258" s="3"/>
      <c r="D258" s="3"/>
      <c r="E258" s="4"/>
      <c r="F258" s="3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9"/>
      <c r="V258" s="2"/>
      <c r="Y258" s="266"/>
      <c r="Z258" s="12"/>
    </row>
    <row r="259" s="10" customFormat="true" ht="14.1" hidden="false" customHeight="true" outlineLevel="0" collapsed="false">
      <c r="A259" s="2"/>
      <c r="B259" s="2"/>
      <c r="C259" s="3"/>
      <c r="D259" s="3"/>
      <c r="E259" s="4"/>
      <c r="F259" s="3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8"/>
      <c r="U259" s="9"/>
      <c r="V259" s="2"/>
      <c r="Y259" s="266"/>
      <c r="Z259" s="12"/>
    </row>
    <row r="260" s="10" customFormat="true" ht="14.1" hidden="false" customHeight="true" outlineLevel="0" collapsed="false">
      <c r="A260" s="2"/>
      <c r="B260" s="2"/>
      <c r="C260" s="3"/>
      <c r="D260" s="3"/>
      <c r="E260" s="4"/>
      <c r="F260" s="3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"/>
      <c r="U260" s="9"/>
      <c r="V260" s="2"/>
      <c r="Y260" s="266"/>
      <c r="Z260" s="12"/>
    </row>
    <row r="261" s="10" customFormat="true" ht="14.1" hidden="false" customHeight="true" outlineLevel="0" collapsed="false">
      <c r="A261" s="2"/>
      <c r="B261" s="2"/>
      <c r="C261" s="3"/>
      <c r="D261" s="3"/>
      <c r="E261" s="4"/>
      <c r="F261" s="3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8"/>
      <c r="U261" s="9"/>
      <c r="V261" s="2"/>
      <c r="Y261" s="266"/>
      <c r="Z261" s="12"/>
    </row>
    <row r="262" s="10" customFormat="true" ht="14.1" hidden="false" customHeight="true" outlineLevel="0" collapsed="false">
      <c r="A262" s="2"/>
      <c r="B262" s="2"/>
      <c r="C262" s="3"/>
      <c r="D262" s="3"/>
      <c r="E262" s="4"/>
      <c r="F262" s="3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8"/>
      <c r="U262" s="9"/>
      <c r="V262" s="2"/>
      <c r="Y262" s="266"/>
      <c r="Z262" s="12"/>
    </row>
    <row r="263" s="10" customFormat="true" ht="14.1" hidden="false" customHeight="true" outlineLevel="0" collapsed="false">
      <c r="A263" s="2"/>
      <c r="B263" s="2"/>
      <c r="C263" s="3"/>
      <c r="D263" s="3"/>
      <c r="E263" s="4"/>
      <c r="F263" s="3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8"/>
      <c r="U263" s="9"/>
      <c r="V263" s="2"/>
      <c r="Y263" s="266"/>
      <c r="Z263" s="12"/>
    </row>
    <row r="264" s="10" customFormat="true" ht="14.1" hidden="false" customHeight="true" outlineLevel="0" collapsed="false">
      <c r="A264" s="2"/>
      <c r="B264" s="2"/>
      <c r="C264" s="3"/>
      <c r="D264" s="3"/>
      <c r="E264" s="4"/>
      <c r="F264" s="3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8"/>
      <c r="U264" s="9"/>
      <c r="V264" s="2"/>
      <c r="Y264" s="266"/>
      <c r="Z264" s="12"/>
    </row>
    <row r="265" s="10" customFormat="true" ht="14.1" hidden="false" customHeight="true" outlineLevel="0" collapsed="false">
      <c r="A265" s="2"/>
      <c r="B265" s="2"/>
      <c r="C265" s="3"/>
      <c r="D265" s="3"/>
      <c r="E265" s="4"/>
      <c r="F265" s="3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"/>
      <c r="U265" s="9"/>
      <c r="V265" s="2"/>
      <c r="Y265" s="266"/>
      <c r="Z265" s="12"/>
    </row>
    <row r="266" s="10" customFormat="true" ht="14.1" hidden="false" customHeight="true" outlineLevel="0" collapsed="false">
      <c r="A266" s="2"/>
      <c r="B266" s="2"/>
      <c r="C266" s="3"/>
      <c r="D266" s="3"/>
      <c r="E266" s="4"/>
      <c r="F266" s="3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"/>
      <c r="U266" s="9"/>
      <c r="V266" s="2"/>
      <c r="Y266" s="266"/>
      <c r="Z266" s="12"/>
    </row>
    <row r="267" s="10" customFormat="true" ht="14.1" hidden="false" customHeight="true" outlineLevel="0" collapsed="false">
      <c r="A267" s="2"/>
      <c r="B267" s="2"/>
      <c r="C267" s="3"/>
      <c r="D267" s="3"/>
      <c r="E267" s="4"/>
      <c r="F267" s="3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"/>
      <c r="U267" s="9"/>
      <c r="V267" s="2"/>
      <c r="Y267" s="266"/>
      <c r="Z267" s="12"/>
    </row>
    <row r="268" s="10" customFormat="true" ht="14.1" hidden="false" customHeight="true" outlineLevel="0" collapsed="false">
      <c r="A268" s="2"/>
      <c r="B268" s="2"/>
      <c r="C268" s="3"/>
      <c r="D268" s="3"/>
      <c r="E268" s="4"/>
      <c r="F268" s="3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8"/>
      <c r="U268" s="9"/>
      <c r="V268" s="2"/>
      <c r="Y268" s="266"/>
      <c r="Z268" s="12"/>
    </row>
    <row r="269" s="10" customFormat="true" ht="14.1" hidden="false" customHeight="true" outlineLevel="0" collapsed="false">
      <c r="A269" s="2"/>
      <c r="B269" s="2"/>
      <c r="C269" s="3"/>
      <c r="D269" s="3"/>
      <c r="E269" s="4"/>
      <c r="F269" s="3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8"/>
      <c r="U269" s="9"/>
      <c r="V269" s="2"/>
      <c r="Y269" s="266"/>
      <c r="Z269" s="12"/>
    </row>
    <row r="270" s="10" customFormat="true" ht="14.1" hidden="false" customHeight="true" outlineLevel="0" collapsed="false">
      <c r="A270" s="2"/>
      <c r="B270" s="2"/>
      <c r="C270" s="3"/>
      <c r="D270" s="3"/>
      <c r="E270" s="4"/>
      <c r="F270" s="3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8"/>
      <c r="U270" s="9"/>
      <c r="V270" s="2"/>
      <c r="Y270" s="266"/>
      <c r="Z270" s="12"/>
    </row>
    <row r="271" s="10" customFormat="true" ht="14.1" hidden="false" customHeight="true" outlineLevel="0" collapsed="false">
      <c r="A271" s="2"/>
      <c r="B271" s="2"/>
      <c r="C271" s="3"/>
      <c r="D271" s="3"/>
      <c r="E271" s="4"/>
      <c r="F271" s="3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8"/>
      <c r="U271" s="9"/>
      <c r="V271" s="2"/>
      <c r="Y271" s="266"/>
      <c r="Z271" s="12"/>
    </row>
    <row r="272" s="10" customFormat="true" ht="14.1" hidden="false" customHeight="true" outlineLevel="0" collapsed="false">
      <c r="A272" s="2"/>
      <c r="B272" s="2"/>
      <c r="C272" s="3"/>
      <c r="D272" s="3"/>
      <c r="E272" s="4"/>
      <c r="F272" s="3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8"/>
      <c r="U272" s="9"/>
      <c r="V272" s="2"/>
      <c r="Y272" s="266"/>
      <c r="Z272" s="12"/>
    </row>
    <row r="273" s="10" customFormat="true" ht="14.1" hidden="false" customHeight="true" outlineLevel="0" collapsed="false">
      <c r="A273" s="2"/>
      <c r="B273" s="2"/>
      <c r="C273" s="3"/>
      <c r="D273" s="3"/>
      <c r="E273" s="4"/>
      <c r="F273" s="3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8"/>
      <c r="U273" s="9"/>
      <c r="V273" s="2"/>
      <c r="Y273" s="266"/>
      <c r="Z273" s="12"/>
    </row>
    <row r="274" s="10" customFormat="true" ht="14.1" hidden="false" customHeight="true" outlineLevel="0" collapsed="false">
      <c r="A274" s="2"/>
      <c r="B274" s="2"/>
      <c r="C274" s="3"/>
      <c r="D274" s="3"/>
      <c r="E274" s="4"/>
      <c r="F274" s="3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8"/>
      <c r="U274" s="9"/>
      <c r="V274" s="2"/>
      <c r="Y274" s="266"/>
      <c r="Z274" s="12"/>
    </row>
    <row r="275" s="10" customFormat="true" ht="14.1" hidden="false" customHeight="true" outlineLevel="0" collapsed="false">
      <c r="A275" s="2"/>
      <c r="B275" s="2"/>
      <c r="C275" s="3"/>
      <c r="D275" s="3"/>
      <c r="E275" s="4"/>
      <c r="F275" s="3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8"/>
      <c r="U275" s="9"/>
      <c r="V275" s="2"/>
      <c r="Y275" s="266"/>
      <c r="Z275" s="12"/>
    </row>
    <row r="276" s="10" customFormat="true" ht="14.1" hidden="false" customHeight="true" outlineLevel="0" collapsed="false">
      <c r="A276" s="2"/>
      <c r="B276" s="2"/>
      <c r="C276" s="3"/>
      <c r="D276" s="3"/>
      <c r="E276" s="4"/>
      <c r="F276" s="3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8"/>
      <c r="U276" s="9"/>
      <c r="V276" s="2"/>
      <c r="Y276" s="266"/>
      <c r="Z276" s="12"/>
    </row>
    <row r="277" s="10" customFormat="true" ht="14.1" hidden="false" customHeight="true" outlineLevel="0" collapsed="false">
      <c r="A277" s="2"/>
      <c r="B277" s="2"/>
      <c r="C277" s="3"/>
      <c r="D277" s="3"/>
      <c r="E277" s="4"/>
      <c r="F277" s="3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8"/>
      <c r="U277" s="9"/>
      <c r="V277" s="2"/>
      <c r="Y277" s="266"/>
      <c r="Z277" s="12"/>
    </row>
    <row r="278" s="10" customFormat="true" ht="14.1" hidden="false" customHeight="true" outlineLevel="0" collapsed="false">
      <c r="A278" s="2"/>
      <c r="B278" s="2"/>
      <c r="C278" s="3"/>
      <c r="D278" s="3"/>
      <c r="E278" s="4"/>
      <c r="F278" s="3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8"/>
      <c r="U278" s="9"/>
      <c r="V278" s="2"/>
      <c r="Y278" s="266"/>
      <c r="Z278" s="12"/>
    </row>
    <row r="279" s="10" customFormat="true" ht="14.1" hidden="false" customHeight="true" outlineLevel="0" collapsed="false">
      <c r="A279" s="2"/>
      <c r="B279" s="2"/>
      <c r="C279" s="3"/>
      <c r="D279" s="3"/>
      <c r="E279" s="4"/>
      <c r="F279" s="3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8"/>
      <c r="U279" s="9"/>
      <c r="V279" s="2"/>
      <c r="Y279" s="266"/>
      <c r="Z279" s="12"/>
    </row>
    <row r="280" s="10" customFormat="true" ht="14.1" hidden="false" customHeight="true" outlineLevel="0" collapsed="false">
      <c r="A280" s="2"/>
      <c r="B280" s="2"/>
      <c r="C280" s="3"/>
      <c r="D280" s="3"/>
      <c r="E280" s="4"/>
      <c r="F280" s="3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8"/>
      <c r="U280" s="9"/>
      <c r="V280" s="2"/>
      <c r="Y280" s="266"/>
      <c r="Z280" s="12"/>
    </row>
    <row r="281" s="10" customFormat="true" ht="14.1" hidden="false" customHeight="true" outlineLevel="0" collapsed="false">
      <c r="A281" s="2"/>
      <c r="B281" s="2"/>
      <c r="C281" s="3"/>
      <c r="D281" s="3"/>
      <c r="E281" s="4"/>
      <c r="F281" s="3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8"/>
      <c r="U281" s="9"/>
      <c r="V281" s="2"/>
      <c r="Y281" s="266"/>
      <c r="Z281" s="12"/>
    </row>
    <row r="282" s="10" customFormat="true" ht="14.1" hidden="false" customHeight="true" outlineLevel="0" collapsed="false">
      <c r="A282" s="2"/>
      <c r="B282" s="2"/>
      <c r="C282" s="3"/>
      <c r="D282" s="3"/>
      <c r="E282" s="4"/>
      <c r="F282" s="3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8"/>
      <c r="U282" s="9"/>
      <c r="V282" s="2"/>
      <c r="Y282" s="266"/>
      <c r="Z282" s="12"/>
    </row>
    <row r="283" s="10" customFormat="true" ht="14.1" hidden="false" customHeight="true" outlineLevel="0" collapsed="false">
      <c r="A283" s="2"/>
      <c r="B283" s="2"/>
      <c r="C283" s="3"/>
      <c r="D283" s="3"/>
      <c r="E283" s="4"/>
      <c r="F283" s="3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8"/>
      <c r="U283" s="9"/>
      <c r="V283" s="2"/>
      <c r="Y283" s="266"/>
      <c r="Z283" s="12"/>
    </row>
    <row r="284" s="10" customFormat="true" ht="14.1" hidden="false" customHeight="true" outlineLevel="0" collapsed="false">
      <c r="A284" s="2"/>
      <c r="B284" s="2"/>
      <c r="C284" s="3"/>
      <c r="D284" s="3"/>
      <c r="E284" s="4"/>
      <c r="F284" s="3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8"/>
      <c r="U284" s="9"/>
      <c r="V284" s="2"/>
      <c r="Y284" s="266"/>
      <c r="Z284" s="12"/>
    </row>
    <row r="285" s="10" customFormat="true" ht="14.1" hidden="false" customHeight="true" outlineLevel="0" collapsed="false">
      <c r="A285" s="2"/>
      <c r="B285" s="2"/>
      <c r="C285" s="3"/>
      <c r="D285" s="3"/>
      <c r="E285" s="4"/>
      <c r="F285" s="3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"/>
      <c r="U285" s="9"/>
      <c r="V285" s="2"/>
      <c r="Y285" s="266"/>
      <c r="Z285" s="12"/>
    </row>
    <row r="286" s="10" customFormat="true" ht="14.1" hidden="false" customHeight="true" outlineLevel="0" collapsed="false">
      <c r="A286" s="2"/>
      <c r="B286" s="2"/>
      <c r="C286" s="3"/>
      <c r="D286" s="3"/>
      <c r="E286" s="4"/>
      <c r="F286" s="3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8"/>
      <c r="U286" s="9"/>
      <c r="V286" s="2"/>
      <c r="Y286" s="266"/>
      <c r="Z286" s="12"/>
    </row>
    <row r="287" s="10" customFormat="true" ht="14.1" hidden="false" customHeight="true" outlineLevel="0" collapsed="false">
      <c r="A287" s="2"/>
      <c r="B287" s="2"/>
      <c r="C287" s="3"/>
      <c r="D287" s="3"/>
      <c r="E287" s="4"/>
      <c r="F287" s="3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/>
      <c r="U287" s="9"/>
      <c r="V287" s="2"/>
      <c r="Y287" s="266"/>
      <c r="Z287" s="12"/>
    </row>
    <row r="288" s="10" customFormat="true" ht="14.1" hidden="false" customHeight="true" outlineLevel="0" collapsed="false">
      <c r="A288" s="2"/>
      <c r="B288" s="2"/>
      <c r="C288" s="3"/>
      <c r="D288" s="3"/>
      <c r="E288" s="4"/>
      <c r="F288" s="3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8"/>
      <c r="U288" s="9"/>
      <c r="V288" s="2"/>
      <c r="Y288" s="266"/>
      <c r="Z288" s="12"/>
    </row>
    <row r="289" s="10" customFormat="true" ht="14.1" hidden="false" customHeight="true" outlineLevel="0" collapsed="false">
      <c r="A289" s="2"/>
      <c r="B289" s="2"/>
      <c r="C289" s="267"/>
      <c r="D289" s="3"/>
      <c r="E289" s="4"/>
      <c r="F289" s="3"/>
      <c r="G289" s="5"/>
      <c r="H289" s="7"/>
      <c r="I289" s="7"/>
      <c r="J289" s="7"/>
      <c r="K289" s="271"/>
      <c r="L289" s="7"/>
      <c r="M289" s="7"/>
      <c r="N289" s="7"/>
      <c r="O289" s="7"/>
      <c r="P289" s="7"/>
      <c r="Q289" s="7"/>
      <c r="R289" s="7"/>
      <c r="S289" s="8"/>
      <c r="T289" s="8"/>
      <c r="V289" s="268"/>
      <c r="W289" s="269"/>
      <c r="X289" s="269"/>
      <c r="Y289" s="270"/>
      <c r="Z289" s="2"/>
    </row>
    <row r="290" s="264" customFormat="true" ht="26.25" hidden="false" customHeight="true" outlineLevel="0" collapsed="false">
      <c r="A290" s="272"/>
      <c r="B290" s="273"/>
      <c r="C290" s="273"/>
      <c r="D290" s="10"/>
      <c r="E290" s="10"/>
      <c r="F290" s="266"/>
      <c r="G290" s="10"/>
      <c r="H290" s="271"/>
      <c r="I290" s="271"/>
      <c r="J290" s="271"/>
      <c r="K290" s="7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140"/>
      <c r="W290" s="11"/>
      <c r="X290" s="11"/>
      <c r="Y290" s="3"/>
      <c r="Z290" s="2"/>
    </row>
    <row r="291" customFormat="false" ht="15" hidden="false" customHeight="true" outlineLevel="0" collapsed="false">
      <c r="V291" s="274"/>
      <c r="W291" s="2"/>
      <c r="X291" s="2"/>
    </row>
    <row r="292" customFormat="false" ht="9.75" hidden="false" customHeight="true" outlineLevel="0" collapsed="false"/>
    <row r="293" customFormat="false" ht="9.75" hidden="false" customHeight="true" outlineLevel="0" collapsed="false"/>
    <row r="294" customFormat="false" ht="9.75" hidden="false" customHeight="true" outlineLevel="0" collapsed="false"/>
    <row r="295" customFormat="false" ht="9.75" hidden="false" customHeight="true" outlineLevel="0" collapsed="false"/>
    <row r="296" customFormat="false" ht="9.75" hidden="false" customHeight="true" outlineLevel="0" collapsed="false"/>
    <row r="297" customFormat="false" ht="9.75" hidden="false" customHeight="true" outlineLevel="0" collapsed="false"/>
    <row r="298" customFormat="false" ht="9.75" hidden="false" customHeight="true" outlineLevel="0" collapsed="false"/>
    <row r="299" s="2" customFormat="true" ht="9.75" hidden="false" customHeight="true" outlineLevel="0" collapsed="false">
      <c r="F299" s="3"/>
    </row>
    <row r="300" s="2" customFormat="true" ht="10.5" hidden="false" customHeight="true" outlineLevel="0" collapsed="false">
      <c r="F300" s="137"/>
    </row>
    <row r="301" s="2" customFormat="true" ht="9.75" hidden="false" customHeight="true" outlineLevel="0" collapsed="false">
      <c r="F301" s="3"/>
    </row>
    <row r="302" customFormat="false" ht="9.75" hidden="false" customHeight="true" outlineLevel="0" collapsed="false"/>
    <row r="303" customFormat="false" ht="9.75" hidden="false" customHeight="true" outlineLevel="0" collapsed="false"/>
    <row r="304" customFormat="false" ht="9.75" hidden="false" customHeight="true" outlineLevel="0" collapsed="false"/>
    <row r="305" customFormat="false" ht="9.75" hidden="false" customHeight="true" outlineLevel="0" collapsed="false"/>
    <row r="306" customFormat="false" ht="9.75" hidden="false" customHeight="true" outlineLevel="0" collapsed="false"/>
    <row r="307" customFormat="false" ht="9.75" hidden="false" customHeight="true" outlineLevel="0" collapsed="false"/>
    <row r="308" customFormat="false" ht="9.75" hidden="false" customHeight="true" outlineLevel="0" collapsed="false"/>
    <row r="309" customFormat="false" ht="9.75" hidden="false" customHeight="true" outlineLevel="0" collapsed="false"/>
    <row r="310" customFormat="false" ht="9.75" hidden="false" customHeight="true" outlineLevel="0" collapsed="false"/>
    <row r="311" customFormat="false" ht="9.75" hidden="false" customHeight="true" outlineLevel="0" collapsed="false"/>
    <row r="312" customFormat="false" ht="9.75" hidden="false" customHeight="true" outlineLevel="0" collapsed="false"/>
    <row r="313" customFormat="false" ht="9.75" hidden="false" customHeight="true" outlineLevel="0" collapsed="false"/>
    <row r="314" s="2" customFormat="true" ht="9.75" hidden="false" customHeight="true" outlineLevel="0" collapsed="false">
      <c r="J314" s="4"/>
    </row>
    <row r="315" customFormat="false" ht="9.75" hidden="false" customHeight="true" outlineLevel="0" collapsed="false"/>
    <row r="316" customFormat="false" ht="9.75" hidden="false" customHeight="true" outlineLevel="0" collapsed="false"/>
    <row r="317" customFormat="false" ht="9.75" hidden="false" customHeight="true" outlineLevel="0" collapsed="false"/>
    <row r="318" customFormat="false" ht="9.75" hidden="false" customHeight="true" outlineLevel="0" collapsed="false"/>
    <row r="319" customFormat="false" ht="9.75" hidden="false" customHeight="true" outlineLevel="0" collapsed="false"/>
    <row r="320" customFormat="false" ht="9.75" hidden="false" customHeight="true" outlineLevel="0" collapsed="false"/>
    <row r="321" customFormat="false" ht="9.75" hidden="false" customHeight="true" outlineLevel="0" collapsed="false"/>
    <row r="322" customFormat="false" ht="9.75" hidden="false" customHeight="true" outlineLevel="0" collapsed="false"/>
    <row r="323" customFormat="false" ht="9.75" hidden="false" customHeight="true" outlineLevel="0" collapsed="false"/>
    <row r="324" customFormat="false" ht="9.75" hidden="false" customHeight="true" outlineLevel="0" collapsed="false"/>
    <row r="325" customFormat="false" ht="9.75" hidden="false" customHeight="true" outlineLevel="0" collapsed="false"/>
    <row r="326" customFormat="false" ht="9.75" hidden="false" customHeight="true" outlineLevel="0" collapsed="false"/>
    <row r="327" customFormat="false" ht="9.75" hidden="false" customHeight="true" outlineLevel="0" collapsed="false"/>
    <row r="328" customFormat="false" ht="9.75" hidden="false" customHeight="true" outlineLevel="0" collapsed="false"/>
    <row r="329" customFormat="false" ht="9.75" hidden="false" customHeight="true" outlineLevel="0" collapsed="false"/>
    <row r="330" customFormat="false" ht="9.75" hidden="false" customHeight="true" outlineLevel="0" collapsed="false"/>
    <row r="331" customFormat="false" ht="9.75" hidden="false" customHeight="true" outlineLevel="0" collapsed="false"/>
    <row r="332" customFormat="false" ht="9.75" hidden="false" customHeight="true" outlineLevel="0" collapsed="false"/>
    <row r="333" customFormat="false" ht="9.75" hidden="false" customHeight="true" outlineLevel="0" collapsed="false"/>
    <row r="334" customFormat="false" ht="9.75" hidden="false" customHeight="true" outlineLevel="0" collapsed="false"/>
    <row r="335" customFormat="false" ht="9.75" hidden="false" customHeight="true" outlineLevel="0" collapsed="false"/>
    <row r="336" customFormat="false" ht="9.75" hidden="false" customHeight="true" outlineLevel="0" collapsed="false"/>
    <row r="337" customFormat="false" ht="9.75" hidden="false" customHeight="true" outlineLevel="0" collapsed="false"/>
    <row r="338" customFormat="false" ht="9.75" hidden="false" customHeight="true" outlineLevel="0" collapsed="false"/>
    <row r="339" customFormat="false" ht="9.75" hidden="false" customHeight="true" outlineLevel="0" collapsed="false"/>
    <row r="340" customFormat="false" ht="9.75" hidden="false" customHeight="true" outlineLevel="0" collapsed="false"/>
    <row r="341" customFormat="false" ht="9.75" hidden="false" customHeight="true" outlineLevel="0" collapsed="false"/>
    <row r="342" customFormat="false" ht="9.75" hidden="false" customHeight="true" outlineLevel="0" collapsed="false"/>
    <row r="343" customFormat="false" ht="9.75" hidden="false" customHeight="true" outlineLevel="0" collapsed="false"/>
    <row r="344" customFormat="false" ht="9.75" hidden="false" customHeight="true" outlineLevel="0" collapsed="false"/>
    <row r="345" customFormat="false" ht="9.75" hidden="false" customHeight="true" outlineLevel="0" collapsed="false"/>
    <row r="346" customFormat="false" ht="9.75" hidden="false" customHeight="true" outlineLevel="0" collapsed="false"/>
    <row r="347" customFormat="false" ht="9.75" hidden="false" customHeight="true" outlineLevel="0" collapsed="false"/>
    <row r="348" customFormat="false" ht="9.75" hidden="false" customHeight="true" outlineLevel="0" collapsed="false"/>
    <row r="349" customFormat="false" ht="9.75" hidden="false" customHeight="true" outlineLevel="0" collapsed="false"/>
    <row r="350" customFormat="false" ht="9.75" hidden="false" customHeight="true" outlineLevel="0" collapsed="false"/>
    <row r="351" customFormat="false" ht="9.75" hidden="false" customHeight="true" outlineLevel="0" collapsed="false"/>
    <row r="352" customFormat="false" ht="9.75" hidden="false" customHeight="true" outlineLevel="0" collapsed="false"/>
    <row r="353" customFormat="false" ht="9.75" hidden="false" customHeight="true" outlineLevel="0" collapsed="false"/>
    <row r="354" customFormat="false" ht="9.75" hidden="false" customHeight="true" outlineLevel="0" collapsed="false"/>
    <row r="355" customFormat="false" ht="9.75" hidden="false" customHeight="true" outlineLevel="0" collapsed="false"/>
    <row r="356" customFormat="false" ht="9.75" hidden="false" customHeight="true" outlineLevel="0" collapsed="false"/>
    <row r="357" customFormat="false" ht="9.75" hidden="false" customHeight="true" outlineLevel="0" collapsed="false"/>
    <row r="358" customFormat="false" ht="9.75" hidden="false" customHeight="true" outlineLevel="0" collapsed="false"/>
    <row r="359" customFormat="false" ht="9.75" hidden="false" customHeight="true" outlineLevel="0" collapsed="false"/>
    <row r="360" customFormat="false" ht="9.75" hidden="false" customHeight="true" outlineLevel="0" collapsed="false"/>
    <row r="361" customFormat="false" ht="9.75" hidden="false" customHeight="true" outlineLevel="0" collapsed="false"/>
    <row r="362" customFormat="false" ht="9.75" hidden="false" customHeight="true" outlineLevel="0" collapsed="false"/>
    <row r="363" customFormat="false" ht="9.75" hidden="false" customHeight="true" outlineLevel="0" collapsed="false"/>
    <row r="364" customFormat="false" ht="9.75" hidden="false" customHeight="true" outlineLevel="0" collapsed="false"/>
    <row r="365" customFormat="false" ht="9.75" hidden="false" customHeight="true" outlineLevel="0" collapsed="false"/>
    <row r="368" customFormat="false" ht="9.75" hidden="false" customHeight="true" outlineLevel="0" collapsed="false"/>
    <row r="371" customFormat="false" ht="9.75" hidden="false" customHeight="true" outlineLevel="0" collapsed="false"/>
    <row r="372" customFormat="false" ht="9.75" hidden="false" customHeight="true" outlineLevel="0" collapsed="false"/>
    <row r="373" customFormat="false" ht="9.75" hidden="false" customHeight="true" outlineLevel="0" collapsed="false"/>
    <row r="379" customFormat="false" ht="9.75" hidden="false" customHeight="true" outlineLevel="0" collapsed="false"/>
    <row r="386" customFormat="false" ht="9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4" topLeftCell="A5" activePane="bottomLeft" state="frozen"/>
      <selection pane="topLeft" activeCell="A1" activeCellId="0" sqref="A1"/>
      <selection pane="bottomLeft" activeCell="D17" activeCellId="0" sqref="1:1048576"/>
    </sheetView>
  </sheetViews>
  <sheetFormatPr defaultColWidth="6.66796875" defaultRowHeight="12" zeroHeight="false" outlineLevelRow="0" outlineLevelCol="0"/>
  <cols>
    <col collapsed="false" customWidth="true" hidden="false" outlineLevel="0" max="1" min="1" style="323" width="9.44"/>
    <col collapsed="false" customWidth="true" hidden="false" outlineLevel="0" max="2" min="2" style="324" width="7"/>
    <col collapsed="false" customWidth="true" hidden="false" outlineLevel="0" max="3" min="3" style="325" width="10"/>
    <col collapsed="false" customWidth="true" hidden="false" outlineLevel="0" max="4" min="4" style="324" width="3.45"/>
    <col collapsed="false" customWidth="true" hidden="false" outlineLevel="0" max="5" min="5" style="324" width="12.66"/>
    <col collapsed="false" customWidth="true" hidden="false" outlineLevel="0" max="6" min="6" style="326" width="15.34"/>
    <col collapsed="false" customWidth="true" hidden="false" outlineLevel="0" max="7" min="7" style="326" width="1.44"/>
    <col collapsed="false" customWidth="true" hidden="false" outlineLevel="0" max="8" min="8" style="327" width="26.33"/>
    <col collapsed="false" customWidth="true" hidden="false" outlineLevel="0" max="9" min="9" style="328" width="1.33"/>
    <col collapsed="false" customWidth="true" hidden="false" outlineLevel="0" max="10" min="10" style="324" width="1.33"/>
    <col collapsed="false" customWidth="false" hidden="false" outlineLevel="0" max="1024" min="11" style="324" width="6.66"/>
  </cols>
  <sheetData>
    <row r="1" customFormat="false" ht="21" hidden="false" customHeight="true" outlineLevel="0" collapsed="false">
      <c r="A1" s="329" t="n">
        <v>45048</v>
      </c>
      <c r="B1" s="324" t="s">
        <v>0</v>
      </c>
      <c r="C1" s="330" t="s">
        <v>185</v>
      </c>
      <c r="D1" s="330"/>
    </row>
    <row r="2" customFormat="false" ht="13.65" hidden="false" customHeight="true" outlineLevel="0" collapsed="false">
      <c r="A2" s="331"/>
      <c r="B2" s="330"/>
      <c r="C2" s="332"/>
      <c r="D2" s="333"/>
    </row>
    <row r="3" s="335" customFormat="true" ht="12" hidden="false" customHeight="false" outlineLevel="0" collapsed="false">
      <c r="A3" s="334"/>
      <c r="C3" s="334"/>
      <c r="E3" s="335" t="s">
        <v>186</v>
      </c>
      <c r="H3" s="336" t="s">
        <v>187</v>
      </c>
      <c r="I3" s="337"/>
    </row>
    <row r="4" s="335" customFormat="true" ht="12" hidden="false" customHeight="true" outlineLevel="0" collapsed="false">
      <c r="C4" s="334"/>
      <c r="D4" s="334"/>
      <c r="E4" s="335" t="s">
        <v>188</v>
      </c>
      <c r="H4" s="327"/>
      <c r="I4" s="337"/>
    </row>
    <row r="7" customFormat="false" ht="14.4" hidden="false" customHeight="false" outlineLevel="0" collapsed="false">
      <c r="A7" s="338"/>
      <c r="B7" s="323"/>
      <c r="C7" s="339"/>
      <c r="E7" s="340" t="s">
        <v>189</v>
      </c>
      <c r="F7" s="340"/>
      <c r="H7" s="341"/>
      <c r="I7" s="324"/>
    </row>
    <row r="8" customFormat="false" ht="14.4" hidden="false" customHeight="false" outlineLevel="0" collapsed="false">
      <c r="A8" s="342"/>
      <c r="B8" s="340"/>
      <c r="C8" s="342"/>
    </row>
    <row r="12" customFormat="false" ht="12" hidden="false" customHeight="false" outlineLevel="0" collapsed="false">
      <c r="A12" s="339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LibreOffice/7.0.4.2$Windows_X86_64 LibreOffice_project/dcf040e67528d9187c66b2379df5ea4407429775</Application>
  <AppVersion>15.0000</AppVersion>
  <Company>Registry Magic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2002-09-03T16:34:09Z</dcterms:created>
  <dc:creator>candy</dc:creator>
  <dc:description/>
  <dc:language>en-US</dc:language>
  <cp:lastModifiedBy/>
  <cp:lastPrinted>2023-03-31T20:03:15Z</cp:lastPrinted>
  <dcterms:modified xsi:type="dcterms:W3CDTF">2023-05-02T12:33:48Z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