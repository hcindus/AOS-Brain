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JULY" sheetId="1" state="visible" r:id="rId2"/>
    <sheet name="UNPAID" sheetId="2" state="visible" r:id="rId3"/>
    <sheet name="BY ALPHA" sheetId="3" state="visible" r:id="rId4"/>
    <sheet name="BY SALES" sheetId="4" state="visible" r:id="rId5"/>
    <sheet name="AFTERHR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<sst xmlns="http://schemas.openxmlformats.org/spreadsheetml/2006/main" count="1929" uniqueCount="286">
  <si>
    <t xml:space="preserve"> </t>
  </si>
  <si>
    <t xml:space="preserve">ACCOUNT</t>
  </si>
  <si>
    <t xml:space="preserve">LOCATION</t>
  </si>
  <si>
    <t xml:space="preserve">INVOICE#</t>
  </si>
  <si>
    <t xml:space="preserve">INV DATE</t>
  </si>
  <si>
    <t xml:space="preserve">PRODUCT</t>
  </si>
  <si>
    <t xml:space="preserve">POST DATE</t>
  </si>
  <si>
    <t xml:space="preserve">DIST</t>
  </si>
  <si>
    <t xml:space="preserve">EQUIP SALE</t>
  </si>
  <si>
    <t xml:space="preserve">EQUIP RENT</t>
  </si>
  <si>
    <t xml:space="preserve">EQUIP INST</t>
  </si>
  <si>
    <t xml:space="preserve">RESID-UAL</t>
  </si>
  <si>
    <t xml:space="preserve">MERCH</t>
  </si>
  <si>
    <t xml:space="preserve">HELP DESK</t>
  </si>
  <si>
    <t xml:space="preserve">HW PLAN</t>
  </si>
  <si>
    <t xml:space="preserve">T&amp;M PARTS</t>
  </si>
  <si>
    <t xml:space="preserve">T&amp;M LABOR</t>
  </si>
  <si>
    <t xml:space="preserve">T&amp;M TRAV</t>
  </si>
  <si>
    <t xml:space="preserve">SUPP TX</t>
  </si>
  <si>
    <t xml:space="preserve">FRT</t>
  </si>
  <si>
    <t xml:space="preserve">TAX</t>
  </si>
  <si>
    <t xml:space="preserve">TOTAL</t>
  </si>
  <si>
    <t xml:space="preserve">ST</t>
  </si>
  <si>
    <t xml:space="preserve">BY</t>
  </si>
  <si>
    <t xml:space="preserve">PAID?</t>
  </si>
  <si>
    <t xml:space="preserve">** </t>
  </si>
  <si>
    <t xml:space="preserve">AH</t>
  </si>
  <si>
    <t xml:space="preserve">AGUACHILES EL TAMARINDO</t>
  </si>
  <si>
    <t xml:space="preserve">NCC TAB-1</t>
  </si>
  <si>
    <t xml:space="preserve">ALA</t>
  </si>
  <si>
    <t xml:space="preserve">DEL</t>
  </si>
  <si>
    <t xml:space="preserve">MN</t>
  </si>
  <si>
    <t xml:space="preserve">PD</t>
  </si>
  <si>
    <t xml:space="preserve">CC</t>
  </si>
  <si>
    <t xml:space="preserve">TONY'S CABLE CAR</t>
  </si>
  <si>
    <t xml:space="preserve">CD- SAM ECR</t>
  </si>
  <si>
    <t xml:space="preserve">SF</t>
  </si>
  <si>
    <t xml:space="preserve">RA</t>
  </si>
  <si>
    <t xml:space="preserve">ALANA'S</t>
  </si>
  <si>
    <t xml:space="preserve">BURL</t>
  </si>
  <si>
    <t xml:space="preserve">SR</t>
  </si>
  <si>
    <t xml:space="preserve">PH</t>
  </si>
  <si>
    <t xml:space="preserve">U</t>
  </si>
  <si>
    <t xml:space="preserve">DK</t>
  </si>
  <si>
    <t xml:space="preserve">CLYDE'S LIQ</t>
  </si>
  <si>
    <t xml:space="preserve">RF</t>
  </si>
  <si>
    <t xml:space="preserve">PANDA RESTAURANT GROUP</t>
  </si>
  <si>
    <t xml:space="preserve">KEYS-200</t>
  </si>
  <si>
    <t xml:space="preserve">LA</t>
  </si>
  <si>
    <t xml:space="preserve">DROP</t>
  </si>
  <si>
    <t xml:space="preserve">MS</t>
  </si>
  <si>
    <t xml:space="preserve">CHECK</t>
  </si>
  <si>
    <t xml:space="preserve">TILLS-100</t>
  </si>
  <si>
    <t xml:space="preserve">LA TOSCANA</t>
  </si>
  <si>
    <t xml:space="preserve">SUPPLIES</t>
  </si>
  <si>
    <t xml:space="preserve">UPS</t>
  </si>
  <si>
    <t xml:space="preserve">CH</t>
  </si>
  <si>
    <t xml:space="preserve">FORGE IN THE FOREST</t>
  </si>
  <si>
    <t xml:space="preserve">MONT</t>
  </si>
  <si>
    <t xml:space="preserve">WILLIE'S WINE BAR</t>
  </si>
  <si>
    <t xml:space="preserve">S.ROSA</t>
  </si>
  <si>
    <t xml:space="preserve">MAMANOKO</t>
  </si>
  <si>
    <t xml:space="preserve">SPOTON</t>
  </si>
  <si>
    <t xml:space="preserve">BRAVAS DE TAPAS</t>
  </si>
  <si>
    <t xml:space="preserve">SON</t>
  </si>
  <si>
    <t xml:space="preserve">THE WHARF &amp; ANCHOR LODGE</t>
  </si>
  <si>
    <t xml:space="preserve">FT.BRAGG</t>
  </si>
  <si>
    <t xml:space="preserve">GROSSMAN'S NOSHERY</t>
  </si>
  <si>
    <t xml:space="preserve">POINT RICHMOND MKT</t>
  </si>
  <si>
    <t xml:space="preserve">RICH</t>
  </si>
  <si>
    <t xml:space="preserve">GUERRA MEATS</t>
  </si>
  <si>
    <t xml:space="preserve">1477-8</t>
  </si>
  <si>
    <t xml:space="preserve">HL</t>
  </si>
  <si>
    <t xml:space="preserve">PEACOCK GAP GOLF</t>
  </si>
  <si>
    <t xml:space="preserve">UCHIWA RAMEN</t>
  </si>
  <si>
    <t xml:space="preserve">PU</t>
  </si>
  <si>
    <t xml:space="preserve">MGR</t>
  </si>
  <si>
    <t xml:space="preserve">WILLIE'S SEAFOOD &amp; RAW BAR</t>
  </si>
  <si>
    <t xml:space="preserve">HEALD</t>
  </si>
  <si>
    <t xml:space="preserve">EL YUCATERO TACO TRUCK</t>
  </si>
  <si>
    <t xml:space="preserve">SANTOS</t>
  </si>
  <si>
    <t xml:space="preserve">ACRE RESTAURANT</t>
  </si>
  <si>
    <t xml:space="preserve">MARINITAS</t>
  </si>
  <si>
    <t xml:space="preserve">S.ANSEL</t>
  </si>
  <si>
    <t xml:space="preserve">JEFF</t>
  </si>
  <si>
    <t xml:space="preserve">PACIFICO RESTAURENTE</t>
  </si>
  <si>
    <t xml:space="preserve">NAPA</t>
  </si>
  <si>
    <t xml:space="preserve">MALIBU FARMS</t>
  </si>
  <si>
    <t xml:space="preserve">PTR COVER</t>
  </si>
  <si>
    <t xml:space="preserve">MARIN</t>
  </si>
  <si>
    <t xml:space="preserve">EFT</t>
  </si>
  <si>
    <t xml:space="preserve">JS</t>
  </si>
  <si>
    <t xml:space="preserve">CAFÉ LOTUS</t>
  </si>
  <si>
    <t xml:space="preserve">KASHI</t>
  </si>
  <si>
    <t xml:space="preserve">ANGEL</t>
  </si>
  <si>
    <t xml:space="preserve">THREE BROTHERS</t>
  </si>
  <si>
    <t xml:space="preserve">POTTSTOWN</t>
  </si>
  <si>
    <t xml:space="preserve">O/S</t>
  </si>
  <si>
    <t xml:space="preserve">VILLA SPORT</t>
  </si>
  <si>
    <t xml:space="preserve">BEAVERTON</t>
  </si>
  <si>
    <t xml:space="preserve">SAN RAFAEL JOE'S</t>
  </si>
  <si>
    <t xml:space="preserve">KEZAR PUB</t>
  </si>
  <si>
    <t xml:space="preserve">LG</t>
  </si>
  <si>
    <t xml:space="preserve">CALISTOGA INN</t>
  </si>
  <si>
    <t xml:space="preserve">WILDSEED</t>
  </si>
  <si>
    <t xml:space="preserve">PALO ALTO</t>
  </si>
  <si>
    <t xml:space="preserve">SC</t>
  </si>
  <si>
    <t xml:space="preserve">THE TRIDENT</t>
  </si>
  <si>
    <t xml:space="preserve">SAUS</t>
  </si>
  <si>
    <t xml:space="preserve">FRANKY'S RESTAURANT</t>
  </si>
  <si>
    <t xml:space="preserve">BUTTE</t>
  </si>
  <si>
    <t xml:space="preserve">FARMSTEAD</t>
  </si>
  <si>
    <t xml:space="preserve">ST.HELENA</t>
  </si>
  <si>
    <t xml:space="preserve">CASA LUPE</t>
  </si>
  <si>
    <t xml:space="preserve">EVO PAYMENTS</t>
  </si>
  <si>
    <t xml:space="preserve">DOLAN'S DEN</t>
  </si>
  <si>
    <t xml:space="preserve">POGGIO TRATTORIA</t>
  </si>
  <si>
    <t xml:space="preserve">COASTAL PACIFIC</t>
  </si>
  <si>
    <t xml:space="preserve">RESALE</t>
  </si>
  <si>
    <t xml:space="preserve">BOCA PIZZA</t>
  </si>
  <si>
    <t xml:space="preserve">NOVATO</t>
  </si>
  <si>
    <t xml:space="preserve">NOV</t>
  </si>
  <si>
    <t xml:space="preserve">MI CASA GRILL</t>
  </si>
  <si>
    <t xml:space="preserve">GASPARE'S</t>
  </si>
  <si>
    <t xml:space="preserve">SAN RAFAEL</t>
  </si>
  <si>
    <t xml:space="preserve">DANIEL</t>
  </si>
  <si>
    <t xml:space="preserve">FRED'S LIQUOR</t>
  </si>
  <si>
    <t xml:space="preserve">VALENCIA</t>
  </si>
  <si>
    <t xml:space="preserve">MARINA SUPER</t>
  </si>
  <si>
    <t xml:space="preserve">ISHTAR MARKET</t>
  </si>
  <si>
    <t xml:space="preserve">TURLOCK</t>
  </si>
  <si>
    <t xml:space="preserve">WEB 999</t>
  </si>
  <si>
    <t xml:space="preserve">RESID</t>
  </si>
  <si>
    <t xml:space="preserve">RAMP RESTAURANT</t>
  </si>
  <si>
    <t xml:space="preserve">STARK'S STEAKHOUSE</t>
  </si>
  <si>
    <t xml:space="preserve">EL</t>
  </si>
  <si>
    <t xml:space="preserve">TOMATINA</t>
  </si>
  <si>
    <t xml:space="preserve">WALNUT CREEK</t>
  </si>
  <si>
    <t xml:space="preserve">ALAMEDA</t>
  </si>
  <si>
    <t xml:space="preserve">SANTA ROSA</t>
  </si>
  <si>
    <t xml:space="preserve">CELIA'S</t>
  </si>
  <si>
    <t xml:space="preserve">CARLOS</t>
  </si>
  <si>
    <t xml:space="preserve">THE TIPSY PIG</t>
  </si>
  <si>
    <t xml:space="preserve">BLUE BARN</t>
  </si>
  <si>
    <t xml:space="preserve">SPECIALTY'S CAFÉ</t>
  </si>
  <si>
    <t xml:space="preserve">DD</t>
  </si>
  <si>
    <t xml:space="preserve">COFFEE ROASTERY</t>
  </si>
  <si>
    <t xml:space="preserve">FFX</t>
  </si>
  <si>
    <t xml:space="preserve">A&amp;W RESTAURANT</t>
  </si>
  <si>
    <t xml:space="preserve">MB</t>
  </si>
  <si>
    <t xml:space="preserve">DITA'S</t>
  </si>
  <si>
    <t xml:space="preserve">SOL</t>
  </si>
  <si>
    <t xml:space="preserve">SAYLOR'S</t>
  </si>
  <si>
    <t xml:space="preserve">SEAN</t>
  </si>
  <si>
    <t xml:space="preserve">FARM HOUSE LOCAL</t>
  </si>
  <si>
    <t xml:space="preserve">LARK</t>
  </si>
  <si>
    <t xml:space="preserve">DAVID</t>
  </si>
  <si>
    <t xml:space="preserve">STAR GROCERY</t>
  </si>
  <si>
    <t xml:space="preserve">EL TORO TAQUERIA</t>
  </si>
  <si>
    <t xml:space="preserve">MI RANCHO MKT</t>
  </si>
  <si>
    <t xml:space="preserve">MAX</t>
  </si>
  <si>
    <t xml:space="preserve">CASH</t>
  </si>
  <si>
    <t xml:space="preserve">BUCKEYE ROADHOUSE</t>
  </si>
  <si>
    <t xml:space="preserve">LEFT BANK BRASSERIE</t>
  </si>
  <si>
    <t xml:space="preserve">DUBOCE PARK CAFÉ</t>
  </si>
  <si>
    <t xml:space="preserve">SAN BRUNO SUPER</t>
  </si>
  <si>
    <t xml:space="preserve">DINO'S BURGERS</t>
  </si>
  <si>
    <t xml:space="preserve">S.ANA</t>
  </si>
  <si>
    <t xml:space="preserve">COTE OUEST BISTRO</t>
  </si>
  <si>
    <t xml:space="preserve">N.C.C.</t>
  </si>
  <si>
    <t xml:space="preserve">RHQ</t>
  </si>
  <si>
    <t xml:space="preserve">WATERBAR</t>
  </si>
  <si>
    <t xml:space="preserve">INSALATA</t>
  </si>
  <si>
    <t xml:space="preserve">AMAKARA</t>
  </si>
  <si>
    <t xml:space="preserve">TENDERLOIN LIQUOR</t>
  </si>
  <si>
    <t xml:space="preserve">SAM-6600</t>
  </si>
  <si>
    <t xml:space="preserve">ALLEY &amp; VINE</t>
  </si>
  <si>
    <t xml:space="preserve">ERNEST SF</t>
  </si>
  <si>
    <t xml:space="preserve">ANAHEIM WHITE HOUSE</t>
  </si>
  <si>
    <t xml:space="preserve">OR</t>
  </si>
  <si>
    <t xml:space="preserve">ICON</t>
  </si>
  <si>
    <t xml:space="preserve">STEINER</t>
  </si>
  <si>
    <t xml:space="preserve">ZAYTOON</t>
  </si>
  <si>
    <t xml:space="preserve">IZAT</t>
  </si>
  <si>
    <t xml:space="preserve">MAYFLOWER INN</t>
  </si>
  <si>
    <t xml:space="preserve">TONY</t>
  </si>
  <si>
    <t xml:space="preserve">HOUSE OF PRIME RIB</t>
  </si>
  <si>
    <t xml:space="preserve">TAQUERIA LOS POTRILLOS</t>
  </si>
  <si>
    <t xml:space="preserve">SAM 940</t>
  </si>
  <si>
    <t xml:space="preserve">HECTOR</t>
  </si>
  <si>
    <t xml:space="preserve">BAAN THAI</t>
  </si>
  <si>
    <t xml:space="preserve">JACKIE</t>
  </si>
  <si>
    <t xml:space="preserve">THE CANTINA</t>
  </si>
  <si>
    <t xml:space="preserve">VIA PICCOLA TRATTORIA</t>
  </si>
  <si>
    <t xml:space="preserve">COCO'S MERCADO</t>
  </si>
  <si>
    <t xml:space="preserve">DITA'S MARIN</t>
  </si>
  <si>
    <t xml:space="preserve">ACE</t>
  </si>
  <si>
    <t xml:space="preserve">REPAIR</t>
  </si>
  <si>
    <t xml:space="preserve">ATWATER TAVERN</t>
  </si>
  <si>
    <t xml:space="preserve">WORLDPAY</t>
  </si>
  <si>
    <t xml:space="preserve">APPEL</t>
  </si>
  <si>
    <t xml:space="preserve">RILEY'S BAR</t>
  </si>
  <si>
    <t xml:space="preserve">MARIN ROD &amp; GUN</t>
  </si>
  <si>
    <t xml:space="preserve">SEASIDE</t>
  </si>
  <si>
    <t xml:space="preserve">PUPUSERIA BLANQUITA</t>
  </si>
  <si>
    <t xml:space="preserve">RAMON</t>
  </si>
  <si>
    <t xml:space="preserve">TERIYAKI MADNESS</t>
  </si>
  <si>
    <t xml:space="preserve">FINAL FINAL</t>
  </si>
  <si>
    <t xml:space="preserve">THE FORGE HANDCRAFTED PIZZA</t>
  </si>
  <si>
    <t xml:space="preserve">BIRD &amp; THE BOTTLE</t>
  </si>
  <si>
    <t xml:space="preserve">INSALATA'S</t>
  </si>
  <si>
    <t xml:space="preserve">LOS CAPORALES TAQUERIA</t>
  </si>
  <si>
    <t xml:space="preserve">KEY'S JAZZ BISTRO</t>
  </si>
  <si>
    <t xml:space="preserve">DE ANZA COLLEGE</t>
  </si>
  <si>
    <t xml:space="preserve">COTOGNA &amp; QUINCE</t>
  </si>
  <si>
    <t xml:space="preserve">BULL VALLEY ROADHOUSE</t>
  </si>
  <si>
    <t xml:space="preserve">GREAT FALLS</t>
  </si>
  <si>
    <t xml:space="preserve">GRAZIE</t>
  </si>
  <si>
    <t xml:space="preserve">UNPAID OLD BILLS</t>
  </si>
  <si>
    <t xml:space="preserve">&gt;30</t>
  </si>
  <si>
    <t xml:space="preserve">&gt;60</t>
  </si>
  <si>
    <t xml:space="preserve">&gt;90</t>
  </si>
  <si>
    <t xml:space="preserve">SP</t>
  </si>
  <si>
    <t xml:space="preserve">DATE</t>
  </si>
  <si>
    <t xml:space="preserve">SCH</t>
  </si>
  <si>
    <t xml:space="preserve">EQ</t>
  </si>
  <si>
    <t xml:space="preserve">RENT</t>
  </si>
  <si>
    <t xml:space="preserve">INST</t>
  </si>
  <si>
    <t xml:space="preserve">SUBSC</t>
  </si>
  <si>
    <t xml:space="preserve">HD</t>
  </si>
  <si>
    <t xml:space="preserve">HW</t>
  </si>
  <si>
    <t xml:space="preserve">PART</t>
  </si>
  <si>
    <t xml:space="preserve">LAB</t>
  </si>
  <si>
    <t xml:space="preserve">TRAV</t>
  </si>
  <si>
    <t xml:space="preserve">SUP</t>
  </si>
  <si>
    <t xml:space="preserve">VILLAGE GRILL</t>
  </si>
  <si>
    <t xml:space="preserve">FED</t>
  </si>
  <si>
    <t xml:space="preserve">TAQUERIA Y MARISCOS EL PONY</t>
  </si>
  <si>
    <t xml:space="preserve">JQ</t>
  </si>
  <si>
    <t xml:space="preserve">FATTORIA E MARE</t>
  </si>
  <si>
    <t xml:space="preserve">THE VILLAGE PIZZERIA</t>
  </si>
  <si>
    <t xml:space="preserve">THE FORGE PIZZA</t>
  </si>
  <si>
    <t xml:space="preserve">KARTUNZ</t>
  </si>
  <si>
    <t xml:space="preserve">PEPITO'S </t>
  </si>
  <si>
    <t xml:space="preserve">CANYON CREST</t>
  </si>
  <si>
    <t xml:space="preserve">U SAVE BEER &amp; WINE</t>
  </si>
  <si>
    <t xml:space="preserve">GR CHOCOLATE COLLECTION</t>
  </si>
  <si>
    <t xml:space="preserve">KIMONO</t>
  </si>
  <si>
    <t xml:space="preserve">PLEASANTON</t>
  </si>
  <si>
    <t xml:space="preserve">VINTAGE WINE MERCHANT</t>
  </si>
  <si>
    <t xml:space="preserve">VESUVIO</t>
  </si>
  <si>
    <t xml:space="preserve">VINTNER'S GOLF CLUB</t>
  </si>
  <si>
    <t xml:space="preserve">5TH STREET STEAK HOUSE</t>
  </si>
  <si>
    <t xml:space="preserve">LAS GUITARRAS</t>
  </si>
  <si>
    <t xml:space="preserve">SEABREEZE</t>
  </si>
  <si>
    <t xml:space="preserve">SUN'S MARKET</t>
  </si>
  <si>
    <t xml:space="preserve">CABLE</t>
  </si>
  <si>
    <t xml:space="preserve">BARREL HOUSE TAVERN</t>
  </si>
  <si>
    <t xml:space="preserve">JOHN'S GRILL</t>
  </si>
  <si>
    <t xml:space="preserve">ROSEVILLE</t>
  </si>
  <si>
    <t xml:space="preserve">THE FORGE HANDCRAFTED PIZZAS</t>
  </si>
  <si>
    <t xml:space="preserve">A&amp;W</t>
  </si>
  <si>
    <t xml:space="preserve">MONTHLY</t>
  </si>
  <si>
    <t xml:space="preserve">THE CAPRICE</t>
  </si>
  <si>
    <t xml:space="preserve">PUB REPUBIC</t>
  </si>
  <si>
    <t xml:space="preserve">BISTRO 45</t>
  </si>
  <si>
    <t xml:space="preserve">BLUE &amp; GOLD FLEET</t>
  </si>
  <si>
    <t xml:space="preserve">MONTI'S ROTISSERIE &amp; BAR</t>
  </si>
  <si>
    <t xml:space="preserve">KELL'S IRISH RESTAURANT &amp; PUB</t>
  </si>
  <si>
    <t xml:space="preserve">C. DRAWER</t>
  </si>
  <si>
    <t xml:space="preserve">MARIN RESOURCE RECOVERY</t>
  </si>
  <si>
    <t xml:space="preserve">XALISCO</t>
  </si>
  <si>
    <t xml:space="preserve">ROSENDO</t>
  </si>
  <si>
    <t xml:space="preserve">S/R</t>
  </si>
  <si>
    <t xml:space="preserve">FLOWERCRAFT</t>
  </si>
  <si>
    <t xml:space="preserve">ROADSIDE BBQ</t>
  </si>
  <si>
    <t xml:space="preserve">RIVER TIME RESTAURANT</t>
  </si>
  <si>
    <t xml:space="preserve">ARMANDO'S</t>
  </si>
  <si>
    <t xml:space="preserve">MOLTI AMICI</t>
  </si>
  <si>
    <t xml:space="preserve">McINNIS GOLF</t>
  </si>
  <si>
    <t xml:space="preserve">SILBERMANN'S ICE CREAM</t>
  </si>
  <si>
    <t xml:space="preserve">AFTER HOURS PHONES</t>
  </si>
  <si>
    <t xml:space="preserve">PRIMARY</t>
  </si>
  <si>
    <t xml:space="preserve">VACATION REMINDER</t>
  </si>
  <si>
    <t xml:space="preserve">PHONE PERSON</t>
  </si>
  <si>
    <t xml:space="preserve">DOUG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</si>
</sst>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/d;@"/>
    <numFmt numFmtId="166" formatCode="m/d"/>
    <numFmt numFmtId="167" formatCode="0"/>
    <numFmt numFmtId="168" formatCode="0.00"/>
    <numFmt numFmtId="169" formatCode="\$#,##0.00"/>
    <numFmt numFmtId="170" formatCode="d\-mmm"/>
    <numFmt numFmtId="171" formatCode="[$-409]d\-mmm;@"/>
    <numFmt numFmtId="172" formatCode="@"/>
    <numFmt numFmtId="173" formatCode="0.0%"/>
    <numFmt numFmtId="174" formatCode="0.000"/>
    <numFmt numFmtId="175" formatCode="m/d/yyyy"/>
  </numFmts>
  <fonts count="3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8"/>
      <color rgb="FFFF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name val="Comic Sans MS"/>
      <family val="4"/>
      <charset val="1"/>
    </font>
    <font>
      <b val="true"/>
      <sz val="14"/>
      <name val="바탕"/>
      <family val="1"/>
      <charset val="1"/>
    </font>
    <font>
      <b val="true"/>
      <sz val="8"/>
      <name val="바탕"/>
      <family val="1"/>
      <charset val="1"/>
    </font>
    <font>
      <b val="true"/>
      <sz val="9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Comic Sans MS"/>
      <family val="4"/>
      <charset val="1"/>
    </font>
    <font>
      <b val="true"/>
      <sz val="8"/>
      <color rgb="FFFF0000"/>
      <name val="Comic Sans MS"/>
      <family val="4"/>
      <charset val="1"/>
    </font>
    <font>
      <b val="true"/>
      <sz val="8"/>
      <color rgb="FF000000"/>
      <name val="Comic Sans MS"/>
      <family val="4"/>
      <charset val="1"/>
    </font>
    <font>
      <sz val="8"/>
      <name val="Comic Sans MS"/>
      <family val="4"/>
      <charset val="1"/>
    </font>
    <font>
      <b val="true"/>
      <sz val="10"/>
      <name val="Comic Sans MS"/>
      <family val="4"/>
      <charset val="1"/>
    </font>
    <font>
      <sz val="8"/>
      <color rgb="FFFF0000"/>
      <name val="Comic Sans MS"/>
      <family val="4"/>
      <charset val="1"/>
    </font>
    <font>
      <sz val="8"/>
      <color rgb="FF000000"/>
      <name val="Comic Sans MS"/>
      <family val="4"/>
      <charset val="1"/>
    </font>
    <font>
      <b val="true"/>
      <sz val="8"/>
      <color rgb="FF333399"/>
      <name val="Arial"/>
      <family val="2"/>
      <charset val="1"/>
    </font>
    <font>
      <b val="true"/>
      <sz val="8"/>
      <color rgb="FF99CCFF"/>
      <name val="Comic Sans MS"/>
      <family val="4"/>
      <charset val="1"/>
    </font>
    <font>
      <b val="true"/>
      <sz val="8"/>
      <color rgb="FFCCFFCC"/>
      <name val="Comic Sans MS"/>
      <family val="4"/>
      <charset val="1"/>
    </font>
    <font>
      <b val="true"/>
      <sz val="8"/>
      <color rgb="FFCCFFCC"/>
      <name val="Arial"/>
      <family val="2"/>
      <charset val="1"/>
    </font>
    <font>
      <b val="true"/>
      <sz val="10"/>
      <name val="바탕"/>
      <family val="1"/>
      <charset val="1"/>
    </font>
    <font>
      <sz val="10"/>
      <name val="바탕"/>
      <family val="1"/>
      <charset val="1"/>
    </font>
    <font>
      <sz val="8"/>
      <name val="바탕"/>
      <family val="1"/>
      <charset val="1"/>
    </font>
    <font>
      <sz val="9"/>
      <name val="바탕"/>
      <family val="1"/>
      <charset val="1"/>
    </font>
    <font>
      <b val="true"/>
      <sz val="12"/>
      <name val="바탕"/>
      <family val="1"/>
      <charset val="1"/>
    </font>
    <font>
      <b val="true"/>
      <sz val="9"/>
      <name val="바탕"/>
      <family val="1"/>
      <charset val="1"/>
    </font>
    <font>
      <sz val="12"/>
      <name val="바탕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rgb="FFD7E4BD"/>
      </patternFill>
    </fill>
    <fill>
      <patternFill patternType="solid">
        <fgColor rgb="FFFFFFFF"/>
        <bgColor rgb="FFCCFFFF"/>
      </patternFill>
    </fill>
    <fill>
      <patternFill patternType="solid">
        <fgColor rgb="FF93CDDD"/>
        <bgColor rgb="FF99CCFF"/>
      </patternFill>
    </fill>
    <fill>
      <patternFill patternType="solid">
        <fgColor rgb="FFD7E4BD"/>
        <bgColor rgb="FFC3D69B"/>
      </patternFill>
    </fill>
    <fill>
      <patternFill patternType="solid">
        <fgColor rgb="FFFFCC99"/>
        <bgColor rgb="FFFAC090"/>
      </patternFill>
    </fill>
    <fill>
      <patternFill patternType="solid">
        <fgColor rgb="FFFCD5B5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C3D69B"/>
        <bgColor rgb="FFD7E4BD"/>
      </patternFill>
    </fill>
    <fill>
      <patternFill patternType="solid">
        <fgColor rgb="FFFAC090"/>
        <bgColor rgb="FFFFCC99"/>
      </patternFill>
    </fill>
    <fill>
      <patternFill patternType="solid">
        <fgColor rgb="FFFF99CC"/>
        <bgColor rgb="FFFF808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8" fillId="4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8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7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1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9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1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3CDDD"/>
      <rgbColor rgb="FF993366"/>
      <rgbColor rgb="FFFCD5B5"/>
      <rgbColor rgb="FFCCFFFF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AC09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130"/>
  <sheetViews>
    <sheetView showFormulas="false" showGridLines="true" showRowColHeaders="true" showZeros="true" rightToLeft="false" tabSelected="false" showOutlineSymbols="true" defaultGridColor="true" view="normal" topLeftCell="A1" colorId="64" zoomScale="134" zoomScaleNormal="134" zoomScalePageLayoutView="100" workbookViewId="0">
      <pane xSplit="0" ySplit="3" topLeftCell="A88" activePane="bottomLeft" state="frozen"/>
      <selection pane="topLeft" activeCell="A1" activeCellId="0" sqref="A1"/>
      <selection pane="bottomLeft" activeCell="B106" activeCellId="1" sqref="29:29 B106"/>
    </sheetView>
  </sheetViews>
  <sheetFormatPr defaultColWidth="9.15625" defaultRowHeight="9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18.58"/>
    <col collapsed="false" customWidth="true" hidden="false" outlineLevel="0" max="3" min="3" style="3" width="12.29"/>
    <col collapsed="false" customWidth="true" hidden="false" outlineLevel="0" max="4" min="4" style="3" width="8.42"/>
    <col collapsed="false" customWidth="true" hidden="false" outlineLevel="0" max="5" min="5" style="4" width="5.01"/>
    <col collapsed="false" customWidth="true" hidden="false" outlineLevel="0" max="6" min="6" style="3" width="10.71"/>
    <col collapsed="false" customWidth="true" hidden="false" outlineLevel="0" max="7" min="7" style="5" width="5.28"/>
    <col collapsed="false" customWidth="true" hidden="false" outlineLevel="0" max="8" min="8" style="6" width="6.42"/>
    <col collapsed="false" customWidth="true" hidden="false" outlineLevel="0" max="9" min="9" style="7" width="7.29"/>
    <col collapsed="false" customWidth="true" hidden="false" outlineLevel="0" max="10" min="10" style="7" width="6.15"/>
    <col collapsed="false" customWidth="true" hidden="false" outlineLevel="0" max="11" min="11" style="7" width="8.14"/>
    <col collapsed="false" customWidth="true" hidden="false" outlineLevel="0" max="12" min="12" style="7" width="7"/>
    <col collapsed="false" customWidth="true" hidden="false" outlineLevel="0" max="13" min="13" style="7" width="7.57"/>
    <col collapsed="false" customWidth="true" hidden="false" outlineLevel="0" max="14" min="14" style="7" width="6.42"/>
    <col collapsed="false" customWidth="true" hidden="false" outlineLevel="0" max="15" min="15" style="7" width="5.57"/>
    <col collapsed="false" customWidth="true" hidden="false" outlineLevel="0" max="16" min="16" style="7" width="6.28"/>
    <col collapsed="false" customWidth="true" hidden="false" outlineLevel="0" max="17" min="17" style="7" width="6.42"/>
    <col collapsed="false" customWidth="true" hidden="false" outlineLevel="0" max="18" min="18" style="7" width="6.57"/>
    <col collapsed="false" customWidth="true" hidden="false" outlineLevel="0" max="19" min="19" style="7" width="7.71"/>
    <col collapsed="false" customWidth="true" hidden="false" outlineLevel="0" max="20" min="20" style="7" width="6.86"/>
    <col collapsed="false" customWidth="true" hidden="false" outlineLevel="0" max="21" min="21" style="8" width="7"/>
    <col collapsed="false" customWidth="true" hidden="false" outlineLevel="0" max="22" min="22" style="9" width="12.57"/>
    <col collapsed="false" customWidth="true" hidden="false" outlineLevel="0" max="23" min="23" style="2" width="3.99"/>
    <col collapsed="false" customWidth="true" hidden="false" outlineLevel="0" max="24" min="24" style="10" width="3.14"/>
    <col collapsed="false" customWidth="true" hidden="false" outlineLevel="0" max="25" min="25" style="10" width="4.14"/>
    <col collapsed="false" customWidth="true" hidden="false" outlineLevel="0" max="26" min="26" style="11" width="11.71"/>
    <col collapsed="false" customWidth="true" hidden="false" outlineLevel="0" max="27" min="27" style="12" width="8.29"/>
    <col collapsed="false" customWidth="false" hidden="false" outlineLevel="0" max="1024" min="28" style="2" width="9.14"/>
  </cols>
  <sheetData>
    <row r="1" s="22" customFormat="true" ht="19.9" hidden="false" customHeight="true" outlineLevel="0" collapsed="false">
      <c r="A1" s="13" t="n">
        <v>45135</v>
      </c>
      <c r="B1" s="13"/>
      <c r="C1" s="14" t="s">
        <v>0</v>
      </c>
      <c r="D1" s="15"/>
      <c r="E1" s="16"/>
      <c r="F1" s="17"/>
      <c r="G1" s="18"/>
      <c r="H1" s="19"/>
      <c r="I1" s="20"/>
      <c r="J1" s="21"/>
      <c r="K1" s="20"/>
      <c r="L1" s="20"/>
      <c r="M1" s="20"/>
      <c r="N1" s="20"/>
      <c r="P1" s="20"/>
      <c r="Q1" s="20"/>
      <c r="R1" s="20"/>
      <c r="S1" s="20"/>
      <c r="T1" s="20"/>
      <c r="U1" s="23"/>
      <c r="V1" s="24"/>
      <c r="W1" s="25"/>
      <c r="Z1" s="26"/>
      <c r="AA1" s="27"/>
    </row>
    <row r="2" s="10" customFormat="true" ht="31.5" hidden="false" customHeight="true" outlineLevel="0" collapsed="false">
      <c r="A2" s="28"/>
      <c r="B2" s="29" t="s">
        <v>1</v>
      </c>
      <c r="C2" s="30" t="s">
        <v>2</v>
      </c>
      <c r="D2" s="31" t="s">
        <v>3</v>
      </c>
      <c r="E2" s="32" t="s">
        <v>4</v>
      </c>
      <c r="F2" s="33" t="s">
        <v>5</v>
      </c>
      <c r="G2" s="34" t="s">
        <v>6</v>
      </c>
      <c r="H2" s="35" t="s">
        <v>7</v>
      </c>
      <c r="I2" s="36" t="s">
        <v>8</v>
      </c>
      <c r="J2" s="37" t="s">
        <v>9</v>
      </c>
      <c r="K2" s="38" t="s">
        <v>10</v>
      </c>
      <c r="L2" s="39" t="s">
        <v>11</v>
      </c>
      <c r="M2" s="40" t="s">
        <v>12</v>
      </c>
      <c r="N2" s="41" t="s">
        <v>13</v>
      </c>
      <c r="O2" s="42" t="s">
        <v>14</v>
      </c>
      <c r="P2" s="43" t="s">
        <v>15</v>
      </c>
      <c r="Q2" s="43" t="s">
        <v>16</v>
      </c>
      <c r="R2" s="43" t="s">
        <v>17</v>
      </c>
      <c r="S2" s="44" t="s">
        <v>18</v>
      </c>
      <c r="T2" s="45" t="s">
        <v>19</v>
      </c>
      <c r="U2" s="46" t="s">
        <v>20</v>
      </c>
      <c r="V2" s="47" t="s">
        <v>21</v>
      </c>
      <c r="W2" s="48" t="s">
        <v>22</v>
      </c>
      <c r="X2" s="49" t="s">
        <v>23</v>
      </c>
      <c r="Y2" s="49" t="s">
        <v>24</v>
      </c>
      <c r="Z2" s="50"/>
      <c r="AA2" s="51"/>
    </row>
    <row r="3" s="10" customFormat="true" ht="6.75" hidden="false" customHeight="true" outlineLevel="0" collapsed="false">
      <c r="A3" s="52"/>
      <c r="B3" s="53"/>
      <c r="C3" s="54"/>
      <c r="D3" s="55"/>
      <c r="E3" s="56"/>
      <c r="F3" s="57"/>
      <c r="G3" s="58"/>
      <c r="H3" s="59"/>
      <c r="I3" s="60"/>
      <c r="J3" s="61"/>
      <c r="K3" s="61"/>
      <c r="L3" s="61"/>
      <c r="M3" s="61"/>
      <c r="N3" s="60"/>
      <c r="O3" s="61"/>
      <c r="P3" s="60"/>
      <c r="Q3" s="62"/>
      <c r="R3" s="63"/>
      <c r="S3" s="60"/>
      <c r="T3" s="63"/>
      <c r="U3" s="64"/>
      <c r="V3" s="65"/>
      <c r="W3" s="66"/>
      <c r="X3" s="67"/>
      <c r="Y3" s="67"/>
      <c r="Z3" s="68"/>
      <c r="AA3" s="51"/>
    </row>
    <row r="4" customFormat="false" ht="15.75" hidden="false" customHeight="true" outlineLevel="0" collapsed="false">
      <c r="A4" s="69" t="s">
        <v>25</v>
      </c>
      <c r="B4" s="70"/>
      <c r="C4" s="71"/>
      <c r="D4" s="71"/>
      <c r="E4" s="72"/>
      <c r="F4" s="71"/>
      <c r="G4" s="73"/>
      <c r="H4" s="74"/>
      <c r="I4" s="75"/>
      <c r="J4" s="76"/>
      <c r="K4" s="75"/>
      <c r="L4" s="75"/>
      <c r="M4" s="75"/>
      <c r="N4" s="75"/>
      <c r="O4" s="76"/>
      <c r="P4" s="75"/>
      <c r="Q4" s="75"/>
      <c r="R4" s="75"/>
      <c r="S4" s="75"/>
      <c r="T4" s="75"/>
      <c r="U4" s="77"/>
      <c r="V4" s="78"/>
      <c r="W4" s="79"/>
      <c r="X4" s="70"/>
      <c r="Y4" s="80"/>
      <c r="Z4" s="81"/>
    </row>
    <row r="5" customFormat="false" ht="9" hidden="false" customHeight="true" outlineLevel="0" collapsed="false">
      <c r="A5" s="82"/>
      <c r="B5" s="83"/>
      <c r="C5" s="84"/>
      <c r="D5" s="85"/>
      <c r="E5" s="86"/>
      <c r="F5" s="87"/>
      <c r="G5" s="88"/>
      <c r="H5" s="89"/>
      <c r="I5" s="90"/>
      <c r="J5" s="91"/>
      <c r="K5" s="91"/>
      <c r="L5" s="91"/>
      <c r="M5" s="91"/>
      <c r="N5" s="90"/>
      <c r="O5" s="91"/>
      <c r="P5" s="90"/>
      <c r="Q5" s="92"/>
      <c r="R5" s="93"/>
      <c r="S5" s="90"/>
      <c r="T5" s="93"/>
      <c r="U5" s="94"/>
      <c r="V5" s="95"/>
      <c r="W5" s="96"/>
      <c r="X5" s="97"/>
      <c r="Y5" s="98"/>
      <c r="Z5" s="99"/>
    </row>
    <row r="6" s="10" customFormat="true" ht="14.1" hidden="false" customHeight="true" outlineLevel="0" collapsed="false">
      <c r="A6" s="100" t="s">
        <v>26</v>
      </c>
      <c r="B6" s="2" t="s">
        <v>27</v>
      </c>
      <c r="C6" s="3"/>
      <c r="D6" s="101" t="n">
        <v>5163104</v>
      </c>
      <c r="E6" s="102" t="n">
        <v>45062</v>
      </c>
      <c r="F6" s="103" t="s">
        <v>28</v>
      </c>
      <c r="G6" s="5" t="n">
        <v>45110</v>
      </c>
      <c r="H6" s="104" t="s">
        <v>29</v>
      </c>
      <c r="I6" s="105" t="n">
        <v>2320</v>
      </c>
      <c r="J6" s="106"/>
      <c r="K6" s="106" t="n">
        <v>405</v>
      </c>
      <c r="L6" s="106"/>
      <c r="M6" s="106"/>
      <c r="N6" s="105"/>
      <c r="O6" s="106"/>
      <c r="P6" s="105"/>
      <c r="Q6" s="7"/>
      <c r="R6" s="107"/>
      <c r="S6" s="105"/>
      <c r="T6" s="107"/>
      <c r="U6" s="108" t="n">
        <v>237.8</v>
      </c>
      <c r="V6" s="95" t="n">
        <f aca="false">SUM(I6:U6)</f>
        <v>2962.8</v>
      </c>
      <c r="W6" s="109" t="s">
        <v>30</v>
      </c>
      <c r="X6" s="10" t="s">
        <v>31</v>
      </c>
      <c r="Y6" s="110" t="s">
        <v>32</v>
      </c>
      <c r="Z6" s="111" t="s">
        <v>33</v>
      </c>
      <c r="AA6" s="51"/>
    </row>
    <row r="7" s="10" customFormat="true" ht="14.1" hidden="false" customHeight="true" outlineLevel="0" collapsed="false">
      <c r="A7" s="100" t="s">
        <v>26</v>
      </c>
      <c r="B7" s="2" t="s">
        <v>34</v>
      </c>
      <c r="C7" s="3"/>
      <c r="D7" s="101" t="n">
        <v>6143105</v>
      </c>
      <c r="E7" s="102" t="n">
        <v>45091</v>
      </c>
      <c r="F7" s="103" t="s">
        <v>35</v>
      </c>
      <c r="G7" s="5" t="n">
        <v>45110</v>
      </c>
      <c r="H7" s="104" t="s">
        <v>36</v>
      </c>
      <c r="I7" s="105"/>
      <c r="J7" s="106"/>
      <c r="K7" s="106"/>
      <c r="L7" s="106"/>
      <c r="M7" s="106"/>
      <c r="N7" s="105"/>
      <c r="O7" s="106"/>
      <c r="P7" s="105" t="n">
        <v>150</v>
      </c>
      <c r="Q7" s="7"/>
      <c r="R7" s="107" t="n">
        <v>102.5</v>
      </c>
      <c r="S7" s="105"/>
      <c r="T7" s="107"/>
      <c r="U7" s="108" t="n">
        <v>12.94</v>
      </c>
      <c r="V7" s="95" t="n">
        <f aca="false">SUM(I7:U7)</f>
        <v>265.44</v>
      </c>
      <c r="W7" s="109" t="s">
        <v>30</v>
      </c>
      <c r="X7" s="10" t="s">
        <v>31</v>
      </c>
      <c r="Y7" s="110" t="s">
        <v>32</v>
      </c>
      <c r="Z7" s="111" t="s">
        <v>33</v>
      </c>
      <c r="AA7" s="51"/>
    </row>
    <row r="8" s="10" customFormat="true" ht="14.1" hidden="false" customHeight="true" outlineLevel="0" collapsed="false">
      <c r="A8" s="100" t="s">
        <v>37</v>
      </c>
      <c r="B8" s="2" t="s">
        <v>38</v>
      </c>
      <c r="C8" s="3" t="s">
        <v>39</v>
      </c>
      <c r="D8" s="101" t="n">
        <v>7013051</v>
      </c>
      <c r="E8" s="102" t="n">
        <v>45108</v>
      </c>
      <c r="F8" s="103" t="s">
        <v>13</v>
      </c>
      <c r="G8" s="5" t="n">
        <v>45110</v>
      </c>
      <c r="H8" s="104" t="s">
        <v>40</v>
      </c>
      <c r="I8" s="105"/>
      <c r="J8" s="106"/>
      <c r="K8" s="106"/>
      <c r="L8" s="106"/>
      <c r="M8" s="106"/>
      <c r="N8" s="105" t="n">
        <v>49</v>
      </c>
      <c r="O8" s="106" t="n">
        <v>39</v>
      </c>
      <c r="P8" s="105"/>
      <c r="Q8" s="7"/>
      <c r="R8" s="107"/>
      <c r="S8" s="105"/>
      <c r="T8" s="107"/>
      <c r="U8" s="108"/>
      <c r="V8" s="95" t="n">
        <f aca="false">SUM(I8:U8)</f>
        <v>88</v>
      </c>
      <c r="W8" s="109" t="s">
        <v>41</v>
      </c>
      <c r="X8" s="10" t="s">
        <v>37</v>
      </c>
      <c r="Y8" s="110" t="s">
        <v>42</v>
      </c>
      <c r="Z8" s="111"/>
      <c r="AA8" s="51"/>
    </row>
    <row r="9" s="10" customFormat="true" ht="14.1" hidden="false" customHeight="true" outlineLevel="0" collapsed="false">
      <c r="A9" s="100" t="s">
        <v>43</v>
      </c>
      <c r="B9" s="2" t="s">
        <v>44</v>
      </c>
      <c r="C9" s="3"/>
      <c r="D9" s="101" t="n">
        <v>7013052</v>
      </c>
      <c r="E9" s="102" t="n">
        <v>45108</v>
      </c>
      <c r="F9" s="103" t="s">
        <v>13</v>
      </c>
      <c r="G9" s="5" t="n">
        <v>45110</v>
      </c>
      <c r="H9" s="104" t="s">
        <v>40</v>
      </c>
      <c r="I9" s="105"/>
      <c r="J9" s="106"/>
      <c r="K9" s="106"/>
      <c r="L9" s="106"/>
      <c r="M9" s="106"/>
      <c r="N9" s="105" t="n">
        <v>49</v>
      </c>
      <c r="O9" s="106"/>
      <c r="P9" s="105"/>
      <c r="Q9" s="7"/>
      <c r="R9" s="107"/>
      <c r="S9" s="105"/>
      <c r="T9" s="107"/>
      <c r="U9" s="108"/>
      <c r="V9" s="95" t="n">
        <f aca="false">SUM(I9:U9)</f>
        <v>49</v>
      </c>
      <c r="W9" s="109" t="s">
        <v>41</v>
      </c>
      <c r="X9" s="10" t="s">
        <v>43</v>
      </c>
      <c r="Y9" s="110" t="s">
        <v>42</v>
      </c>
      <c r="Z9" s="111"/>
      <c r="AA9" s="51"/>
    </row>
    <row r="10" s="10" customFormat="true" ht="14.1" hidden="false" customHeight="true" outlineLevel="0" collapsed="false">
      <c r="A10" s="100" t="s">
        <v>45</v>
      </c>
      <c r="B10" s="2" t="s">
        <v>46</v>
      </c>
      <c r="C10" s="3"/>
      <c r="D10" s="101" t="n">
        <v>7033064</v>
      </c>
      <c r="E10" s="102" t="n">
        <v>45110</v>
      </c>
      <c r="F10" s="103" t="s">
        <v>47</v>
      </c>
      <c r="G10" s="5" t="n">
        <v>45110</v>
      </c>
      <c r="H10" s="104" t="s">
        <v>48</v>
      </c>
      <c r="I10" s="105" t="n">
        <v>600</v>
      </c>
      <c r="J10" s="106"/>
      <c r="K10" s="106" t="n">
        <v>18</v>
      </c>
      <c r="L10" s="106"/>
      <c r="M10" s="106"/>
      <c r="N10" s="105"/>
      <c r="O10" s="106"/>
      <c r="P10" s="105"/>
      <c r="Q10" s="7"/>
      <c r="R10" s="107"/>
      <c r="S10" s="105"/>
      <c r="T10" s="107"/>
      <c r="U10" s="108" t="n">
        <v>57</v>
      </c>
      <c r="V10" s="95" t="n">
        <f aca="false">SUM(I10:U10)</f>
        <v>675</v>
      </c>
      <c r="W10" s="109" t="s">
        <v>49</v>
      </c>
      <c r="X10" s="10" t="s">
        <v>50</v>
      </c>
      <c r="Y10" s="110" t="s">
        <v>32</v>
      </c>
      <c r="Z10" s="111" t="s">
        <v>51</v>
      </c>
      <c r="AA10" s="51"/>
    </row>
    <row r="11" s="10" customFormat="true" ht="14.1" hidden="false" customHeight="true" outlineLevel="0" collapsed="false">
      <c r="A11" s="100" t="s">
        <v>45</v>
      </c>
      <c r="B11" s="2" t="s">
        <v>46</v>
      </c>
      <c r="C11" s="3"/>
      <c r="D11" s="101" t="n">
        <v>7033067</v>
      </c>
      <c r="E11" s="102" t="n">
        <v>13332</v>
      </c>
      <c r="F11" s="103" t="s">
        <v>52</v>
      </c>
      <c r="G11" s="5" t="n">
        <v>13332</v>
      </c>
      <c r="H11" s="104" t="s">
        <v>48</v>
      </c>
      <c r="I11" s="105" t="n">
        <v>3600</v>
      </c>
      <c r="J11" s="106"/>
      <c r="K11" s="106" t="n">
        <v>57</v>
      </c>
      <c r="L11" s="106"/>
      <c r="M11" s="106"/>
      <c r="N11" s="105"/>
      <c r="O11" s="106"/>
      <c r="P11" s="105"/>
      <c r="Q11" s="7"/>
      <c r="R11" s="107"/>
      <c r="S11" s="105"/>
      <c r="T11" s="107"/>
      <c r="U11" s="108" t="n">
        <v>342</v>
      </c>
      <c r="V11" s="95" t="n">
        <f aca="false">SUM(I11:U11)</f>
        <v>3999</v>
      </c>
      <c r="W11" s="109" t="s">
        <v>49</v>
      </c>
      <c r="X11" s="10" t="s">
        <v>50</v>
      </c>
      <c r="Y11" s="110" t="s">
        <v>42</v>
      </c>
      <c r="Z11" s="111"/>
      <c r="AA11" s="51"/>
    </row>
    <row r="12" s="10" customFormat="true" ht="14.1" hidden="false" customHeight="true" outlineLevel="0" collapsed="false">
      <c r="A12" s="100" t="s">
        <v>26</v>
      </c>
      <c r="B12" s="2" t="s">
        <v>53</v>
      </c>
      <c r="C12" s="3"/>
      <c r="D12" s="101" t="n">
        <v>7033101</v>
      </c>
      <c r="E12" s="102" t="n">
        <v>45110</v>
      </c>
      <c r="F12" s="103" t="s">
        <v>54</v>
      </c>
      <c r="G12" s="5" t="n">
        <v>45110</v>
      </c>
      <c r="H12" s="104" t="s">
        <v>40</v>
      </c>
      <c r="I12" s="105"/>
      <c r="J12" s="106"/>
      <c r="K12" s="106"/>
      <c r="L12" s="106"/>
      <c r="M12" s="106"/>
      <c r="N12" s="105"/>
      <c r="O12" s="106"/>
      <c r="P12" s="105"/>
      <c r="Q12" s="7"/>
      <c r="R12" s="107"/>
      <c r="S12" s="105" t="n">
        <v>104</v>
      </c>
      <c r="T12" s="107" t="n">
        <v>25</v>
      </c>
      <c r="U12" s="108" t="n">
        <v>9.62</v>
      </c>
      <c r="V12" s="95" t="n">
        <f aca="false">SUM(I12:U12)</f>
        <v>138.62</v>
      </c>
      <c r="W12" s="109" t="s">
        <v>55</v>
      </c>
      <c r="X12" s="10" t="s">
        <v>45</v>
      </c>
      <c r="Y12" s="110" t="s">
        <v>32</v>
      </c>
      <c r="Z12" s="111" t="s">
        <v>56</v>
      </c>
      <c r="AA12" s="51"/>
    </row>
    <row r="13" s="10" customFormat="true" ht="14.1" hidden="false" customHeight="true" outlineLevel="0" collapsed="false">
      <c r="A13" s="100" t="s">
        <v>26</v>
      </c>
      <c r="B13" s="2" t="s">
        <v>57</v>
      </c>
      <c r="C13" s="3"/>
      <c r="D13" s="101" t="n">
        <v>7033103</v>
      </c>
      <c r="E13" s="102" t="n">
        <v>45110</v>
      </c>
      <c r="F13" s="103" t="s">
        <v>54</v>
      </c>
      <c r="G13" s="5" t="n">
        <v>45110</v>
      </c>
      <c r="H13" s="104" t="s">
        <v>58</v>
      </c>
      <c r="I13" s="105"/>
      <c r="J13" s="106"/>
      <c r="K13" s="106"/>
      <c r="L13" s="106"/>
      <c r="M13" s="106"/>
      <c r="N13" s="105"/>
      <c r="O13" s="106"/>
      <c r="P13" s="105"/>
      <c r="Q13" s="7"/>
      <c r="R13" s="107"/>
      <c r="S13" s="105" t="n">
        <v>214</v>
      </c>
      <c r="T13" s="107" t="n">
        <v>50</v>
      </c>
      <c r="U13" s="108" t="n">
        <v>16.85</v>
      </c>
      <c r="V13" s="95" t="n">
        <f aca="false">SUM(I13:U13)</f>
        <v>280.85</v>
      </c>
      <c r="W13" s="109" t="s">
        <v>55</v>
      </c>
      <c r="X13" s="10" t="s">
        <v>26</v>
      </c>
      <c r="Y13" s="110" t="s">
        <v>42</v>
      </c>
      <c r="Z13" s="111"/>
      <c r="AA13" s="51"/>
    </row>
    <row r="14" s="10" customFormat="true" ht="14.1" hidden="false" customHeight="true" outlineLevel="0" collapsed="false">
      <c r="A14" s="100" t="s">
        <v>26</v>
      </c>
      <c r="B14" s="2" t="s">
        <v>59</v>
      </c>
      <c r="C14" s="3"/>
      <c r="D14" s="101" t="n">
        <v>7033105</v>
      </c>
      <c r="E14" s="102" t="n">
        <v>45110</v>
      </c>
      <c r="F14" s="103" t="s">
        <v>54</v>
      </c>
      <c r="G14" s="5" t="n">
        <v>45110</v>
      </c>
      <c r="H14" s="104" t="s">
        <v>60</v>
      </c>
      <c r="I14" s="105"/>
      <c r="J14" s="106"/>
      <c r="K14" s="106"/>
      <c r="L14" s="106"/>
      <c r="M14" s="106"/>
      <c r="N14" s="105"/>
      <c r="O14" s="106"/>
      <c r="P14" s="105"/>
      <c r="Q14" s="7"/>
      <c r="R14" s="107"/>
      <c r="S14" s="105" t="n">
        <v>220</v>
      </c>
      <c r="T14" s="107" t="n">
        <v>50</v>
      </c>
      <c r="U14" s="108" t="n">
        <v>20.35</v>
      </c>
      <c r="V14" s="95" t="n">
        <f aca="false">SUM(I14:U14)</f>
        <v>290.35</v>
      </c>
      <c r="W14" s="109" t="s">
        <v>55</v>
      </c>
      <c r="X14" s="10" t="s">
        <v>26</v>
      </c>
      <c r="Y14" s="110" t="s">
        <v>42</v>
      </c>
      <c r="Z14" s="111"/>
      <c r="AA14" s="51"/>
    </row>
    <row r="15" s="10" customFormat="true" ht="14.1" hidden="false" customHeight="true" outlineLevel="0" collapsed="false">
      <c r="A15" s="100" t="s">
        <v>26</v>
      </c>
      <c r="B15" s="2" t="s">
        <v>61</v>
      </c>
      <c r="C15" s="3"/>
      <c r="D15" s="101" t="n">
        <v>7053101</v>
      </c>
      <c r="E15" s="102" t="n">
        <v>45112</v>
      </c>
      <c r="F15" s="103" t="s">
        <v>54</v>
      </c>
      <c r="G15" s="5" t="n">
        <v>45112</v>
      </c>
      <c r="H15" s="104" t="s">
        <v>36</v>
      </c>
      <c r="I15" s="105"/>
      <c r="J15" s="106"/>
      <c r="K15" s="106"/>
      <c r="L15" s="106"/>
      <c r="M15" s="106"/>
      <c r="N15" s="105"/>
      <c r="O15" s="106"/>
      <c r="P15" s="105"/>
      <c r="Q15" s="7"/>
      <c r="R15" s="107"/>
      <c r="S15" s="105" t="n">
        <v>234</v>
      </c>
      <c r="T15" s="107" t="n">
        <v>12.5</v>
      </c>
      <c r="U15" s="108" t="n">
        <v>20.18</v>
      </c>
      <c r="V15" s="95" t="n">
        <f aca="false">SUM(I15:U15)</f>
        <v>266.68</v>
      </c>
      <c r="W15" s="109" t="s">
        <v>55</v>
      </c>
      <c r="X15" s="10" t="s">
        <v>26</v>
      </c>
      <c r="Y15" s="110" t="s">
        <v>32</v>
      </c>
      <c r="Z15" s="111" t="s">
        <v>62</v>
      </c>
      <c r="AA15" s="51"/>
    </row>
    <row r="16" s="10" customFormat="true" ht="14.1" hidden="false" customHeight="true" outlineLevel="0" collapsed="false">
      <c r="A16" s="100" t="s">
        <v>26</v>
      </c>
      <c r="B16" s="2" t="s">
        <v>63</v>
      </c>
      <c r="C16" s="3"/>
      <c r="D16" s="101" t="n">
        <v>7053101</v>
      </c>
      <c r="E16" s="102" t="n">
        <v>45112</v>
      </c>
      <c r="F16" s="103" t="s">
        <v>54</v>
      </c>
      <c r="G16" s="5" t="n">
        <v>45112</v>
      </c>
      <c r="H16" s="104" t="s">
        <v>64</v>
      </c>
      <c r="I16" s="105"/>
      <c r="J16" s="106"/>
      <c r="K16" s="106"/>
      <c r="L16" s="106"/>
      <c r="M16" s="106"/>
      <c r="N16" s="105"/>
      <c r="O16" s="106"/>
      <c r="P16" s="105"/>
      <c r="Q16" s="7"/>
      <c r="R16" s="107"/>
      <c r="S16" s="105" t="n">
        <v>149</v>
      </c>
      <c r="T16" s="107" t="n">
        <v>37.5</v>
      </c>
      <c r="U16" s="108" t="n">
        <v>13.41</v>
      </c>
      <c r="V16" s="95" t="n">
        <f aca="false">SUM(I16:U16)</f>
        <v>199.91</v>
      </c>
      <c r="W16" s="109" t="s">
        <v>55</v>
      </c>
      <c r="X16" s="10" t="s">
        <v>26</v>
      </c>
      <c r="Y16" s="110" t="s">
        <v>42</v>
      </c>
      <c r="Z16" s="111"/>
      <c r="AA16" s="51"/>
    </row>
    <row r="17" s="10" customFormat="true" ht="14.1" hidden="false" customHeight="true" outlineLevel="0" collapsed="false">
      <c r="A17" s="100" t="s">
        <v>26</v>
      </c>
      <c r="B17" s="2" t="s">
        <v>65</v>
      </c>
      <c r="C17" s="3"/>
      <c r="D17" s="101" t="n">
        <v>7053103</v>
      </c>
      <c r="E17" s="102" t="n">
        <v>45112</v>
      </c>
      <c r="F17" s="103" t="s">
        <v>54</v>
      </c>
      <c r="G17" s="5" t="n">
        <v>45112</v>
      </c>
      <c r="H17" s="112" t="s">
        <v>66</v>
      </c>
      <c r="I17" s="105"/>
      <c r="J17" s="106"/>
      <c r="K17" s="106"/>
      <c r="L17" s="106"/>
      <c r="M17" s="106"/>
      <c r="N17" s="105"/>
      <c r="O17" s="106"/>
      <c r="P17" s="105"/>
      <c r="Q17" s="7"/>
      <c r="R17" s="107"/>
      <c r="S17" s="105" t="n">
        <v>39</v>
      </c>
      <c r="T17" s="107" t="n">
        <v>12.5</v>
      </c>
      <c r="U17" s="108" t="n">
        <v>3.46</v>
      </c>
      <c r="V17" s="95" t="n">
        <f aca="false">SUM(I17:U17)</f>
        <v>54.96</v>
      </c>
      <c r="W17" s="109" t="s">
        <v>55</v>
      </c>
      <c r="X17" s="10" t="s">
        <v>26</v>
      </c>
      <c r="Y17" s="110" t="s">
        <v>42</v>
      </c>
      <c r="Z17" s="111"/>
      <c r="AA17" s="51"/>
    </row>
    <row r="18" s="10" customFormat="true" ht="14.1" hidden="false" customHeight="true" outlineLevel="0" collapsed="false">
      <c r="A18" s="100" t="s">
        <v>26</v>
      </c>
      <c r="B18" s="2" t="s">
        <v>67</v>
      </c>
      <c r="C18" s="3"/>
      <c r="D18" s="101" t="n">
        <v>7033104</v>
      </c>
      <c r="E18" s="102" t="n">
        <v>45110</v>
      </c>
      <c r="F18" s="103" t="s">
        <v>54</v>
      </c>
      <c r="G18" s="5" t="n">
        <v>45112</v>
      </c>
      <c r="H18" s="104" t="s">
        <v>64</v>
      </c>
      <c r="I18" s="105"/>
      <c r="J18" s="106"/>
      <c r="K18" s="106"/>
      <c r="L18" s="106"/>
      <c r="M18" s="106"/>
      <c r="N18" s="105"/>
      <c r="O18" s="106"/>
      <c r="P18" s="105"/>
      <c r="Q18" s="7"/>
      <c r="R18" s="107"/>
      <c r="S18" s="105" t="n">
        <v>220</v>
      </c>
      <c r="T18" s="107" t="n">
        <v>50</v>
      </c>
      <c r="U18" s="108" t="n">
        <v>20.24</v>
      </c>
      <c r="V18" s="95" t="n">
        <f aca="false">SUM(I18:U18)</f>
        <v>290.24</v>
      </c>
      <c r="W18" s="109" t="s">
        <v>55</v>
      </c>
      <c r="X18" s="10" t="s">
        <v>26</v>
      </c>
      <c r="Y18" s="110" t="s">
        <v>42</v>
      </c>
      <c r="Z18" s="111"/>
      <c r="AA18" s="51"/>
    </row>
    <row r="19" s="10" customFormat="true" ht="14.1" hidden="false" customHeight="true" outlineLevel="0" collapsed="false">
      <c r="A19" s="100" t="s">
        <v>26</v>
      </c>
      <c r="B19" s="2" t="s">
        <v>68</v>
      </c>
      <c r="C19" s="3"/>
      <c r="D19" s="101" t="n">
        <v>7053104</v>
      </c>
      <c r="E19" s="102" t="n">
        <v>45112</v>
      </c>
      <c r="F19" s="103" t="s">
        <v>54</v>
      </c>
      <c r="G19" s="5" t="n">
        <v>45112</v>
      </c>
      <c r="H19" s="104" t="s">
        <v>69</v>
      </c>
      <c r="I19" s="105"/>
      <c r="J19" s="106"/>
      <c r="K19" s="106"/>
      <c r="L19" s="106"/>
      <c r="M19" s="106"/>
      <c r="N19" s="105"/>
      <c r="O19" s="106"/>
      <c r="P19" s="105"/>
      <c r="Q19" s="7"/>
      <c r="R19" s="107"/>
      <c r="S19" s="105" t="n">
        <v>45</v>
      </c>
      <c r="T19" s="107" t="n">
        <v>12.5</v>
      </c>
      <c r="U19" s="108" t="n">
        <v>4.39</v>
      </c>
      <c r="V19" s="95" t="n">
        <f aca="false">SUM(I19:U19)</f>
        <v>61.89</v>
      </c>
      <c r="W19" s="109" t="s">
        <v>55</v>
      </c>
      <c r="X19" s="10" t="s">
        <v>26</v>
      </c>
      <c r="Y19" s="110" t="s">
        <v>32</v>
      </c>
      <c r="Z19" s="111" t="s">
        <v>51</v>
      </c>
      <c r="AA19" s="51"/>
    </row>
    <row r="20" s="10" customFormat="true" ht="14.1" hidden="false" customHeight="true" outlineLevel="0" collapsed="false">
      <c r="A20" s="100" t="s">
        <v>26</v>
      </c>
      <c r="B20" s="2" t="s">
        <v>70</v>
      </c>
      <c r="C20" s="3"/>
      <c r="D20" s="101" t="n">
        <v>7053105</v>
      </c>
      <c r="E20" s="102" t="n">
        <v>45112</v>
      </c>
      <c r="F20" s="103" t="s">
        <v>71</v>
      </c>
      <c r="G20" s="5" t="n">
        <v>45112</v>
      </c>
      <c r="H20" s="104" t="s">
        <v>36</v>
      </c>
      <c r="I20" s="105"/>
      <c r="J20" s="106"/>
      <c r="K20" s="106"/>
      <c r="L20" s="106"/>
      <c r="M20" s="106"/>
      <c r="N20" s="105"/>
      <c r="O20" s="106"/>
      <c r="P20" s="105"/>
      <c r="Q20" s="7"/>
      <c r="R20" s="107"/>
      <c r="S20" s="105" t="n">
        <v>520</v>
      </c>
      <c r="T20" s="107" t="n">
        <v>100</v>
      </c>
      <c r="U20" s="108" t="n">
        <v>44.85</v>
      </c>
      <c r="V20" s="95" t="n">
        <f aca="false">SUM(I20:U20)</f>
        <v>664.85</v>
      </c>
      <c r="W20" s="109" t="s">
        <v>49</v>
      </c>
      <c r="X20" s="10" t="s">
        <v>72</v>
      </c>
      <c r="Y20" s="110" t="s">
        <v>42</v>
      </c>
      <c r="Z20" s="111"/>
      <c r="AA20" s="51"/>
    </row>
    <row r="21" s="10" customFormat="true" ht="14.1" hidden="false" customHeight="true" outlineLevel="0" collapsed="false">
      <c r="A21" s="100" t="s">
        <v>26</v>
      </c>
      <c r="B21" s="2" t="s">
        <v>73</v>
      </c>
      <c r="C21" s="3"/>
      <c r="D21" s="101" t="n">
        <v>7053106</v>
      </c>
      <c r="E21" s="102" t="n">
        <v>45112</v>
      </c>
      <c r="F21" s="103" t="s">
        <v>54</v>
      </c>
      <c r="G21" s="5" t="n">
        <v>45112</v>
      </c>
      <c r="H21" s="104" t="s">
        <v>40</v>
      </c>
      <c r="I21" s="105"/>
      <c r="J21" s="106"/>
      <c r="K21" s="106"/>
      <c r="L21" s="106"/>
      <c r="M21" s="106"/>
      <c r="N21" s="105"/>
      <c r="O21" s="106"/>
      <c r="P21" s="105"/>
      <c r="Q21" s="7"/>
      <c r="R21" s="107"/>
      <c r="S21" s="105" t="n">
        <v>65</v>
      </c>
      <c r="T21" s="107" t="n">
        <v>12.5</v>
      </c>
      <c r="U21" s="108" t="n">
        <v>6.01</v>
      </c>
      <c r="V21" s="95" t="n">
        <f aca="false">SUM(I21:U21)</f>
        <v>83.51</v>
      </c>
      <c r="W21" s="109" t="s">
        <v>55</v>
      </c>
      <c r="X21" s="10" t="s">
        <v>26</v>
      </c>
      <c r="Y21" s="110" t="s">
        <v>42</v>
      </c>
      <c r="Z21" s="111"/>
      <c r="AA21" s="51"/>
    </row>
    <row r="22" s="10" customFormat="true" ht="14.1" hidden="false" customHeight="true" outlineLevel="0" collapsed="false">
      <c r="A22" s="100" t="s">
        <v>26</v>
      </c>
      <c r="B22" s="2" t="s">
        <v>74</v>
      </c>
      <c r="C22" s="3"/>
      <c r="D22" s="101" t="n">
        <v>7053107</v>
      </c>
      <c r="E22" s="102" t="n">
        <v>45112</v>
      </c>
      <c r="F22" s="103" t="s">
        <v>54</v>
      </c>
      <c r="G22" s="5" t="n">
        <v>45112</v>
      </c>
      <c r="H22" s="104" t="s">
        <v>40</v>
      </c>
      <c r="I22" s="105"/>
      <c r="J22" s="106"/>
      <c r="K22" s="106"/>
      <c r="L22" s="106"/>
      <c r="M22" s="106"/>
      <c r="N22" s="105"/>
      <c r="O22" s="106"/>
      <c r="P22" s="105"/>
      <c r="Q22" s="7"/>
      <c r="R22" s="107"/>
      <c r="S22" s="105" t="n">
        <v>65</v>
      </c>
      <c r="T22" s="107"/>
      <c r="U22" s="108" t="n">
        <v>6.01</v>
      </c>
      <c r="V22" s="95" t="n">
        <f aca="false">SUM(I22:U22)</f>
        <v>71.01</v>
      </c>
      <c r="W22" s="109" t="s">
        <v>75</v>
      </c>
      <c r="X22" s="10" t="s">
        <v>76</v>
      </c>
      <c r="Y22" s="110" t="s">
        <v>32</v>
      </c>
      <c r="Z22" s="111" t="s">
        <v>33</v>
      </c>
      <c r="AA22" s="51"/>
    </row>
    <row r="23" s="10" customFormat="true" ht="14.1" hidden="false" customHeight="true" outlineLevel="0" collapsed="false">
      <c r="A23" s="100" t="s">
        <v>26</v>
      </c>
      <c r="B23" s="2" t="s">
        <v>77</v>
      </c>
      <c r="C23" s="3"/>
      <c r="D23" s="101" t="n">
        <v>7063101</v>
      </c>
      <c r="E23" s="102" t="n">
        <v>45113</v>
      </c>
      <c r="F23" s="103" t="s">
        <v>54</v>
      </c>
      <c r="G23" s="5" t="n">
        <v>45113</v>
      </c>
      <c r="H23" s="104" t="s">
        <v>78</v>
      </c>
      <c r="I23" s="105"/>
      <c r="J23" s="106"/>
      <c r="K23" s="106"/>
      <c r="L23" s="106"/>
      <c r="M23" s="106"/>
      <c r="N23" s="105"/>
      <c r="O23" s="106"/>
      <c r="P23" s="105"/>
      <c r="Q23" s="7"/>
      <c r="R23" s="107"/>
      <c r="S23" s="105" t="n">
        <v>428</v>
      </c>
      <c r="T23" s="107" t="n">
        <v>87.5</v>
      </c>
      <c r="U23" s="108" t="n">
        <v>38.52</v>
      </c>
      <c r="V23" s="95" t="n">
        <f aca="false">SUM(I23:U23)</f>
        <v>554.02</v>
      </c>
      <c r="W23" s="109" t="s">
        <v>55</v>
      </c>
      <c r="X23" s="10" t="s">
        <v>26</v>
      </c>
      <c r="Y23" s="110" t="s">
        <v>42</v>
      </c>
      <c r="Z23" s="111"/>
      <c r="AA23" s="51"/>
    </row>
    <row r="24" s="10" customFormat="true" ht="14.1" hidden="false" customHeight="true" outlineLevel="0" collapsed="false">
      <c r="A24" s="100" t="s">
        <v>26</v>
      </c>
      <c r="B24" s="2" t="s">
        <v>79</v>
      </c>
      <c r="C24" s="3"/>
      <c r="D24" s="101" t="n">
        <v>7063102</v>
      </c>
      <c r="E24" s="102" t="n">
        <v>45113</v>
      </c>
      <c r="F24" s="103" t="s">
        <v>54</v>
      </c>
      <c r="G24" s="5" t="n">
        <v>45113</v>
      </c>
      <c r="H24" s="104" t="s">
        <v>40</v>
      </c>
      <c r="I24" s="105"/>
      <c r="J24" s="106"/>
      <c r="K24" s="106"/>
      <c r="L24" s="106"/>
      <c r="M24" s="106"/>
      <c r="N24" s="105"/>
      <c r="O24" s="106"/>
      <c r="P24" s="105"/>
      <c r="Q24" s="7"/>
      <c r="R24" s="107"/>
      <c r="S24" s="105" t="n">
        <v>39</v>
      </c>
      <c r="T24" s="107"/>
      <c r="U24" s="108" t="n">
        <v>3.61</v>
      </c>
      <c r="V24" s="95" t="n">
        <f aca="false">SUM(I24:U24)</f>
        <v>42.61</v>
      </c>
      <c r="W24" s="109" t="s">
        <v>75</v>
      </c>
      <c r="X24" s="10" t="s">
        <v>80</v>
      </c>
      <c r="Y24" s="110" t="s">
        <v>32</v>
      </c>
      <c r="Z24" s="111" t="s">
        <v>33</v>
      </c>
      <c r="AA24" s="51"/>
    </row>
    <row r="25" s="10" customFormat="true" ht="14.1" hidden="false" customHeight="true" outlineLevel="0" collapsed="false">
      <c r="A25" s="100" t="s">
        <v>26</v>
      </c>
      <c r="B25" s="2" t="s">
        <v>81</v>
      </c>
      <c r="C25" s="3"/>
      <c r="D25" s="101" t="n">
        <v>7063103</v>
      </c>
      <c r="E25" s="102" t="n">
        <v>45113</v>
      </c>
      <c r="F25" s="103" t="s">
        <v>54</v>
      </c>
      <c r="G25" s="5" t="n">
        <v>45113</v>
      </c>
      <c r="H25" s="104" t="s">
        <v>29</v>
      </c>
      <c r="I25" s="105"/>
      <c r="J25" s="106"/>
      <c r="K25" s="106"/>
      <c r="L25" s="106"/>
      <c r="M25" s="106"/>
      <c r="N25" s="105"/>
      <c r="O25" s="106"/>
      <c r="P25" s="105"/>
      <c r="Q25" s="7"/>
      <c r="R25" s="107"/>
      <c r="S25" s="105" t="n">
        <v>165</v>
      </c>
      <c r="T25" s="107" t="n">
        <v>37.5</v>
      </c>
      <c r="U25" s="108" t="n">
        <v>16.91</v>
      </c>
      <c r="V25" s="95" t="n">
        <f aca="false">SUM(I25:U25)</f>
        <v>219.41</v>
      </c>
      <c r="W25" s="109" t="s">
        <v>55</v>
      </c>
      <c r="X25" s="10" t="s">
        <v>26</v>
      </c>
      <c r="Y25" s="110" t="s">
        <v>32</v>
      </c>
      <c r="Z25" s="111" t="s">
        <v>51</v>
      </c>
      <c r="AA25" s="51"/>
    </row>
    <row r="26" s="10" customFormat="true" ht="14.1" hidden="false" customHeight="true" outlineLevel="0" collapsed="false">
      <c r="A26" s="100" t="s">
        <v>26</v>
      </c>
      <c r="B26" s="2" t="s">
        <v>82</v>
      </c>
      <c r="C26" s="3"/>
      <c r="D26" s="101" t="n">
        <v>7063104</v>
      </c>
      <c r="E26" s="102" t="n">
        <v>45113</v>
      </c>
      <c r="F26" s="103" t="s">
        <v>54</v>
      </c>
      <c r="G26" s="5" t="n">
        <v>45113</v>
      </c>
      <c r="H26" s="104" t="s">
        <v>83</v>
      </c>
      <c r="I26" s="105"/>
      <c r="J26" s="106"/>
      <c r="K26" s="106"/>
      <c r="L26" s="106"/>
      <c r="M26" s="106"/>
      <c r="N26" s="105"/>
      <c r="O26" s="106"/>
      <c r="P26" s="105"/>
      <c r="Q26" s="7"/>
      <c r="R26" s="107"/>
      <c r="S26" s="105" t="n">
        <v>194</v>
      </c>
      <c r="T26" s="107"/>
      <c r="U26" s="108" t="n">
        <v>17.95</v>
      </c>
      <c r="V26" s="95" t="n">
        <f aca="false">SUM(I26:U26)</f>
        <v>211.95</v>
      </c>
      <c r="W26" s="109" t="s">
        <v>75</v>
      </c>
      <c r="X26" s="10" t="s">
        <v>84</v>
      </c>
      <c r="Y26" s="110" t="s">
        <v>32</v>
      </c>
      <c r="Z26" s="111" t="s">
        <v>51</v>
      </c>
      <c r="AA26" s="51"/>
    </row>
    <row r="27" s="10" customFormat="true" ht="14.1" hidden="false" customHeight="true" outlineLevel="0" collapsed="false">
      <c r="A27" s="100" t="s">
        <v>26</v>
      </c>
      <c r="B27" s="2" t="s">
        <v>85</v>
      </c>
      <c r="C27" s="3"/>
      <c r="D27" s="101" t="n">
        <v>7063105</v>
      </c>
      <c r="E27" s="102" t="n">
        <v>45113</v>
      </c>
      <c r="F27" s="103" t="s">
        <v>54</v>
      </c>
      <c r="G27" s="5" t="n">
        <v>45113</v>
      </c>
      <c r="H27" s="104" t="s">
        <v>86</v>
      </c>
      <c r="I27" s="105"/>
      <c r="J27" s="106"/>
      <c r="K27" s="106"/>
      <c r="L27" s="106"/>
      <c r="M27" s="106"/>
      <c r="N27" s="105"/>
      <c r="O27" s="106"/>
      <c r="P27" s="105"/>
      <c r="Q27" s="7"/>
      <c r="R27" s="107"/>
      <c r="S27" s="105" t="n">
        <v>130</v>
      </c>
      <c r="T27" s="107" t="n">
        <v>25</v>
      </c>
      <c r="U27" s="108" t="n">
        <v>10.08</v>
      </c>
      <c r="V27" s="95" t="n">
        <f aca="false">SUM(I27:U27)</f>
        <v>165.08</v>
      </c>
      <c r="W27" s="109" t="s">
        <v>55</v>
      </c>
      <c r="X27" s="10" t="s">
        <v>26</v>
      </c>
      <c r="Y27" s="110" t="s">
        <v>32</v>
      </c>
      <c r="Z27" s="111" t="s">
        <v>51</v>
      </c>
      <c r="AA27" s="51"/>
    </row>
    <row r="28" s="10" customFormat="true" ht="14.1" hidden="false" customHeight="true" outlineLevel="0" collapsed="false">
      <c r="A28" s="100" t="s">
        <v>43</v>
      </c>
      <c r="B28" s="2" t="s">
        <v>87</v>
      </c>
      <c r="C28" s="3"/>
      <c r="D28" s="101" t="n">
        <v>5313103</v>
      </c>
      <c r="E28" s="102" t="n">
        <v>45077</v>
      </c>
      <c r="F28" s="103" t="s">
        <v>88</v>
      </c>
      <c r="G28" s="5" t="n">
        <v>45114</v>
      </c>
      <c r="H28" s="104" t="s">
        <v>89</v>
      </c>
      <c r="I28" s="105"/>
      <c r="J28" s="106"/>
      <c r="K28" s="106"/>
      <c r="L28" s="106"/>
      <c r="M28" s="106"/>
      <c r="N28" s="105"/>
      <c r="O28" s="106"/>
      <c r="P28" s="105" t="n">
        <v>101</v>
      </c>
      <c r="Q28" s="7"/>
      <c r="R28" s="107"/>
      <c r="S28" s="105"/>
      <c r="T28" s="107"/>
      <c r="U28" s="108" t="n">
        <v>8.73</v>
      </c>
      <c r="V28" s="95" t="n">
        <f aca="false">SUM(I28:U28)</f>
        <v>109.73</v>
      </c>
      <c r="W28" s="109" t="s">
        <v>30</v>
      </c>
      <c r="X28" s="10" t="s">
        <v>43</v>
      </c>
      <c r="Y28" s="110" t="s">
        <v>32</v>
      </c>
      <c r="Z28" s="111" t="s">
        <v>90</v>
      </c>
      <c r="AA28" s="51"/>
    </row>
    <row r="29" s="10" customFormat="true" ht="14.1" hidden="false" customHeight="true" outlineLevel="0" collapsed="false">
      <c r="A29" s="100" t="s">
        <v>91</v>
      </c>
      <c r="B29" s="2" t="s">
        <v>92</v>
      </c>
      <c r="C29" s="3"/>
      <c r="D29" s="101" t="n">
        <v>7073041</v>
      </c>
      <c r="E29" s="102" t="n">
        <v>45114</v>
      </c>
      <c r="F29" s="103" t="s">
        <v>54</v>
      </c>
      <c r="G29" s="5" t="n">
        <v>45114</v>
      </c>
      <c r="H29" s="104" t="s">
        <v>40</v>
      </c>
      <c r="I29" s="105"/>
      <c r="J29" s="106"/>
      <c r="K29" s="106"/>
      <c r="L29" s="106"/>
      <c r="M29" s="106"/>
      <c r="N29" s="105"/>
      <c r="O29" s="106"/>
      <c r="P29" s="105"/>
      <c r="Q29" s="7"/>
      <c r="R29" s="107"/>
      <c r="S29" s="105" t="n">
        <v>65</v>
      </c>
      <c r="T29" s="107"/>
      <c r="U29" s="108" t="n">
        <v>5.85</v>
      </c>
      <c r="V29" s="95" t="n">
        <f aca="false">SUM(I29:U29)</f>
        <v>70.85</v>
      </c>
      <c r="W29" s="109" t="s">
        <v>75</v>
      </c>
      <c r="X29" s="10" t="s">
        <v>93</v>
      </c>
      <c r="Y29" s="110" t="s">
        <v>32</v>
      </c>
      <c r="Z29" s="111" t="s">
        <v>33</v>
      </c>
      <c r="AA29" s="51"/>
    </row>
    <row r="30" s="10" customFormat="true" ht="14.1" hidden="false" customHeight="true" outlineLevel="0" collapsed="false">
      <c r="A30" s="100" t="s">
        <v>26</v>
      </c>
      <c r="B30" s="2" t="s">
        <v>74</v>
      </c>
      <c r="C30" s="3"/>
      <c r="D30" s="101" t="n">
        <v>7073103</v>
      </c>
      <c r="E30" s="102" t="n">
        <v>45114</v>
      </c>
      <c r="F30" s="103" t="s">
        <v>54</v>
      </c>
      <c r="G30" s="5" t="n">
        <v>45114</v>
      </c>
      <c r="H30" s="104" t="s">
        <v>40</v>
      </c>
      <c r="I30" s="105"/>
      <c r="J30" s="106"/>
      <c r="K30" s="106"/>
      <c r="L30" s="106"/>
      <c r="M30" s="106"/>
      <c r="N30" s="105"/>
      <c r="O30" s="106"/>
      <c r="P30" s="105"/>
      <c r="Q30" s="7"/>
      <c r="R30" s="107"/>
      <c r="S30" s="105" t="n">
        <v>65</v>
      </c>
      <c r="T30" s="107"/>
      <c r="U30" s="108" t="n">
        <v>6.01</v>
      </c>
      <c r="V30" s="95" t="n">
        <f aca="false">SUM(I30:U30)</f>
        <v>71.01</v>
      </c>
      <c r="W30" s="109" t="s">
        <v>75</v>
      </c>
      <c r="X30" s="10" t="s">
        <v>94</v>
      </c>
      <c r="Y30" s="110" t="s">
        <v>32</v>
      </c>
      <c r="Z30" s="111" t="s">
        <v>33</v>
      </c>
      <c r="AA30" s="51"/>
    </row>
    <row r="31" s="10" customFormat="true" ht="14.1" hidden="false" customHeight="true" outlineLevel="0" collapsed="false">
      <c r="A31" s="100" t="s">
        <v>26</v>
      </c>
      <c r="B31" s="2" t="s">
        <v>95</v>
      </c>
      <c r="C31" s="3" t="s">
        <v>96</v>
      </c>
      <c r="D31" s="101" t="n">
        <v>7063106</v>
      </c>
      <c r="E31" s="102" t="n">
        <v>45117</v>
      </c>
      <c r="F31" s="103" t="n">
        <v>67240</v>
      </c>
      <c r="G31" s="5" t="n">
        <v>45117</v>
      </c>
      <c r="H31" s="104" t="s">
        <v>97</v>
      </c>
      <c r="I31" s="105"/>
      <c r="J31" s="106"/>
      <c r="K31" s="106"/>
      <c r="L31" s="106"/>
      <c r="M31" s="106"/>
      <c r="N31" s="105"/>
      <c r="O31" s="106"/>
      <c r="P31" s="105"/>
      <c r="Q31" s="7"/>
      <c r="R31" s="107"/>
      <c r="S31" s="105" t="n">
        <v>45</v>
      </c>
      <c r="T31" s="107" t="n">
        <v>12.5</v>
      </c>
      <c r="U31" s="108"/>
      <c r="V31" s="95" t="n">
        <f aca="false">SUM(I31:U31)</f>
        <v>57.5</v>
      </c>
      <c r="W31" s="109" t="s">
        <v>55</v>
      </c>
      <c r="X31" s="10" t="s">
        <v>45</v>
      </c>
      <c r="Y31" s="110" t="s">
        <v>42</v>
      </c>
      <c r="Z31" s="111"/>
      <c r="AA31" s="51"/>
    </row>
    <row r="32" s="10" customFormat="true" ht="14.1" hidden="false" customHeight="true" outlineLevel="0" collapsed="false">
      <c r="A32" s="100" t="s">
        <v>26</v>
      </c>
      <c r="B32" s="2" t="s">
        <v>98</v>
      </c>
      <c r="C32" s="3" t="s">
        <v>99</v>
      </c>
      <c r="D32" s="101" t="n">
        <v>7073101</v>
      </c>
      <c r="E32" s="102" t="n">
        <v>45114</v>
      </c>
      <c r="F32" s="103" t="s">
        <v>54</v>
      </c>
      <c r="G32" s="5" t="n">
        <v>45117</v>
      </c>
      <c r="H32" s="104" t="s">
        <v>97</v>
      </c>
      <c r="I32" s="105"/>
      <c r="J32" s="106"/>
      <c r="K32" s="106"/>
      <c r="L32" s="106"/>
      <c r="M32" s="106"/>
      <c r="N32" s="105"/>
      <c r="O32" s="106"/>
      <c r="P32" s="105"/>
      <c r="Q32" s="7"/>
      <c r="R32" s="107"/>
      <c r="S32" s="105" t="n">
        <v>240</v>
      </c>
      <c r="T32" s="107" t="n">
        <v>50</v>
      </c>
      <c r="U32" s="108"/>
      <c r="V32" s="95" t="n">
        <f aca="false">SUM(I32:U32)</f>
        <v>290</v>
      </c>
      <c r="W32" s="109" t="s">
        <v>55</v>
      </c>
      <c r="X32" s="10" t="s">
        <v>45</v>
      </c>
      <c r="Y32" s="110" t="s">
        <v>42</v>
      </c>
      <c r="Z32" s="111"/>
      <c r="AA32" s="51"/>
    </row>
    <row r="33" s="10" customFormat="true" ht="14.1" hidden="false" customHeight="true" outlineLevel="0" collapsed="false">
      <c r="A33" s="100" t="s">
        <v>26</v>
      </c>
      <c r="B33" s="2" t="s">
        <v>100</v>
      </c>
      <c r="C33" s="3"/>
      <c r="D33" s="101" t="n">
        <v>7073104</v>
      </c>
      <c r="E33" s="102" t="n">
        <v>45114</v>
      </c>
      <c r="F33" s="103" t="s">
        <v>54</v>
      </c>
      <c r="G33" s="5" t="n">
        <v>45117</v>
      </c>
      <c r="H33" s="104" t="s">
        <v>40</v>
      </c>
      <c r="I33" s="105"/>
      <c r="J33" s="106"/>
      <c r="K33" s="106"/>
      <c r="L33" s="106"/>
      <c r="M33" s="106"/>
      <c r="N33" s="105"/>
      <c r="O33" s="106"/>
      <c r="P33" s="105"/>
      <c r="Q33" s="7"/>
      <c r="R33" s="107"/>
      <c r="S33" s="105" t="n">
        <v>221</v>
      </c>
      <c r="T33" s="107" t="n">
        <v>25</v>
      </c>
      <c r="U33" s="108" t="n">
        <v>20.44</v>
      </c>
      <c r="V33" s="95" t="n">
        <f aca="false">SUM(I33:U33)</f>
        <v>266.44</v>
      </c>
      <c r="W33" s="109" t="s">
        <v>55</v>
      </c>
      <c r="X33" s="10" t="s">
        <v>45</v>
      </c>
      <c r="Y33" s="110" t="s">
        <v>42</v>
      </c>
      <c r="Z33" s="111"/>
      <c r="AA33" s="51"/>
    </row>
    <row r="34" s="10" customFormat="true" ht="14.1" hidden="false" customHeight="true" outlineLevel="0" collapsed="false">
      <c r="A34" s="100" t="s">
        <v>26</v>
      </c>
      <c r="B34" s="2" t="s">
        <v>101</v>
      </c>
      <c r="C34" s="3"/>
      <c r="D34" s="101" t="n">
        <v>7073105</v>
      </c>
      <c r="E34" s="102" t="n">
        <v>45114</v>
      </c>
      <c r="F34" s="103" t="s">
        <v>54</v>
      </c>
      <c r="G34" s="5" t="n">
        <v>45117</v>
      </c>
      <c r="H34" s="104" t="s">
        <v>36</v>
      </c>
      <c r="I34" s="105"/>
      <c r="J34" s="106"/>
      <c r="K34" s="106"/>
      <c r="L34" s="106"/>
      <c r="M34" s="106"/>
      <c r="N34" s="105"/>
      <c r="O34" s="106"/>
      <c r="P34" s="105"/>
      <c r="Q34" s="7"/>
      <c r="R34" s="107"/>
      <c r="S34" s="105" t="n">
        <v>610</v>
      </c>
      <c r="T34" s="107"/>
      <c r="U34" s="108" t="n">
        <v>52.61</v>
      </c>
      <c r="V34" s="95" t="n">
        <f aca="false">SUM(I34:U34)</f>
        <v>662.61</v>
      </c>
      <c r="W34" s="109" t="s">
        <v>30</v>
      </c>
      <c r="X34" s="10" t="s">
        <v>102</v>
      </c>
      <c r="Y34" s="110" t="s">
        <v>42</v>
      </c>
      <c r="Z34" s="111"/>
      <c r="AA34" s="51"/>
    </row>
    <row r="35" s="10" customFormat="true" ht="14.1" hidden="false" customHeight="true" outlineLevel="0" collapsed="false">
      <c r="A35" s="100" t="s">
        <v>26</v>
      </c>
      <c r="B35" s="2" t="s">
        <v>103</v>
      </c>
      <c r="C35" s="3"/>
      <c r="D35" s="101" t="n">
        <v>7103062</v>
      </c>
      <c r="E35" s="102" t="n">
        <v>45117</v>
      </c>
      <c r="F35" s="103" t="s">
        <v>54</v>
      </c>
      <c r="G35" s="5" t="n">
        <v>45117</v>
      </c>
      <c r="H35" s="104" t="s">
        <v>86</v>
      </c>
      <c r="I35" s="105"/>
      <c r="J35" s="106"/>
      <c r="K35" s="106"/>
      <c r="L35" s="106"/>
      <c r="M35" s="106"/>
      <c r="N35" s="105"/>
      <c r="O35" s="106"/>
      <c r="P35" s="105"/>
      <c r="Q35" s="7"/>
      <c r="R35" s="107"/>
      <c r="S35" s="105" t="n">
        <v>165</v>
      </c>
      <c r="T35" s="107" t="n">
        <v>37.5</v>
      </c>
      <c r="U35" s="108" t="n">
        <v>12.79</v>
      </c>
      <c r="V35" s="95" t="n">
        <f aca="false">SUM(I35:U35)</f>
        <v>215.29</v>
      </c>
      <c r="W35" s="109" t="s">
        <v>55</v>
      </c>
      <c r="X35" s="10" t="s">
        <v>45</v>
      </c>
      <c r="Y35" s="110" t="s">
        <v>42</v>
      </c>
      <c r="Z35" s="111"/>
      <c r="AA35" s="51"/>
    </row>
    <row r="36" s="10" customFormat="true" ht="14.1" hidden="false" customHeight="true" outlineLevel="0" collapsed="false">
      <c r="A36" s="100" t="s">
        <v>26</v>
      </c>
      <c r="B36" s="2" t="s">
        <v>104</v>
      </c>
      <c r="C36" s="3" t="s">
        <v>105</v>
      </c>
      <c r="D36" s="101" t="n">
        <v>7103063</v>
      </c>
      <c r="E36" s="102" t="n">
        <v>45117</v>
      </c>
      <c r="F36" s="103" t="s">
        <v>54</v>
      </c>
      <c r="G36" s="5" t="n">
        <v>45117</v>
      </c>
      <c r="H36" s="104" t="s">
        <v>106</v>
      </c>
      <c r="I36" s="105"/>
      <c r="J36" s="106"/>
      <c r="K36" s="106"/>
      <c r="L36" s="106"/>
      <c r="M36" s="106"/>
      <c r="N36" s="105"/>
      <c r="O36" s="106"/>
      <c r="P36" s="105"/>
      <c r="Q36" s="7"/>
      <c r="R36" s="107"/>
      <c r="S36" s="105" t="n">
        <v>220</v>
      </c>
      <c r="T36" s="107" t="n">
        <v>50</v>
      </c>
      <c r="U36" s="108" t="n">
        <v>20.08</v>
      </c>
      <c r="V36" s="95" t="n">
        <f aca="false">SUM(I36:U36)</f>
        <v>290.08</v>
      </c>
      <c r="W36" s="109" t="s">
        <v>55</v>
      </c>
      <c r="X36" s="10" t="s">
        <v>45</v>
      </c>
      <c r="Y36" s="110" t="s">
        <v>32</v>
      </c>
      <c r="Z36" s="111" t="s">
        <v>51</v>
      </c>
      <c r="AA36" s="51"/>
    </row>
    <row r="37" s="10" customFormat="true" ht="14.1" hidden="false" customHeight="true" outlineLevel="0" collapsed="false">
      <c r="A37" s="100" t="s">
        <v>43</v>
      </c>
      <c r="B37" s="2" t="s">
        <v>107</v>
      </c>
      <c r="C37" s="3"/>
      <c r="D37" s="101" t="n">
        <v>7103067</v>
      </c>
      <c r="E37" s="102" t="n">
        <v>45117</v>
      </c>
      <c r="F37" s="103" t="s">
        <v>54</v>
      </c>
      <c r="G37" s="5" t="n">
        <v>45117</v>
      </c>
      <c r="H37" s="104" t="s">
        <v>108</v>
      </c>
      <c r="I37" s="105"/>
      <c r="J37" s="106"/>
      <c r="K37" s="106"/>
      <c r="L37" s="106"/>
      <c r="M37" s="106"/>
      <c r="N37" s="105"/>
      <c r="O37" s="106"/>
      <c r="P37" s="105"/>
      <c r="Q37" s="7"/>
      <c r="R37" s="107"/>
      <c r="S37" s="105" t="n">
        <v>726</v>
      </c>
      <c r="T37" s="107" t="n">
        <v>75</v>
      </c>
      <c r="U37" s="108" t="n">
        <v>67.16</v>
      </c>
      <c r="V37" s="95" t="n">
        <f aca="false">SUM(I37:U37)</f>
        <v>868.16</v>
      </c>
      <c r="W37" s="109" t="s">
        <v>30</v>
      </c>
      <c r="X37" s="10" t="s">
        <v>43</v>
      </c>
      <c r="Y37" s="110" t="s">
        <v>42</v>
      </c>
      <c r="Z37" s="111"/>
      <c r="AA37" s="51"/>
    </row>
    <row r="38" s="10" customFormat="true" ht="14.1" hidden="false" customHeight="true" outlineLevel="0" collapsed="false">
      <c r="A38" s="100" t="s">
        <v>26</v>
      </c>
      <c r="B38" s="2" t="s">
        <v>109</v>
      </c>
      <c r="C38" s="3"/>
      <c r="D38" s="101" t="n">
        <v>7103101</v>
      </c>
      <c r="E38" s="102" t="n">
        <v>45117</v>
      </c>
      <c r="F38" s="103" t="s">
        <v>54</v>
      </c>
      <c r="G38" s="5" t="n">
        <v>45117</v>
      </c>
      <c r="H38" s="104" t="s">
        <v>110</v>
      </c>
      <c r="I38" s="105"/>
      <c r="J38" s="106"/>
      <c r="K38" s="106"/>
      <c r="L38" s="106"/>
      <c r="M38" s="106"/>
      <c r="N38" s="105"/>
      <c r="O38" s="106"/>
      <c r="P38" s="105"/>
      <c r="Q38" s="7"/>
      <c r="R38" s="107"/>
      <c r="S38" s="105" t="n">
        <v>110</v>
      </c>
      <c r="T38" s="107" t="n">
        <v>25</v>
      </c>
      <c r="U38" s="108" t="n">
        <v>9.08</v>
      </c>
      <c r="V38" s="95" t="n">
        <f aca="false">SUM(I38:U38)</f>
        <v>144.08</v>
      </c>
      <c r="W38" s="109" t="s">
        <v>55</v>
      </c>
      <c r="X38" s="10" t="s">
        <v>45</v>
      </c>
      <c r="Y38" s="110" t="s">
        <v>32</v>
      </c>
      <c r="Z38" s="111" t="s">
        <v>51</v>
      </c>
      <c r="AA38" s="51"/>
    </row>
    <row r="39" s="10" customFormat="true" ht="14.1" hidden="false" customHeight="true" outlineLevel="0" collapsed="false">
      <c r="A39" s="100" t="s">
        <v>26</v>
      </c>
      <c r="B39" s="2" t="s">
        <v>111</v>
      </c>
      <c r="C39" s="3"/>
      <c r="D39" s="101" t="n">
        <v>7103102</v>
      </c>
      <c r="E39" s="102" t="n">
        <v>45117</v>
      </c>
      <c r="F39" s="103" t="s">
        <v>54</v>
      </c>
      <c r="G39" s="5" t="n">
        <v>45117</v>
      </c>
      <c r="H39" s="104" t="s">
        <v>112</v>
      </c>
      <c r="I39" s="105"/>
      <c r="J39" s="106"/>
      <c r="K39" s="106"/>
      <c r="L39" s="106"/>
      <c r="M39" s="106"/>
      <c r="N39" s="105"/>
      <c r="O39" s="106"/>
      <c r="P39" s="105"/>
      <c r="Q39" s="7"/>
      <c r="R39" s="107"/>
      <c r="S39" s="105" t="n">
        <v>220</v>
      </c>
      <c r="T39" s="107" t="n">
        <v>50</v>
      </c>
      <c r="U39" s="108" t="n">
        <v>18.15</v>
      </c>
      <c r="V39" s="95" t="n">
        <f aca="false">SUM(I39:U39)</f>
        <v>288.15</v>
      </c>
      <c r="W39" s="109" t="s">
        <v>55</v>
      </c>
      <c r="X39" s="10" t="s">
        <v>45</v>
      </c>
      <c r="Y39" s="110" t="s">
        <v>42</v>
      </c>
      <c r="Z39" s="111"/>
      <c r="AA39" s="51"/>
    </row>
    <row r="40" s="10" customFormat="true" ht="14.1" hidden="false" customHeight="true" outlineLevel="0" collapsed="false">
      <c r="A40" s="100" t="s">
        <v>26</v>
      </c>
      <c r="B40" s="2" t="s">
        <v>65</v>
      </c>
      <c r="C40" s="3"/>
      <c r="D40" s="101" t="n">
        <v>7103103</v>
      </c>
      <c r="E40" s="102" t="n">
        <v>45117</v>
      </c>
      <c r="F40" s="103" t="s">
        <v>54</v>
      </c>
      <c r="G40" s="5" t="n">
        <v>45117</v>
      </c>
      <c r="H40" s="104" t="s">
        <v>66</v>
      </c>
      <c r="I40" s="105"/>
      <c r="J40" s="106"/>
      <c r="K40" s="106"/>
      <c r="L40" s="106"/>
      <c r="M40" s="106"/>
      <c r="N40" s="105"/>
      <c r="O40" s="106"/>
      <c r="P40" s="105"/>
      <c r="Q40" s="7"/>
      <c r="R40" s="107"/>
      <c r="S40" s="105" t="n">
        <v>564</v>
      </c>
      <c r="T40" s="107" t="n">
        <v>87.5</v>
      </c>
      <c r="U40" s="108" t="n">
        <v>50.06</v>
      </c>
      <c r="V40" s="95" t="n">
        <f aca="false">SUM(I40:U40)</f>
        <v>701.56</v>
      </c>
      <c r="W40" s="109" t="s">
        <v>55</v>
      </c>
      <c r="X40" s="10" t="s">
        <v>45</v>
      </c>
      <c r="Y40" s="110" t="s">
        <v>42</v>
      </c>
      <c r="Z40" s="111"/>
      <c r="AA40" s="51"/>
    </row>
    <row r="41" s="10" customFormat="true" ht="14.1" hidden="false" customHeight="true" outlineLevel="0" collapsed="false">
      <c r="A41" s="100" t="s">
        <v>26</v>
      </c>
      <c r="B41" s="2" t="s">
        <v>113</v>
      </c>
      <c r="C41" s="3"/>
      <c r="D41" s="101" t="n">
        <v>7103104</v>
      </c>
      <c r="E41" s="102" t="n">
        <v>45117</v>
      </c>
      <c r="F41" s="103" t="s">
        <v>54</v>
      </c>
      <c r="G41" s="5" t="n">
        <v>45117</v>
      </c>
      <c r="H41" s="104" t="s">
        <v>110</v>
      </c>
      <c r="I41" s="105"/>
      <c r="J41" s="106"/>
      <c r="K41" s="106"/>
      <c r="L41" s="106"/>
      <c r="M41" s="106"/>
      <c r="N41" s="105"/>
      <c r="O41" s="106"/>
      <c r="P41" s="105"/>
      <c r="Q41" s="7"/>
      <c r="R41" s="107"/>
      <c r="S41" s="105" t="n">
        <v>1550</v>
      </c>
      <c r="T41" s="107" t="n">
        <v>275</v>
      </c>
      <c r="U41" s="108" t="n">
        <v>112.38</v>
      </c>
      <c r="V41" s="95" t="n">
        <f aca="false">SUM(I41:U41)</f>
        <v>1937.38</v>
      </c>
      <c r="W41" s="109" t="s">
        <v>55</v>
      </c>
      <c r="X41" s="10" t="s">
        <v>45</v>
      </c>
      <c r="Y41" s="110" t="s">
        <v>42</v>
      </c>
      <c r="Z41" s="111"/>
      <c r="AA41" s="51"/>
    </row>
    <row r="42" s="10" customFormat="true" ht="14.1" hidden="false" customHeight="true" outlineLevel="0" collapsed="false">
      <c r="A42" s="100" t="s">
        <v>26</v>
      </c>
      <c r="B42" s="2" t="s">
        <v>85</v>
      </c>
      <c r="C42" s="3"/>
      <c r="D42" s="101" t="n">
        <v>7103107</v>
      </c>
      <c r="E42" s="102" t="n">
        <v>45117</v>
      </c>
      <c r="F42" s="103" t="s">
        <v>54</v>
      </c>
      <c r="G42" s="5" t="n">
        <v>45117</v>
      </c>
      <c r="H42" s="104" t="s">
        <v>86</v>
      </c>
      <c r="I42" s="105"/>
      <c r="J42" s="106"/>
      <c r="K42" s="106"/>
      <c r="L42" s="106"/>
      <c r="M42" s="106"/>
      <c r="N42" s="105"/>
      <c r="O42" s="106"/>
      <c r="P42" s="105"/>
      <c r="Q42" s="7"/>
      <c r="R42" s="107"/>
      <c r="S42" s="105" t="n">
        <v>130</v>
      </c>
      <c r="T42" s="107" t="n">
        <v>25</v>
      </c>
      <c r="U42" s="108" t="n">
        <v>10.08</v>
      </c>
      <c r="V42" s="95" t="n">
        <f aca="false">SUM(I42:U42)</f>
        <v>165.08</v>
      </c>
      <c r="W42" s="109" t="s">
        <v>55</v>
      </c>
      <c r="X42" s="10" t="s">
        <v>45</v>
      </c>
      <c r="Y42" s="110" t="s">
        <v>42</v>
      </c>
      <c r="Z42" s="111"/>
      <c r="AA42" s="51"/>
    </row>
    <row r="43" s="10" customFormat="true" ht="14.1" hidden="false" customHeight="true" outlineLevel="0" collapsed="false">
      <c r="A43" s="100" t="s">
        <v>45</v>
      </c>
      <c r="B43" s="2" t="s">
        <v>114</v>
      </c>
      <c r="C43" s="3"/>
      <c r="D43" s="101" t="n">
        <v>7113051</v>
      </c>
      <c r="E43" s="102" t="n">
        <v>45118</v>
      </c>
      <c r="F43" s="103" t="s">
        <v>12</v>
      </c>
      <c r="G43" s="5" t="n">
        <v>45118</v>
      </c>
      <c r="H43" s="104" t="s">
        <v>40</v>
      </c>
      <c r="I43" s="105"/>
      <c r="J43" s="106"/>
      <c r="K43" s="106"/>
      <c r="L43" s="106"/>
      <c r="M43" s="106" t="n">
        <v>11025.79</v>
      </c>
      <c r="N43" s="105"/>
      <c r="O43" s="106"/>
      <c r="P43" s="105"/>
      <c r="Q43" s="7"/>
      <c r="R43" s="107"/>
      <c r="S43" s="105"/>
      <c r="T43" s="107"/>
      <c r="U43" s="108"/>
      <c r="V43" s="95" t="n">
        <f aca="false">SUM(I43:U43)</f>
        <v>11025.79</v>
      </c>
      <c r="W43" s="109" t="s">
        <v>41</v>
      </c>
      <c r="X43" s="10" t="s">
        <v>45</v>
      </c>
      <c r="Y43" s="110" t="s">
        <v>32</v>
      </c>
      <c r="Z43" s="111" t="s">
        <v>90</v>
      </c>
      <c r="AA43" s="51"/>
    </row>
    <row r="44" s="10" customFormat="true" ht="14.1" hidden="false" customHeight="true" outlineLevel="0" collapsed="false">
      <c r="A44" s="100" t="s">
        <v>26</v>
      </c>
      <c r="B44" s="2" t="s">
        <v>115</v>
      </c>
      <c r="C44" s="3"/>
      <c r="D44" s="101" t="n">
        <v>7103107</v>
      </c>
      <c r="E44" s="102" t="n">
        <v>45117</v>
      </c>
      <c r="F44" s="103" t="s">
        <v>54</v>
      </c>
      <c r="G44" s="5" t="n">
        <v>45118</v>
      </c>
      <c r="H44" s="104" t="s">
        <v>64</v>
      </c>
      <c r="I44" s="105"/>
      <c r="J44" s="106"/>
      <c r="K44" s="106"/>
      <c r="L44" s="106"/>
      <c r="M44" s="106"/>
      <c r="N44" s="105"/>
      <c r="O44" s="106"/>
      <c r="P44" s="105"/>
      <c r="Q44" s="7"/>
      <c r="R44" s="107"/>
      <c r="S44" s="105" t="n">
        <v>65</v>
      </c>
      <c r="T44" s="107" t="n">
        <v>12.5</v>
      </c>
      <c r="U44" s="108" t="n">
        <v>6.01</v>
      </c>
      <c r="V44" s="95" t="n">
        <f aca="false">SUM(I44:U44)</f>
        <v>83.51</v>
      </c>
      <c r="W44" s="109" t="s">
        <v>55</v>
      </c>
      <c r="X44" s="10" t="s">
        <v>26</v>
      </c>
      <c r="Y44" s="110" t="s">
        <v>42</v>
      </c>
      <c r="Z44" s="111"/>
      <c r="AA44" s="51"/>
    </row>
    <row r="45" s="10" customFormat="true" ht="14.1" hidden="false" customHeight="true" outlineLevel="0" collapsed="false">
      <c r="A45" s="100" t="s">
        <v>26</v>
      </c>
      <c r="B45" s="2" t="s">
        <v>116</v>
      </c>
      <c r="C45" s="3"/>
      <c r="D45" s="101" t="n">
        <v>7103109</v>
      </c>
      <c r="E45" s="102" t="n">
        <v>45117</v>
      </c>
      <c r="F45" s="103" t="s">
        <v>54</v>
      </c>
      <c r="G45" s="5" t="n">
        <v>45118</v>
      </c>
      <c r="H45" s="104" t="s">
        <v>108</v>
      </c>
      <c r="I45" s="105"/>
      <c r="J45" s="106"/>
      <c r="K45" s="106"/>
      <c r="L45" s="106"/>
      <c r="M45" s="106"/>
      <c r="N45" s="105"/>
      <c r="O45" s="106"/>
      <c r="P45" s="105"/>
      <c r="Q45" s="7"/>
      <c r="R45" s="107"/>
      <c r="S45" s="105" t="n">
        <v>292</v>
      </c>
      <c r="T45" s="107" t="n">
        <v>50</v>
      </c>
      <c r="U45" s="108" t="n">
        <v>27.01</v>
      </c>
      <c r="V45" s="95" t="n">
        <f aca="false">SUM(I45:U45)</f>
        <v>369.01</v>
      </c>
      <c r="W45" s="109" t="s">
        <v>55</v>
      </c>
      <c r="X45" s="10" t="s">
        <v>26</v>
      </c>
      <c r="Y45" s="110" t="s">
        <v>42</v>
      </c>
      <c r="Z45" s="111"/>
      <c r="AA45" s="51"/>
    </row>
    <row r="46" s="10" customFormat="true" ht="14.1" hidden="false" customHeight="true" outlineLevel="0" collapsed="false">
      <c r="A46" s="100" t="s">
        <v>45</v>
      </c>
      <c r="B46" s="2" t="s">
        <v>117</v>
      </c>
      <c r="C46" s="3"/>
      <c r="D46" s="101" t="n">
        <v>7113064</v>
      </c>
      <c r="E46" s="102" t="n">
        <v>45118</v>
      </c>
      <c r="F46" s="103" t="s">
        <v>54</v>
      </c>
      <c r="G46" s="5" t="n">
        <v>45118</v>
      </c>
      <c r="H46" s="104" t="s">
        <v>118</v>
      </c>
      <c r="I46" s="105"/>
      <c r="J46" s="106"/>
      <c r="K46" s="106"/>
      <c r="L46" s="106"/>
      <c r="M46" s="106"/>
      <c r="N46" s="105"/>
      <c r="O46" s="106"/>
      <c r="P46" s="105"/>
      <c r="Q46" s="7"/>
      <c r="R46" s="107"/>
      <c r="S46" s="105" t="n">
        <v>414</v>
      </c>
      <c r="T46" s="107"/>
      <c r="U46" s="108"/>
      <c r="V46" s="95" t="n">
        <f aca="false">SUM(I46:U46)</f>
        <v>414</v>
      </c>
      <c r="W46" s="109" t="s">
        <v>55</v>
      </c>
      <c r="X46" s="10" t="s">
        <v>45</v>
      </c>
      <c r="Y46" s="110" t="s">
        <v>42</v>
      </c>
      <c r="Z46" s="111"/>
      <c r="AA46" s="51"/>
    </row>
    <row r="47" s="10" customFormat="true" ht="14.1" hidden="false" customHeight="true" outlineLevel="0" collapsed="false">
      <c r="A47" s="100" t="s">
        <v>45</v>
      </c>
      <c r="B47" s="2" t="s">
        <v>117</v>
      </c>
      <c r="C47" s="3"/>
      <c r="D47" s="101" t="n">
        <v>7113064</v>
      </c>
      <c r="E47" s="102" t="n">
        <v>45118</v>
      </c>
      <c r="F47" s="103" t="s">
        <v>54</v>
      </c>
      <c r="G47" s="5" t="n">
        <v>45118</v>
      </c>
      <c r="H47" s="104" t="s">
        <v>118</v>
      </c>
      <c r="I47" s="105"/>
      <c r="J47" s="106"/>
      <c r="K47" s="106"/>
      <c r="L47" s="106"/>
      <c r="M47" s="106"/>
      <c r="N47" s="105"/>
      <c r="O47" s="106"/>
      <c r="P47" s="105"/>
      <c r="Q47" s="7"/>
      <c r="R47" s="107"/>
      <c r="S47" s="105" t="n">
        <v>2476</v>
      </c>
      <c r="T47" s="107"/>
      <c r="U47" s="108"/>
      <c r="V47" s="95" t="n">
        <f aca="false">SUM(I47:U47)</f>
        <v>2476</v>
      </c>
      <c r="W47" s="109" t="s">
        <v>55</v>
      </c>
      <c r="X47" s="10" t="s">
        <v>45</v>
      </c>
      <c r="Y47" s="110" t="s">
        <v>42</v>
      </c>
      <c r="Z47" s="111"/>
      <c r="AA47" s="51"/>
    </row>
    <row r="48" s="10" customFormat="true" ht="14.1" hidden="false" customHeight="true" outlineLevel="0" collapsed="false">
      <c r="A48" s="100" t="s">
        <v>26</v>
      </c>
      <c r="B48" s="2" t="s">
        <v>119</v>
      </c>
      <c r="C48" s="3" t="s">
        <v>120</v>
      </c>
      <c r="D48" s="101" t="n">
        <v>7113101</v>
      </c>
      <c r="E48" s="102" t="n">
        <v>45118</v>
      </c>
      <c r="F48" s="103" t="s">
        <v>54</v>
      </c>
      <c r="G48" s="5" t="n">
        <v>45118</v>
      </c>
      <c r="H48" s="104" t="s">
        <v>121</v>
      </c>
      <c r="I48" s="105"/>
      <c r="J48" s="106"/>
      <c r="K48" s="106"/>
      <c r="L48" s="106"/>
      <c r="M48" s="106"/>
      <c r="N48" s="105"/>
      <c r="O48" s="106"/>
      <c r="P48" s="105"/>
      <c r="Q48" s="7"/>
      <c r="R48" s="107"/>
      <c r="S48" s="105" t="n">
        <v>100</v>
      </c>
      <c r="T48" s="107" t="n">
        <v>25</v>
      </c>
      <c r="U48" s="108" t="n">
        <v>8.5</v>
      </c>
      <c r="V48" s="95" t="n">
        <f aca="false">SUM(I48:U48)</f>
        <v>133.5</v>
      </c>
      <c r="W48" s="109" t="s">
        <v>55</v>
      </c>
      <c r="X48" s="10" t="s">
        <v>45</v>
      </c>
      <c r="Y48" s="110" t="s">
        <v>42</v>
      </c>
      <c r="Z48" s="111"/>
      <c r="AA48" s="51"/>
    </row>
    <row r="49" s="10" customFormat="true" ht="14.1" hidden="false" customHeight="true" outlineLevel="0" collapsed="false">
      <c r="A49" s="100" t="s">
        <v>26</v>
      </c>
      <c r="B49" s="2" t="s">
        <v>122</v>
      </c>
      <c r="C49" s="3"/>
      <c r="D49" s="101" t="n">
        <v>7113102</v>
      </c>
      <c r="E49" s="102" t="n">
        <v>45118</v>
      </c>
      <c r="F49" s="103" t="s">
        <v>54</v>
      </c>
      <c r="G49" s="5" t="n">
        <v>45118</v>
      </c>
      <c r="H49" s="104" t="s">
        <v>69</v>
      </c>
      <c r="I49" s="105"/>
      <c r="J49" s="106"/>
      <c r="K49" s="106"/>
      <c r="L49" s="106"/>
      <c r="M49" s="106"/>
      <c r="N49" s="105"/>
      <c r="O49" s="106"/>
      <c r="P49" s="105"/>
      <c r="Q49" s="7"/>
      <c r="R49" s="107"/>
      <c r="S49" s="105" t="n">
        <v>259</v>
      </c>
      <c r="T49" s="107" t="n">
        <v>62.5</v>
      </c>
      <c r="U49" s="108" t="n">
        <v>25.25</v>
      </c>
      <c r="V49" s="95" t="n">
        <f aca="false">SUM(I49:U49)</f>
        <v>346.75</v>
      </c>
      <c r="W49" s="109" t="s">
        <v>55</v>
      </c>
      <c r="X49" s="10" t="s">
        <v>26</v>
      </c>
      <c r="Y49" s="110" t="s">
        <v>32</v>
      </c>
      <c r="Z49" s="111" t="s">
        <v>33</v>
      </c>
      <c r="AA49" s="51"/>
    </row>
    <row r="50" s="10" customFormat="true" ht="14.1" hidden="false" customHeight="true" outlineLevel="0" collapsed="false">
      <c r="A50" s="100" t="s">
        <v>26</v>
      </c>
      <c r="B50" s="2" t="s">
        <v>123</v>
      </c>
      <c r="C50" s="3" t="s">
        <v>124</v>
      </c>
      <c r="D50" s="101" t="n">
        <v>7113103</v>
      </c>
      <c r="E50" s="102" t="n">
        <v>45118</v>
      </c>
      <c r="F50" s="103" t="s">
        <v>54</v>
      </c>
      <c r="G50" s="5" t="n">
        <v>45118</v>
      </c>
      <c r="H50" s="104" t="s">
        <v>40</v>
      </c>
      <c r="I50" s="105"/>
      <c r="J50" s="106"/>
      <c r="K50" s="106"/>
      <c r="L50" s="106"/>
      <c r="M50" s="106"/>
      <c r="N50" s="105"/>
      <c r="O50" s="106"/>
      <c r="P50" s="105"/>
      <c r="Q50" s="7"/>
      <c r="R50" s="107"/>
      <c r="S50" s="105" t="n">
        <v>110</v>
      </c>
      <c r="T50" s="107" t="n">
        <v>10.18</v>
      </c>
      <c r="U50" s="108"/>
      <c r="V50" s="95" t="n">
        <f aca="false">SUM(I50:U50)</f>
        <v>120.18</v>
      </c>
      <c r="W50" s="109" t="s">
        <v>75</v>
      </c>
      <c r="X50" s="10" t="s">
        <v>125</v>
      </c>
      <c r="Y50" s="110" t="s">
        <v>32</v>
      </c>
      <c r="Z50" s="111" t="s">
        <v>51</v>
      </c>
      <c r="AA50" s="51"/>
    </row>
    <row r="51" s="10" customFormat="true" ht="14.1" hidden="false" customHeight="true" outlineLevel="0" collapsed="false">
      <c r="A51" s="100" t="s">
        <v>43</v>
      </c>
      <c r="B51" s="2" t="s">
        <v>126</v>
      </c>
      <c r="C51" s="3" t="s">
        <v>127</v>
      </c>
      <c r="D51" s="101" t="n">
        <v>7103067</v>
      </c>
      <c r="E51" s="102" t="n">
        <v>45117</v>
      </c>
      <c r="F51" s="103" t="s">
        <v>54</v>
      </c>
      <c r="G51" s="5" t="n">
        <v>45118</v>
      </c>
      <c r="H51" s="104" t="s">
        <v>36</v>
      </c>
      <c r="I51" s="105"/>
      <c r="J51" s="106"/>
      <c r="K51" s="106"/>
      <c r="L51" s="106"/>
      <c r="M51" s="106"/>
      <c r="N51" s="105"/>
      <c r="O51" s="106"/>
      <c r="P51" s="105" t="n">
        <v>695</v>
      </c>
      <c r="Q51" s="7" t="n">
        <v>90</v>
      </c>
      <c r="R51" s="107" t="n">
        <v>45</v>
      </c>
      <c r="S51" s="105"/>
      <c r="T51" s="107"/>
      <c r="U51" s="108" t="n">
        <v>59.94</v>
      </c>
      <c r="V51" s="95" t="n">
        <f aca="false">SUM(I51:U51)</f>
        <v>889.94</v>
      </c>
      <c r="W51" s="109" t="s">
        <v>30</v>
      </c>
      <c r="X51" s="10" t="s">
        <v>37</v>
      </c>
      <c r="Y51" s="110" t="s">
        <v>32</v>
      </c>
      <c r="Z51" s="111" t="s">
        <v>51</v>
      </c>
      <c r="AA51" s="51"/>
    </row>
    <row r="52" s="10" customFormat="true" ht="14.1" hidden="false" customHeight="true" outlineLevel="0" collapsed="false">
      <c r="A52" s="100" t="s">
        <v>26</v>
      </c>
      <c r="B52" s="2" t="s">
        <v>128</v>
      </c>
      <c r="C52" s="3"/>
      <c r="D52" s="101" t="n">
        <v>7113104</v>
      </c>
      <c r="E52" s="102" t="n">
        <v>45118</v>
      </c>
      <c r="F52" s="103" t="s">
        <v>54</v>
      </c>
      <c r="G52" s="5" t="n">
        <v>45118</v>
      </c>
      <c r="H52" s="104" t="s">
        <v>36</v>
      </c>
      <c r="I52" s="105"/>
      <c r="J52" s="106"/>
      <c r="K52" s="106"/>
      <c r="L52" s="106"/>
      <c r="M52" s="106"/>
      <c r="N52" s="105"/>
      <c r="O52" s="106"/>
      <c r="P52" s="105"/>
      <c r="Q52" s="7"/>
      <c r="R52" s="107"/>
      <c r="S52" s="105" t="n">
        <v>290</v>
      </c>
      <c r="T52" s="107" t="n">
        <v>50</v>
      </c>
      <c r="U52" s="108" t="n">
        <v>25.01</v>
      </c>
      <c r="V52" s="95" t="n">
        <f aca="false">SUM(I52:U52)</f>
        <v>365.01</v>
      </c>
      <c r="W52" s="109" t="s">
        <v>55</v>
      </c>
      <c r="X52" s="10" t="s">
        <v>45</v>
      </c>
      <c r="Y52" s="110" t="s">
        <v>42</v>
      </c>
      <c r="Z52" s="111"/>
      <c r="AA52" s="51"/>
    </row>
    <row r="53" s="10" customFormat="true" ht="14.1" hidden="false" customHeight="true" outlineLevel="0" collapsed="false">
      <c r="A53" s="100" t="s">
        <v>26</v>
      </c>
      <c r="B53" s="2" t="s">
        <v>129</v>
      </c>
      <c r="C53" s="3"/>
      <c r="D53" s="101" t="n">
        <v>7123101</v>
      </c>
      <c r="E53" s="102" t="n">
        <v>45119</v>
      </c>
      <c r="F53" s="103" t="s">
        <v>54</v>
      </c>
      <c r="G53" s="5" t="n">
        <v>45119</v>
      </c>
      <c r="H53" s="104" t="s">
        <v>130</v>
      </c>
      <c r="I53" s="105"/>
      <c r="J53" s="106"/>
      <c r="K53" s="106"/>
      <c r="L53" s="106"/>
      <c r="M53" s="106"/>
      <c r="N53" s="105"/>
      <c r="O53" s="106"/>
      <c r="P53" s="105"/>
      <c r="Q53" s="7"/>
      <c r="R53" s="107"/>
      <c r="S53" s="105" t="n">
        <v>78</v>
      </c>
      <c r="T53" s="107" t="n">
        <v>25</v>
      </c>
      <c r="U53" s="108" t="n">
        <v>6.73</v>
      </c>
      <c r="V53" s="95" t="n">
        <f aca="false">SUM(I53:U53)</f>
        <v>109.73</v>
      </c>
      <c r="W53" s="109" t="s">
        <v>55</v>
      </c>
      <c r="X53" s="10" t="s">
        <v>45</v>
      </c>
      <c r="Y53" s="110" t="s">
        <v>32</v>
      </c>
      <c r="Z53" s="111" t="s">
        <v>56</v>
      </c>
      <c r="AA53" s="51"/>
    </row>
    <row r="54" s="10" customFormat="true" ht="14.1" hidden="false" customHeight="true" outlineLevel="0" collapsed="false">
      <c r="A54" s="100" t="s">
        <v>45</v>
      </c>
      <c r="B54" s="2" t="s">
        <v>131</v>
      </c>
      <c r="C54" s="3"/>
      <c r="D54" s="101" t="n">
        <v>7133051</v>
      </c>
      <c r="E54" s="102" t="n">
        <v>45120</v>
      </c>
      <c r="F54" s="103" t="s">
        <v>132</v>
      </c>
      <c r="G54" s="5" t="n">
        <v>45120</v>
      </c>
      <c r="H54" s="104" t="s">
        <v>40</v>
      </c>
      <c r="I54" s="105"/>
      <c r="J54" s="106"/>
      <c r="K54" s="106"/>
      <c r="L54" s="106" t="n">
        <v>430.92</v>
      </c>
      <c r="M54" s="106"/>
      <c r="N54" s="105"/>
      <c r="O54" s="106"/>
      <c r="P54" s="105"/>
      <c r="Q54" s="7"/>
      <c r="R54" s="107"/>
      <c r="S54" s="105"/>
      <c r="T54" s="107"/>
      <c r="U54" s="108"/>
      <c r="V54" s="95" t="n">
        <f aca="false">SUM(I54:U54)</f>
        <v>430.92</v>
      </c>
      <c r="W54" s="109" t="s">
        <v>41</v>
      </c>
      <c r="X54" s="10" t="s">
        <v>45</v>
      </c>
      <c r="Y54" s="110" t="s">
        <v>32</v>
      </c>
      <c r="Z54" s="111" t="s">
        <v>90</v>
      </c>
      <c r="AA54" s="51"/>
    </row>
    <row r="55" s="10" customFormat="true" ht="14.1" hidden="false" customHeight="true" outlineLevel="0" collapsed="false">
      <c r="A55" s="100" t="s">
        <v>26</v>
      </c>
      <c r="B55" s="2" t="s">
        <v>133</v>
      </c>
      <c r="C55" s="3"/>
      <c r="D55" s="101" t="n">
        <v>7133062</v>
      </c>
      <c r="E55" s="102" t="n">
        <v>45120</v>
      </c>
      <c r="F55" s="103" t="s">
        <v>54</v>
      </c>
      <c r="G55" s="5" t="n">
        <v>45120</v>
      </c>
      <c r="H55" s="104" t="s">
        <v>36</v>
      </c>
      <c r="I55" s="105"/>
      <c r="J55" s="106"/>
      <c r="K55" s="106"/>
      <c r="L55" s="106"/>
      <c r="M55" s="106"/>
      <c r="N55" s="105"/>
      <c r="O55" s="106"/>
      <c r="P55" s="105"/>
      <c r="Q55" s="7"/>
      <c r="R55" s="107"/>
      <c r="S55" s="105" t="n">
        <v>220</v>
      </c>
      <c r="T55" s="107" t="n">
        <v>50</v>
      </c>
      <c r="U55" s="108" t="n">
        <v>18.98</v>
      </c>
      <c r="V55" s="95" t="n">
        <f aca="false">SUM(I55:U55)</f>
        <v>288.98</v>
      </c>
      <c r="W55" s="109" t="s">
        <v>55</v>
      </c>
      <c r="X55" s="10" t="s">
        <v>45</v>
      </c>
      <c r="Y55" s="110" t="s">
        <v>42</v>
      </c>
      <c r="Z55" s="111"/>
      <c r="AA55" s="51"/>
    </row>
    <row r="56" s="10" customFormat="true" ht="14.1" hidden="false" customHeight="true" outlineLevel="0" collapsed="false">
      <c r="A56" s="100" t="s">
        <v>26</v>
      </c>
      <c r="B56" s="2" t="s">
        <v>134</v>
      </c>
      <c r="C56" s="3"/>
      <c r="D56" s="101" t="n">
        <v>7133101</v>
      </c>
      <c r="E56" s="102" t="n">
        <v>45120</v>
      </c>
      <c r="F56" s="103" t="s">
        <v>54</v>
      </c>
      <c r="G56" s="5" t="n">
        <v>45121</v>
      </c>
      <c r="H56" s="104" t="s">
        <v>60</v>
      </c>
      <c r="I56" s="105"/>
      <c r="J56" s="106"/>
      <c r="K56" s="106"/>
      <c r="L56" s="106"/>
      <c r="M56" s="106"/>
      <c r="N56" s="105"/>
      <c r="O56" s="106"/>
      <c r="P56" s="105"/>
      <c r="Q56" s="7"/>
      <c r="R56" s="107"/>
      <c r="S56" s="105" t="n">
        <v>220</v>
      </c>
      <c r="T56" s="107" t="n">
        <v>50</v>
      </c>
      <c r="U56" s="108" t="n">
        <v>20.35</v>
      </c>
      <c r="V56" s="95" t="n">
        <f aca="false">SUM(I56:U56)</f>
        <v>290.35</v>
      </c>
      <c r="W56" s="109" t="s">
        <v>55</v>
      </c>
      <c r="X56" s="10" t="s">
        <v>135</v>
      </c>
      <c r="Y56" s="110" t="s">
        <v>42</v>
      </c>
      <c r="Z56" s="111"/>
      <c r="AA56" s="51"/>
    </row>
    <row r="57" s="10" customFormat="true" ht="14.1" hidden="false" customHeight="true" outlineLevel="0" collapsed="false">
      <c r="A57" s="100" t="s">
        <v>26</v>
      </c>
      <c r="B57" s="2" t="s">
        <v>136</v>
      </c>
      <c r="C57" s="3" t="s">
        <v>137</v>
      </c>
      <c r="D57" s="101" t="n">
        <v>7133102</v>
      </c>
      <c r="E57" s="102" t="n">
        <v>45120</v>
      </c>
      <c r="F57" s="103" t="s">
        <v>54</v>
      </c>
      <c r="G57" s="5" t="n">
        <v>45121</v>
      </c>
      <c r="H57" s="104" t="s">
        <v>33</v>
      </c>
      <c r="I57" s="105"/>
      <c r="J57" s="106"/>
      <c r="K57" s="106"/>
      <c r="L57" s="106"/>
      <c r="M57" s="106"/>
      <c r="N57" s="105"/>
      <c r="O57" s="106"/>
      <c r="P57" s="105"/>
      <c r="Q57" s="7"/>
      <c r="R57" s="107"/>
      <c r="S57" s="105" t="n">
        <v>110</v>
      </c>
      <c r="T57" s="107" t="n">
        <v>25</v>
      </c>
      <c r="U57" s="108" t="n">
        <v>10.18</v>
      </c>
      <c r="V57" s="95" t="n">
        <f aca="false">SUM(I57:U57)</f>
        <v>145.18</v>
      </c>
      <c r="W57" s="109" t="s">
        <v>55</v>
      </c>
      <c r="X57" s="10" t="s">
        <v>135</v>
      </c>
      <c r="Y57" s="110" t="s">
        <v>42</v>
      </c>
      <c r="Z57" s="111"/>
      <c r="AA57" s="51"/>
    </row>
    <row r="58" s="10" customFormat="true" ht="14.1" hidden="false" customHeight="true" outlineLevel="0" collapsed="false">
      <c r="A58" s="100" t="s">
        <v>26</v>
      </c>
      <c r="B58" s="2" t="s">
        <v>136</v>
      </c>
      <c r="C58" s="3" t="s">
        <v>138</v>
      </c>
      <c r="D58" s="101" t="n">
        <v>7133104</v>
      </c>
      <c r="E58" s="102" t="n">
        <v>45120</v>
      </c>
      <c r="F58" s="103" t="s">
        <v>54</v>
      </c>
      <c r="G58" s="5" t="n">
        <v>45121</v>
      </c>
      <c r="H58" s="104" t="s">
        <v>29</v>
      </c>
      <c r="I58" s="105"/>
      <c r="J58" s="106"/>
      <c r="K58" s="106"/>
      <c r="L58" s="106"/>
      <c r="M58" s="106"/>
      <c r="N58" s="105"/>
      <c r="O58" s="106"/>
      <c r="P58" s="105"/>
      <c r="Q58" s="7"/>
      <c r="R58" s="107"/>
      <c r="S58" s="105" t="n">
        <v>175</v>
      </c>
      <c r="T58" s="107" t="n">
        <v>37.5</v>
      </c>
      <c r="U58" s="108" t="n">
        <v>18.81</v>
      </c>
      <c r="V58" s="95" t="n">
        <f aca="false">SUM(I58:U58)</f>
        <v>231.31</v>
      </c>
      <c r="W58" s="109" t="s">
        <v>55</v>
      </c>
      <c r="X58" s="10" t="s">
        <v>135</v>
      </c>
      <c r="Y58" s="110" t="s">
        <v>42</v>
      </c>
      <c r="Z58" s="111"/>
      <c r="AA58" s="51"/>
    </row>
    <row r="59" s="10" customFormat="true" ht="14.1" hidden="false" customHeight="true" outlineLevel="0" collapsed="false">
      <c r="A59" s="100" t="s">
        <v>26</v>
      </c>
      <c r="B59" s="2" t="s">
        <v>136</v>
      </c>
      <c r="C59" s="3" t="s">
        <v>139</v>
      </c>
      <c r="D59" s="101" t="n">
        <v>7133105</v>
      </c>
      <c r="E59" s="102" t="n">
        <v>45120</v>
      </c>
      <c r="F59" s="103" t="s">
        <v>54</v>
      </c>
      <c r="G59" s="5" t="n">
        <v>45121</v>
      </c>
      <c r="H59" s="104" t="s">
        <v>60</v>
      </c>
      <c r="I59" s="105"/>
      <c r="J59" s="106"/>
      <c r="K59" s="106"/>
      <c r="L59" s="106"/>
      <c r="M59" s="106"/>
      <c r="N59" s="105"/>
      <c r="O59" s="106"/>
      <c r="P59" s="105"/>
      <c r="Q59" s="7"/>
      <c r="R59" s="107"/>
      <c r="S59" s="105" t="n">
        <v>130</v>
      </c>
      <c r="T59" s="107" t="n">
        <v>25</v>
      </c>
      <c r="U59" s="108" t="n">
        <v>12.03</v>
      </c>
      <c r="V59" s="95" t="n">
        <f aca="false">SUM(I59:U59)</f>
        <v>167.03</v>
      </c>
      <c r="W59" s="109" t="s">
        <v>55</v>
      </c>
      <c r="X59" s="10" t="s">
        <v>135</v>
      </c>
      <c r="Y59" s="110" t="s">
        <v>42</v>
      </c>
      <c r="Z59" s="111"/>
      <c r="AA59" s="51"/>
    </row>
    <row r="60" s="10" customFormat="true" ht="14.1" hidden="false" customHeight="true" outlineLevel="0" collapsed="false">
      <c r="A60" s="100" t="s">
        <v>45</v>
      </c>
      <c r="B60" s="2" t="s">
        <v>117</v>
      </c>
      <c r="C60" s="3"/>
      <c r="D60" s="101" t="n">
        <v>7143062</v>
      </c>
      <c r="E60" s="102" t="n">
        <v>45121</v>
      </c>
      <c r="F60" s="103" t="s">
        <v>54</v>
      </c>
      <c r="G60" s="5" t="n">
        <v>45121</v>
      </c>
      <c r="H60" s="104" t="s">
        <v>118</v>
      </c>
      <c r="I60" s="105"/>
      <c r="J60" s="106"/>
      <c r="K60" s="106"/>
      <c r="L60" s="106"/>
      <c r="M60" s="106"/>
      <c r="N60" s="105"/>
      <c r="O60" s="106"/>
      <c r="P60" s="105"/>
      <c r="Q60" s="7"/>
      <c r="R60" s="107"/>
      <c r="S60" s="105" t="n">
        <v>-158</v>
      </c>
      <c r="T60" s="107"/>
      <c r="U60" s="108"/>
      <c r="V60" s="95" t="n">
        <f aca="false">SUM(I60:U60)</f>
        <v>-158</v>
      </c>
      <c r="W60" s="109" t="s">
        <v>55</v>
      </c>
      <c r="X60" s="10" t="s">
        <v>45</v>
      </c>
      <c r="Y60" s="110" t="s">
        <v>42</v>
      </c>
      <c r="Z60" s="111"/>
      <c r="AA60" s="51"/>
    </row>
    <row r="61" s="10" customFormat="true" ht="14.1" hidden="false" customHeight="true" outlineLevel="0" collapsed="false">
      <c r="A61" s="100" t="s">
        <v>26</v>
      </c>
      <c r="B61" s="2" t="s">
        <v>140</v>
      </c>
      <c r="C61" s="3" t="s">
        <v>124</v>
      </c>
      <c r="D61" s="101" t="n">
        <v>7143101</v>
      </c>
      <c r="E61" s="102" t="n">
        <v>45121</v>
      </c>
      <c r="F61" s="103" t="s">
        <v>54</v>
      </c>
      <c r="G61" s="5" t="n">
        <v>45121</v>
      </c>
      <c r="H61" s="104" t="s">
        <v>40</v>
      </c>
      <c r="I61" s="105"/>
      <c r="J61" s="106"/>
      <c r="K61" s="106"/>
      <c r="L61" s="106"/>
      <c r="M61" s="106"/>
      <c r="N61" s="105"/>
      <c r="O61" s="106"/>
      <c r="P61" s="105"/>
      <c r="Q61" s="7"/>
      <c r="R61" s="107"/>
      <c r="S61" s="105" t="n">
        <v>195</v>
      </c>
      <c r="T61" s="107"/>
      <c r="U61" s="108" t="n">
        <v>18.04</v>
      </c>
      <c r="V61" s="95" t="n">
        <f aca="false">SUM(I61:U61)</f>
        <v>213.04</v>
      </c>
      <c r="W61" s="109" t="s">
        <v>75</v>
      </c>
      <c r="X61" s="10" t="s">
        <v>141</v>
      </c>
      <c r="Y61" s="110" t="s">
        <v>32</v>
      </c>
      <c r="Z61" s="111" t="s">
        <v>51</v>
      </c>
      <c r="AA61" s="51"/>
    </row>
    <row r="62" s="10" customFormat="true" ht="14.1" hidden="false" customHeight="true" outlineLevel="0" collapsed="false">
      <c r="A62" s="100" t="s">
        <v>26</v>
      </c>
      <c r="B62" s="2" t="s">
        <v>142</v>
      </c>
      <c r="C62" s="3"/>
      <c r="D62" s="101" t="n">
        <v>7143101</v>
      </c>
      <c r="E62" s="102" t="n">
        <v>45121</v>
      </c>
      <c r="F62" s="103" t="s">
        <v>54</v>
      </c>
      <c r="G62" s="5" t="n">
        <v>45121</v>
      </c>
      <c r="H62" s="104" t="s">
        <v>36</v>
      </c>
      <c r="I62" s="105"/>
      <c r="J62" s="106"/>
      <c r="K62" s="106"/>
      <c r="L62" s="106"/>
      <c r="M62" s="106"/>
      <c r="N62" s="105"/>
      <c r="O62" s="106"/>
      <c r="P62" s="105"/>
      <c r="Q62" s="7"/>
      <c r="R62" s="107"/>
      <c r="S62" s="105" t="n">
        <v>305</v>
      </c>
      <c r="T62" s="107" t="n">
        <v>62.5</v>
      </c>
      <c r="U62" s="108" t="n">
        <v>26.31</v>
      </c>
      <c r="V62" s="95" t="n">
        <f aca="false">SUM(I62:U62)</f>
        <v>393.81</v>
      </c>
      <c r="W62" s="109" t="s">
        <v>55</v>
      </c>
      <c r="X62" s="10" t="s">
        <v>135</v>
      </c>
      <c r="Y62" s="110" t="s">
        <v>32</v>
      </c>
      <c r="Z62" s="111" t="s">
        <v>62</v>
      </c>
      <c r="AA62" s="51"/>
    </row>
    <row r="63" s="10" customFormat="true" ht="14.1" hidden="false" customHeight="true" outlineLevel="0" collapsed="false">
      <c r="A63" s="100" t="s">
        <v>26</v>
      </c>
      <c r="B63" s="2" t="s">
        <v>143</v>
      </c>
      <c r="C63" s="3" t="s">
        <v>89</v>
      </c>
      <c r="D63" s="101" t="n">
        <v>7143104</v>
      </c>
      <c r="E63" s="102" t="n">
        <v>45121</v>
      </c>
      <c r="F63" s="103" t="s">
        <v>54</v>
      </c>
      <c r="G63" s="5" t="n">
        <v>45121</v>
      </c>
      <c r="H63" s="104" t="s">
        <v>89</v>
      </c>
      <c r="I63" s="105"/>
      <c r="J63" s="106"/>
      <c r="K63" s="106"/>
      <c r="L63" s="106"/>
      <c r="M63" s="106"/>
      <c r="N63" s="105"/>
      <c r="O63" s="106"/>
      <c r="P63" s="105"/>
      <c r="Q63" s="7"/>
      <c r="R63" s="107"/>
      <c r="S63" s="105" t="n">
        <v>376</v>
      </c>
      <c r="T63" s="107" t="n">
        <v>62.5</v>
      </c>
      <c r="U63" s="108" t="n">
        <v>33.84</v>
      </c>
      <c r="V63" s="95" t="n">
        <f aca="false">SUM(I63:U63)</f>
        <v>472.34</v>
      </c>
      <c r="W63" s="109" t="s">
        <v>55</v>
      </c>
      <c r="X63" s="10" t="s">
        <v>26</v>
      </c>
      <c r="Y63" s="110" t="s">
        <v>32</v>
      </c>
      <c r="Z63" s="111" t="s">
        <v>62</v>
      </c>
      <c r="AA63" s="51"/>
    </row>
    <row r="64" s="10" customFormat="true" ht="14.1" hidden="false" customHeight="true" outlineLevel="0" collapsed="false">
      <c r="A64" s="100" t="s">
        <v>45</v>
      </c>
      <c r="B64" s="2" t="s">
        <v>144</v>
      </c>
      <c r="C64" s="3"/>
      <c r="D64" s="101" t="n">
        <v>7153051</v>
      </c>
      <c r="E64" s="102" t="n">
        <v>45122</v>
      </c>
      <c r="F64" s="103" t="s">
        <v>54</v>
      </c>
      <c r="G64" s="5" t="n">
        <v>45122</v>
      </c>
      <c r="H64" s="104" t="s">
        <v>40</v>
      </c>
      <c r="I64" s="105"/>
      <c r="J64" s="106"/>
      <c r="K64" s="106"/>
      <c r="L64" s="106"/>
      <c r="M64" s="106"/>
      <c r="N64" s="105" t="n">
        <v>95</v>
      </c>
      <c r="O64" s="106"/>
      <c r="P64" s="105"/>
      <c r="Q64" s="7"/>
      <c r="R64" s="107"/>
      <c r="S64" s="105"/>
      <c r="T64" s="107"/>
      <c r="U64" s="108"/>
      <c r="V64" s="95" t="n">
        <f aca="false">SUM(I64:U64)</f>
        <v>95</v>
      </c>
      <c r="W64" s="109" t="s">
        <v>41</v>
      </c>
      <c r="X64" s="10" t="s">
        <v>145</v>
      </c>
      <c r="Y64" s="110" t="s">
        <v>42</v>
      </c>
      <c r="Z64" s="111"/>
      <c r="AA64" s="51"/>
    </row>
    <row r="65" s="10" customFormat="true" ht="14.1" hidden="false" customHeight="true" outlineLevel="0" collapsed="false">
      <c r="A65" s="100" t="s">
        <v>37</v>
      </c>
      <c r="B65" s="2" t="s">
        <v>146</v>
      </c>
      <c r="C65" s="3" t="s">
        <v>147</v>
      </c>
      <c r="D65" s="101" t="n">
        <v>7153052</v>
      </c>
      <c r="E65" s="102" t="n">
        <v>45122</v>
      </c>
      <c r="F65" s="103" t="s">
        <v>13</v>
      </c>
      <c r="G65" s="5" t="n">
        <v>45122</v>
      </c>
      <c r="H65" s="104" t="s">
        <v>40</v>
      </c>
      <c r="I65" s="105"/>
      <c r="J65" s="106"/>
      <c r="K65" s="106"/>
      <c r="L65" s="106"/>
      <c r="M65" s="106"/>
      <c r="N65" s="105" t="n">
        <v>69</v>
      </c>
      <c r="O65" s="106" t="n">
        <v>39</v>
      </c>
      <c r="P65" s="105"/>
      <c r="Q65" s="7"/>
      <c r="R65" s="107"/>
      <c r="S65" s="105"/>
      <c r="T65" s="107"/>
      <c r="U65" s="108"/>
      <c r="V65" s="95" t="n">
        <f aca="false">SUM(I65:U65)</f>
        <v>108</v>
      </c>
      <c r="W65" s="109" t="s">
        <v>41</v>
      </c>
      <c r="X65" s="10" t="s">
        <v>43</v>
      </c>
      <c r="Y65" s="110" t="s">
        <v>42</v>
      </c>
      <c r="Z65" s="111"/>
      <c r="AA65" s="51"/>
    </row>
    <row r="66" s="10" customFormat="true" ht="14.1" hidden="false" customHeight="true" outlineLevel="0" collapsed="false">
      <c r="A66" s="100" t="s">
        <v>37</v>
      </c>
      <c r="B66" s="2" t="s">
        <v>146</v>
      </c>
      <c r="C66" s="3" t="s">
        <v>83</v>
      </c>
      <c r="D66" s="101" t="n">
        <v>7153053</v>
      </c>
      <c r="E66" s="102" t="n">
        <v>45122</v>
      </c>
      <c r="F66" s="103" t="s">
        <v>13</v>
      </c>
      <c r="G66" s="5" t="n">
        <v>45122</v>
      </c>
      <c r="H66" s="104" t="s">
        <v>40</v>
      </c>
      <c r="I66" s="105"/>
      <c r="J66" s="106"/>
      <c r="K66" s="106"/>
      <c r="L66" s="106"/>
      <c r="M66" s="106"/>
      <c r="N66" s="105" t="n">
        <v>69</v>
      </c>
      <c r="O66" s="106" t="n">
        <v>39</v>
      </c>
      <c r="P66" s="105"/>
      <c r="Q66" s="7"/>
      <c r="R66" s="107"/>
      <c r="S66" s="105"/>
      <c r="T66" s="107"/>
      <c r="U66" s="108"/>
      <c r="V66" s="95" t="n">
        <f aca="false">SUM(I66:U66)</f>
        <v>108</v>
      </c>
      <c r="W66" s="109" t="s">
        <v>41</v>
      </c>
      <c r="X66" s="10" t="s">
        <v>43</v>
      </c>
      <c r="Y66" s="110" t="s">
        <v>42</v>
      </c>
      <c r="Z66" s="111"/>
      <c r="AA66" s="51"/>
    </row>
    <row r="67" s="10" customFormat="true" ht="14.1" hidden="false" customHeight="true" outlineLevel="0" collapsed="false">
      <c r="A67" s="100" t="s">
        <v>37</v>
      </c>
      <c r="B67" s="2" t="s">
        <v>148</v>
      </c>
      <c r="C67" s="3"/>
      <c r="D67" s="101" t="n">
        <v>7153054</v>
      </c>
      <c r="E67" s="102" t="n">
        <v>45122</v>
      </c>
      <c r="F67" s="103" t="s">
        <v>13</v>
      </c>
      <c r="G67" s="5" t="n">
        <v>45122</v>
      </c>
      <c r="H67" s="104" t="s">
        <v>40</v>
      </c>
      <c r="I67" s="105"/>
      <c r="J67" s="106" t="n">
        <v>249</v>
      </c>
      <c r="K67" s="106"/>
      <c r="L67" s="106"/>
      <c r="M67" s="106"/>
      <c r="N67" s="105"/>
      <c r="O67" s="106"/>
      <c r="P67" s="105"/>
      <c r="Q67" s="7"/>
      <c r="R67" s="107"/>
      <c r="S67" s="105"/>
      <c r="T67" s="107"/>
      <c r="U67" s="108" t="n">
        <v>20.7</v>
      </c>
      <c r="V67" s="95" t="n">
        <f aca="false">SUM(I67:U67)</f>
        <v>269.7</v>
      </c>
      <c r="W67" s="109" t="s">
        <v>41</v>
      </c>
      <c r="X67" s="10" t="s">
        <v>149</v>
      </c>
      <c r="Y67" s="110" t="s">
        <v>42</v>
      </c>
      <c r="Z67" s="111"/>
      <c r="AA67" s="51"/>
    </row>
    <row r="68" s="10" customFormat="true" ht="14.1" hidden="false" customHeight="true" outlineLevel="0" collapsed="false">
      <c r="A68" s="100" t="s">
        <v>43</v>
      </c>
      <c r="B68" s="2" t="s">
        <v>150</v>
      </c>
      <c r="C68" s="3"/>
      <c r="D68" s="101" t="n">
        <v>7163071</v>
      </c>
      <c r="E68" s="102" t="n">
        <v>45123</v>
      </c>
      <c r="F68" s="103" t="s">
        <v>54</v>
      </c>
      <c r="G68" s="5" t="n">
        <v>45123</v>
      </c>
      <c r="H68" s="104" t="s">
        <v>151</v>
      </c>
      <c r="I68" s="105"/>
      <c r="J68" s="106"/>
      <c r="K68" s="106"/>
      <c r="L68" s="106"/>
      <c r="M68" s="106"/>
      <c r="N68" s="105"/>
      <c r="O68" s="106"/>
      <c r="P68" s="105"/>
      <c r="Q68" s="7"/>
      <c r="R68" s="107"/>
      <c r="S68" s="105" t="n">
        <v>55</v>
      </c>
      <c r="T68" s="107"/>
      <c r="U68" s="108" t="n">
        <v>5.09</v>
      </c>
      <c r="V68" s="95" t="n">
        <f aca="false">SUM(I68:U68)</f>
        <v>60.09</v>
      </c>
      <c r="W68" s="109" t="s">
        <v>30</v>
      </c>
      <c r="X68" s="10" t="s">
        <v>43</v>
      </c>
      <c r="Y68" s="110" t="s">
        <v>42</v>
      </c>
      <c r="Z68" s="111"/>
      <c r="AA68" s="51"/>
    </row>
    <row r="69" s="10" customFormat="true" ht="14.1" hidden="false" customHeight="true" outlineLevel="0" collapsed="false">
      <c r="A69" s="100" t="s">
        <v>43</v>
      </c>
      <c r="B69" s="2" t="s">
        <v>152</v>
      </c>
      <c r="C69" s="3"/>
      <c r="D69" s="101" t="n">
        <v>7173071</v>
      </c>
      <c r="E69" s="102" t="n">
        <v>45124</v>
      </c>
      <c r="F69" s="103" t="s">
        <v>54</v>
      </c>
      <c r="G69" s="5" t="n">
        <v>45124</v>
      </c>
      <c r="H69" s="104" t="s">
        <v>108</v>
      </c>
      <c r="I69" s="105"/>
      <c r="J69" s="106"/>
      <c r="K69" s="106"/>
      <c r="L69" s="106"/>
      <c r="M69" s="106"/>
      <c r="N69" s="105"/>
      <c r="O69" s="106"/>
      <c r="P69" s="105"/>
      <c r="Q69" s="7"/>
      <c r="R69" s="107"/>
      <c r="S69" s="105" t="n">
        <v>65</v>
      </c>
      <c r="T69" s="107"/>
      <c r="U69" s="108" t="n">
        <v>6.01</v>
      </c>
      <c r="V69" s="95" t="n">
        <f aca="false">SUM(I69:U69)</f>
        <v>71.01</v>
      </c>
      <c r="W69" s="109" t="s">
        <v>75</v>
      </c>
      <c r="X69" s="10" t="s">
        <v>153</v>
      </c>
      <c r="Y69" s="110" t="s">
        <v>32</v>
      </c>
      <c r="Z69" s="111" t="s">
        <v>33</v>
      </c>
      <c r="AA69" s="51"/>
    </row>
    <row r="70" s="10" customFormat="true" ht="14.1" hidden="false" customHeight="true" outlineLevel="0" collapsed="false">
      <c r="A70" s="100" t="s">
        <v>26</v>
      </c>
      <c r="B70" s="2" t="s">
        <v>154</v>
      </c>
      <c r="C70" s="3"/>
      <c r="D70" s="101" t="n">
        <v>7173101</v>
      </c>
      <c r="E70" s="102" t="n">
        <v>45124</v>
      </c>
      <c r="F70" s="103" t="s">
        <v>54</v>
      </c>
      <c r="G70" s="5" t="n">
        <v>45124</v>
      </c>
      <c r="H70" s="104" t="s">
        <v>155</v>
      </c>
      <c r="I70" s="105"/>
      <c r="J70" s="106"/>
      <c r="K70" s="106"/>
      <c r="L70" s="106"/>
      <c r="M70" s="106"/>
      <c r="N70" s="105"/>
      <c r="O70" s="106"/>
      <c r="P70" s="105"/>
      <c r="Q70" s="7"/>
      <c r="R70" s="107"/>
      <c r="S70" s="105" t="n">
        <v>65</v>
      </c>
      <c r="T70" s="107"/>
      <c r="U70" s="108" t="n">
        <v>6.01</v>
      </c>
      <c r="V70" s="95" t="n">
        <f aca="false">SUM(I70:U70)</f>
        <v>71.01</v>
      </c>
      <c r="W70" s="109" t="s">
        <v>75</v>
      </c>
      <c r="X70" s="10" t="s">
        <v>156</v>
      </c>
      <c r="Y70" s="110" t="s">
        <v>32</v>
      </c>
      <c r="Z70" s="111" t="s">
        <v>33</v>
      </c>
      <c r="AA70" s="51"/>
    </row>
    <row r="71" s="10" customFormat="true" ht="14.1" hidden="false" customHeight="true" outlineLevel="0" collapsed="false">
      <c r="A71" s="100" t="s">
        <v>26</v>
      </c>
      <c r="B71" s="2" t="s">
        <v>157</v>
      </c>
      <c r="C71" s="3"/>
      <c r="D71" s="101" t="n">
        <v>7173102</v>
      </c>
      <c r="E71" s="102" t="n">
        <v>45124</v>
      </c>
      <c r="F71" s="103" t="s">
        <v>54</v>
      </c>
      <c r="G71" s="5" t="n">
        <v>45124</v>
      </c>
      <c r="H71" s="104" t="s">
        <v>29</v>
      </c>
      <c r="I71" s="105"/>
      <c r="J71" s="106"/>
      <c r="K71" s="106"/>
      <c r="L71" s="106"/>
      <c r="M71" s="106"/>
      <c r="N71" s="105"/>
      <c r="O71" s="106"/>
      <c r="P71" s="105"/>
      <c r="Q71" s="7"/>
      <c r="R71" s="107"/>
      <c r="S71" s="105" t="n">
        <v>208</v>
      </c>
      <c r="T71" s="107" t="n">
        <v>50</v>
      </c>
      <c r="U71" s="108" t="n">
        <v>21.32</v>
      </c>
      <c r="V71" s="95" t="n">
        <f aca="false">SUM(I71:U71)</f>
        <v>279.32</v>
      </c>
      <c r="W71" s="109" t="s">
        <v>55</v>
      </c>
      <c r="X71" s="10" t="s">
        <v>26</v>
      </c>
      <c r="Y71" s="110" t="s">
        <v>32</v>
      </c>
      <c r="Z71" s="111" t="s">
        <v>33</v>
      </c>
      <c r="AA71" s="51"/>
    </row>
    <row r="72" s="10" customFormat="true" ht="14.1" hidden="false" customHeight="true" outlineLevel="0" collapsed="false">
      <c r="A72" s="100" t="s">
        <v>26</v>
      </c>
      <c r="B72" s="2" t="s">
        <v>158</v>
      </c>
      <c r="C72" s="3"/>
      <c r="D72" s="101" t="n">
        <v>7173104</v>
      </c>
      <c r="E72" s="102" t="n">
        <v>45124</v>
      </c>
      <c r="F72" s="103" t="s">
        <v>54</v>
      </c>
      <c r="G72" s="5" t="n">
        <v>45124</v>
      </c>
      <c r="H72" s="104" t="s">
        <v>36</v>
      </c>
      <c r="I72" s="105"/>
      <c r="J72" s="106"/>
      <c r="K72" s="106"/>
      <c r="L72" s="106"/>
      <c r="M72" s="106"/>
      <c r="N72" s="105"/>
      <c r="O72" s="106"/>
      <c r="P72" s="105"/>
      <c r="Q72" s="7"/>
      <c r="R72" s="107"/>
      <c r="S72" s="105" t="n">
        <v>130</v>
      </c>
      <c r="T72" s="107" t="n">
        <v>25</v>
      </c>
      <c r="U72" s="108" t="n">
        <v>11.21</v>
      </c>
      <c r="V72" s="95" t="n">
        <f aca="false">SUM(I72:U72)</f>
        <v>166.21</v>
      </c>
      <c r="W72" s="109" t="s">
        <v>55</v>
      </c>
      <c r="X72" s="10" t="s">
        <v>26</v>
      </c>
      <c r="Y72" s="110" t="s">
        <v>42</v>
      </c>
      <c r="Z72" s="111"/>
      <c r="AA72" s="51"/>
    </row>
    <row r="73" s="10" customFormat="true" ht="14.1" hidden="false" customHeight="true" outlineLevel="0" collapsed="false">
      <c r="A73" s="100" t="s">
        <v>26</v>
      </c>
      <c r="B73" s="2" t="s">
        <v>159</v>
      </c>
      <c r="C73" s="3"/>
      <c r="D73" s="101" t="n">
        <v>7173105</v>
      </c>
      <c r="E73" s="102" t="n">
        <v>45124</v>
      </c>
      <c r="F73" s="103" t="s">
        <v>54</v>
      </c>
      <c r="G73" s="5" t="n">
        <v>45124</v>
      </c>
      <c r="H73" s="104" t="s">
        <v>40</v>
      </c>
      <c r="I73" s="105"/>
      <c r="J73" s="106"/>
      <c r="K73" s="106"/>
      <c r="L73" s="106"/>
      <c r="M73" s="106"/>
      <c r="N73" s="105"/>
      <c r="O73" s="106"/>
      <c r="P73" s="105"/>
      <c r="Q73" s="7"/>
      <c r="R73" s="107"/>
      <c r="S73" s="105" t="n">
        <v>104</v>
      </c>
      <c r="T73" s="107"/>
      <c r="U73" s="108" t="n">
        <v>9.62</v>
      </c>
      <c r="V73" s="95" t="n">
        <f aca="false">SUM(I73:U73)</f>
        <v>113.62</v>
      </c>
      <c r="W73" s="109" t="s">
        <v>75</v>
      </c>
      <c r="X73" s="10" t="s">
        <v>160</v>
      </c>
      <c r="Y73" s="110" t="s">
        <v>32</v>
      </c>
      <c r="Z73" s="111" t="s">
        <v>161</v>
      </c>
      <c r="AA73" s="51"/>
    </row>
    <row r="74" s="10" customFormat="true" ht="14.1" hidden="false" customHeight="true" outlineLevel="0" collapsed="false">
      <c r="A74" s="100" t="s">
        <v>45</v>
      </c>
      <c r="B74" s="2" t="s">
        <v>162</v>
      </c>
      <c r="C74" s="3"/>
      <c r="D74" s="101" t="n">
        <v>7183062</v>
      </c>
      <c r="E74" s="102" t="n">
        <v>45125</v>
      </c>
      <c r="F74" s="103" t="s">
        <v>54</v>
      </c>
      <c r="G74" s="5" t="n">
        <v>45125</v>
      </c>
      <c r="H74" s="104" t="s">
        <v>89</v>
      </c>
      <c r="I74" s="105"/>
      <c r="J74" s="106"/>
      <c r="K74" s="106"/>
      <c r="L74" s="106"/>
      <c r="M74" s="106"/>
      <c r="N74" s="105"/>
      <c r="O74" s="106"/>
      <c r="P74" s="105"/>
      <c r="Q74" s="7"/>
      <c r="R74" s="107"/>
      <c r="S74" s="105" t="n">
        <v>240</v>
      </c>
      <c r="T74" s="107" t="n">
        <v>50</v>
      </c>
      <c r="U74" s="108" t="n">
        <v>19.8</v>
      </c>
      <c r="V74" s="95" t="n">
        <f aca="false">SUM(I74:U74)</f>
        <v>309.8</v>
      </c>
      <c r="W74" s="109" t="s">
        <v>55</v>
      </c>
      <c r="X74" s="10" t="s">
        <v>26</v>
      </c>
      <c r="Y74" s="110" t="s">
        <v>42</v>
      </c>
      <c r="Z74" s="111"/>
      <c r="AA74" s="51"/>
    </row>
    <row r="75" s="10" customFormat="true" ht="14.1" hidden="false" customHeight="true" outlineLevel="0" collapsed="false">
      <c r="A75" s="100" t="s">
        <v>26</v>
      </c>
      <c r="B75" s="2" t="s">
        <v>163</v>
      </c>
      <c r="C75" s="3"/>
      <c r="D75" s="101" t="n">
        <v>7183101</v>
      </c>
      <c r="E75" s="102" t="n">
        <v>45125</v>
      </c>
      <c r="F75" s="103" t="s">
        <v>54</v>
      </c>
      <c r="G75" s="5" t="n">
        <v>45125</v>
      </c>
      <c r="H75" s="104" t="s">
        <v>155</v>
      </c>
      <c r="I75" s="105"/>
      <c r="J75" s="106"/>
      <c r="K75" s="106"/>
      <c r="L75" s="106"/>
      <c r="M75" s="106"/>
      <c r="N75" s="105"/>
      <c r="O75" s="106"/>
      <c r="P75" s="105"/>
      <c r="Q75" s="7"/>
      <c r="R75" s="107"/>
      <c r="S75" s="105" t="n">
        <v>195</v>
      </c>
      <c r="T75" s="107" t="n">
        <v>37.5</v>
      </c>
      <c r="U75" s="108" t="n">
        <v>18.04</v>
      </c>
      <c r="V75" s="95" t="n">
        <f aca="false">SUM(I75:U75)</f>
        <v>250.54</v>
      </c>
      <c r="W75" s="109" t="s">
        <v>55</v>
      </c>
      <c r="X75" s="10" t="s">
        <v>26</v>
      </c>
      <c r="Y75" s="110" t="s">
        <v>42</v>
      </c>
      <c r="Z75" s="111"/>
      <c r="AA75" s="51"/>
    </row>
    <row r="76" s="10" customFormat="true" ht="14.1" hidden="false" customHeight="true" outlineLevel="0" collapsed="false">
      <c r="A76" s="100" t="s">
        <v>26</v>
      </c>
      <c r="B76" s="2" t="s">
        <v>164</v>
      </c>
      <c r="C76" s="3"/>
      <c r="D76" s="101" t="n">
        <v>7183102</v>
      </c>
      <c r="E76" s="102" t="n">
        <v>45125</v>
      </c>
      <c r="F76" s="103" t="s">
        <v>54</v>
      </c>
      <c r="G76" s="5" t="n">
        <v>45125</v>
      </c>
      <c r="H76" s="104" t="s">
        <v>36</v>
      </c>
      <c r="I76" s="105"/>
      <c r="J76" s="106"/>
      <c r="K76" s="106"/>
      <c r="L76" s="106"/>
      <c r="M76" s="106"/>
      <c r="N76" s="105"/>
      <c r="O76" s="106"/>
      <c r="P76" s="105"/>
      <c r="Q76" s="7"/>
      <c r="R76" s="107"/>
      <c r="S76" s="105" t="n">
        <v>168</v>
      </c>
      <c r="T76" s="107" t="n">
        <v>37.5</v>
      </c>
      <c r="U76" s="108" t="n">
        <v>14.49</v>
      </c>
      <c r="V76" s="95" t="n">
        <f aca="false">SUM(I76:U76)</f>
        <v>219.99</v>
      </c>
      <c r="W76" s="109" t="s">
        <v>55</v>
      </c>
      <c r="X76" s="10" t="s">
        <v>26</v>
      </c>
      <c r="Y76" s="110" t="s">
        <v>42</v>
      </c>
      <c r="Z76" s="111"/>
      <c r="AA76" s="51"/>
    </row>
    <row r="77" s="10" customFormat="true" ht="14.1" hidden="false" customHeight="true" outlineLevel="0" collapsed="false">
      <c r="A77" s="100" t="s">
        <v>26</v>
      </c>
      <c r="B77" s="2" t="s">
        <v>165</v>
      </c>
      <c r="C77" s="3"/>
      <c r="D77" s="101" t="n">
        <v>7183103</v>
      </c>
      <c r="E77" s="102" t="n">
        <v>45125</v>
      </c>
      <c r="F77" s="103" t="s">
        <v>54</v>
      </c>
      <c r="G77" s="5" t="n">
        <v>45125</v>
      </c>
      <c r="H77" s="104" t="s">
        <v>36</v>
      </c>
      <c r="I77" s="105"/>
      <c r="J77" s="106"/>
      <c r="K77" s="106"/>
      <c r="L77" s="106"/>
      <c r="M77" s="106"/>
      <c r="N77" s="105"/>
      <c r="O77" s="106"/>
      <c r="P77" s="105"/>
      <c r="Q77" s="7"/>
      <c r="R77" s="107"/>
      <c r="S77" s="105" t="n">
        <v>650</v>
      </c>
      <c r="T77" s="107" t="n">
        <v>125</v>
      </c>
      <c r="U77" s="108" t="n">
        <v>56.06</v>
      </c>
      <c r="V77" s="95" t="n">
        <f aca="false">SUM(I77:U77)</f>
        <v>831.06</v>
      </c>
      <c r="W77" s="109" t="s">
        <v>55</v>
      </c>
      <c r="X77" s="10" t="s">
        <v>26</v>
      </c>
      <c r="Y77" s="110" t="s">
        <v>42</v>
      </c>
      <c r="Z77" s="111"/>
      <c r="AA77" s="51"/>
    </row>
    <row r="78" s="10" customFormat="true" ht="14.1" hidden="false" customHeight="true" outlineLevel="0" collapsed="false">
      <c r="A78" s="100" t="s">
        <v>26</v>
      </c>
      <c r="B78" s="2" t="s">
        <v>166</v>
      </c>
      <c r="C78" s="3"/>
      <c r="D78" s="101" t="n">
        <v>7183104</v>
      </c>
      <c r="E78" s="102" t="n">
        <v>45125</v>
      </c>
      <c r="F78" s="103" t="s">
        <v>54</v>
      </c>
      <c r="G78" s="5" t="n">
        <v>45125</v>
      </c>
      <c r="H78" s="104" t="s">
        <v>167</v>
      </c>
      <c r="I78" s="105"/>
      <c r="J78" s="106"/>
      <c r="K78" s="106"/>
      <c r="L78" s="106"/>
      <c r="M78" s="106"/>
      <c r="N78" s="105"/>
      <c r="O78" s="106"/>
      <c r="P78" s="105"/>
      <c r="Q78" s="7"/>
      <c r="R78" s="107"/>
      <c r="S78" s="105" t="n">
        <v>408</v>
      </c>
      <c r="T78" s="107" t="n">
        <v>87.5</v>
      </c>
      <c r="U78" s="108" t="n">
        <v>37.74</v>
      </c>
      <c r="V78" s="95" t="n">
        <f aca="false">SUM(I78:U78)</f>
        <v>533.24</v>
      </c>
      <c r="W78" s="109" t="s">
        <v>55</v>
      </c>
      <c r="X78" s="10" t="s">
        <v>26</v>
      </c>
      <c r="Y78" s="110" t="s">
        <v>32</v>
      </c>
      <c r="Z78" s="111" t="s">
        <v>51</v>
      </c>
      <c r="AA78" s="51"/>
    </row>
    <row r="79" s="10" customFormat="true" ht="14.1" hidden="false" customHeight="true" outlineLevel="0" collapsed="false">
      <c r="A79" s="100" t="s">
        <v>26</v>
      </c>
      <c r="B79" s="2" t="s">
        <v>168</v>
      </c>
      <c r="C79" s="3"/>
      <c r="D79" s="101" t="n">
        <v>7183105</v>
      </c>
      <c r="E79" s="102" t="n">
        <v>45125</v>
      </c>
      <c r="F79" s="103" t="s">
        <v>54</v>
      </c>
      <c r="G79" s="5" t="n">
        <v>45125</v>
      </c>
      <c r="H79" s="104" t="s">
        <v>36</v>
      </c>
      <c r="I79" s="105"/>
      <c r="J79" s="106"/>
      <c r="K79" s="106"/>
      <c r="L79" s="106"/>
      <c r="M79" s="106"/>
      <c r="N79" s="105"/>
      <c r="O79" s="106"/>
      <c r="P79" s="105"/>
      <c r="Q79" s="7"/>
      <c r="R79" s="107"/>
      <c r="S79" s="105" t="n">
        <v>65</v>
      </c>
      <c r="T79" s="107" t="n">
        <v>12.5</v>
      </c>
      <c r="U79" s="108" t="n">
        <v>5.61</v>
      </c>
      <c r="V79" s="95" t="n">
        <f aca="false">SUM(I79:U79)</f>
        <v>83.11</v>
      </c>
      <c r="W79" s="109" t="s">
        <v>55</v>
      </c>
      <c r="X79" s="10" t="s">
        <v>26</v>
      </c>
      <c r="Y79" s="110" t="s">
        <v>32</v>
      </c>
      <c r="Z79" s="111" t="s">
        <v>33</v>
      </c>
      <c r="AA79" s="51"/>
    </row>
    <row r="80" s="10" customFormat="true" ht="14.1" hidden="false" customHeight="true" outlineLevel="0" collapsed="false">
      <c r="A80" s="100" t="s">
        <v>45</v>
      </c>
      <c r="B80" s="2" t="s">
        <v>169</v>
      </c>
      <c r="C80" s="3"/>
      <c r="D80" s="101" t="n">
        <v>7193051</v>
      </c>
      <c r="E80" s="102" t="n">
        <v>45126</v>
      </c>
      <c r="F80" s="103" t="s">
        <v>170</v>
      </c>
      <c r="G80" s="5" t="n">
        <v>45126</v>
      </c>
      <c r="H80" s="104" t="s">
        <v>40</v>
      </c>
      <c r="I80" s="105"/>
      <c r="J80" s="106"/>
      <c r="K80" s="106"/>
      <c r="L80" s="106" t="n">
        <v>360</v>
      </c>
      <c r="M80" s="106"/>
      <c r="N80" s="105"/>
      <c r="O80" s="106"/>
      <c r="P80" s="105"/>
      <c r="Q80" s="7"/>
      <c r="R80" s="107"/>
      <c r="S80" s="105"/>
      <c r="T80" s="107"/>
      <c r="U80" s="108"/>
      <c r="V80" s="95" t="n">
        <f aca="false">SUM(I80:U80)</f>
        <v>360</v>
      </c>
      <c r="W80" s="109" t="s">
        <v>41</v>
      </c>
      <c r="X80" s="10" t="s">
        <v>45</v>
      </c>
      <c r="Y80" s="110" t="s">
        <v>32</v>
      </c>
      <c r="Z80" s="111" t="s">
        <v>51</v>
      </c>
      <c r="AA80" s="51"/>
    </row>
    <row r="81" s="10" customFormat="true" ht="14.1" hidden="false" customHeight="true" outlineLevel="0" collapsed="false">
      <c r="A81" s="100" t="s">
        <v>26</v>
      </c>
      <c r="B81" s="2" t="s">
        <v>171</v>
      </c>
      <c r="C81" s="3"/>
      <c r="D81" s="101" t="n">
        <v>7193062</v>
      </c>
      <c r="E81" s="102" t="n">
        <v>45126</v>
      </c>
      <c r="F81" s="103" t="s">
        <v>54</v>
      </c>
      <c r="G81" s="5" t="n">
        <v>45126</v>
      </c>
      <c r="H81" s="104" t="s">
        <v>36</v>
      </c>
      <c r="I81" s="105"/>
      <c r="J81" s="106"/>
      <c r="K81" s="106"/>
      <c r="L81" s="106"/>
      <c r="M81" s="106"/>
      <c r="N81" s="105"/>
      <c r="O81" s="106"/>
      <c r="P81" s="105"/>
      <c r="Q81" s="7"/>
      <c r="R81" s="107"/>
      <c r="S81" s="105" t="n">
        <v>924</v>
      </c>
      <c r="T81" s="107" t="n">
        <v>90</v>
      </c>
      <c r="U81" s="108" t="n">
        <v>79.7</v>
      </c>
      <c r="V81" s="95" t="n">
        <f aca="false">SUM(I81:U81)</f>
        <v>1093.7</v>
      </c>
      <c r="W81" s="109" t="s">
        <v>55</v>
      </c>
      <c r="X81" s="10" t="s">
        <v>45</v>
      </c>
      <c r="Y81" s="110" t="s">
        <v>42</v>
      </c>
      <c r="Z81" s="111"/>
      <c r="AA81" s="51"/>
    </row>
    <row r="82" s="10" customFormat="true" ht="14.1" hidden="false" customHeight="true" outlineLevel="0" collapsed="false">
      <c r="A82" s="100" t="s">
        <v>26</v>
      </c>
      <c r="B82" s="2" t="s">
        <v>172</v>
      </c>
      <c r="C82" s="3"/>
      <c r="D82" s="101" t="n">
        <v>7193101</v>
      </c>
      <c r="E82" s="102" t="n">
        <v>45126</v>
      </c>
      <c r="F82" s="103" t="s">
        <v>54</v>
      </c>
      <c r="G82" s="5" t="n">
        <v>45126</v>
      </c>
      <c r="H82" s="104" t="s">
        <v>83</v>
      </c>
      <c r="I82" s="105"/>
      <c r="J82" s="106"/>
      <c r="K82" s="106"/>
      <c r="L82" s="106"/>
      <c r="M82" s="106"/>
      <c r="N82" s="105"/>
      <c r="O82" s="106"/>
      <c r="P82" s="105"/>
      <c r="Q82" s="7"/>
      <c r="R82" s="107"/>
      <c r="S82" s="105" t="n">
        <v>90</v>
      </c>
      <c r="T82" s="107" t="n">
        <v>25</v>
      </c>
      <c r="U82" s="108" t="n">
        <v>8.33</v>
      </c>
      <c r="V82" s="95" t="n">
        <f aca="false">SUM(I82:U82)</f>
        <v>123.33</v>
      </c>
      <c r="W82" s="109" t="s">
        <v>55</v>
      </c>
      <c r="X82" s="10" t="s">
        <v>45</v>
      </c>
      <c r="Y82" s="110" t="s">
        <v>42</v>
      </c>
      <c r="Z82" s="111"/>
      <c r="AA82" s="51"/>
    </row>
    <row r="83" s="10" customFormat="true" ht="14.1" hidden="false" customHeight="true" outlineLevel="0" collapsed="false">
      <c r="A83" s="100" t="s">
        <v>26</v>
      </c>
      <c r="B83" s="2" t="s">
        <v>173</v>
      </c>
      <c r="C83" s="3"/>
      <c r="D83" s="101" t="n">
        <v>7193102</v>
      </c>
      <c r="E83" s="102" t="n">
        <v>45126</v>
      </c>
      <c r="F83" s="103" t="s">
        <v>54</v>
      </c>
      <c r="G83" s="5" t="n">
        <v>45126</v>
      </c>
      <c r="H83" s="104" t="s">
        <v>29</v>
      </c>
      <c r="I83" s="105"/>
      <c r="J83" s="106"/>
      <c r="K83" s="106"/>
      <c r="L83" s="106"/>
      <c r="M83" s="106"/>
      <c r="N83" s="105"/>
      <c r="O83" s="106"/>
      <c r="P83" s="105"/>
      <c r="Q83" s="7"/>
      <c r="R83" s="107"/>
      <c r="S83" s="105" t="n">
        <v>412</v>
      </c>
      <c r="T83" s="107" t="n">
        <v>75</v>
      </c>
      <c r="U83" s="108" t="n">
        <v>42.23</v>
      </c>
      <c r="V83" s="95" t="n">
        <f aca="false">SUM(I83:U83)</f>
        <v>529.23</v>
      </c>
      <c r="W83" s="109" t="s">
        <v>55</v>
      </c>
      <c r="X83" s="10" t="s">
        <v>45</v>
      </c>
      <c r="Y83" s="110" t="s">
        <v>42</v>
      </c>
      <c r="Z83" s="111"/>
      <c r="AA83" s="51"/>
    </row>
    <row r="84" s="10" customFormat="true" ht="14.1" hidden="false" customHeight="true" outlineLevel="0" collapsed="false">
      <c r="A84" s="100" t="s">
        <v>26</v>
      </c>
      <c r="B84" s="2" t="s">
        <v>174</v>
      </c>
      <c r="C84" s="3"/>
      <c r="D84" s="101" t="n">
        <v>7173103</v>
      </c>
      <c r="E84" s="102" t="n">
        <v>45124</v>
      </c>
      <c r="F84" s="103" t="s">
        <v>175</v>
      </c>
      <c r="G84" s="5" t="n">
        <v>45126</v>
      </c>
      <c r="H84" s="104" t="s">
        <v>36</v>
      </c>
      <c r="I84" s="105" t="n">
        <v>5449.93</v>
      </c>
      <c r="J84" s="106"/>
      <c r="K84" s="106" t="n">
        <v>1080</v>
      </c>
      <c r="L84" s="106"/>
      <c r="M84" s="106"/>
      <c r="N84" s="105"/>
      <c r="O84" s="106"/>
      <c r="P84" s="105"/>
      <c r="Q84" s="7"/>
      <c r="R84" s="107"/>
      <c r="S84" s="105"/>
      <c r="T84" s="107"/>
      <c r="U84" s="108" t="n">
        <v>470.06</v>
      </c>
      <c r="V84" s="95" t="n">
        <f aca="false">SUM(I84:U84)</f>
        <v>6999.99</v>
      </c>
      <c r="W84" s="109" t="s">
        <v>30</v>
      </c>
      <c r="X84" s="10" t="s">
        <v>102</v>
      </c>
      <c r="Y84" s="110" t="s">
        <v>32</v>
      </c>
      <c r="Z84" s="111" t="s">
        <v>33</v>
      </c>
      <c r="AA84" s="51"/>
    </row>
    <row r="85" s="10" customFormat="true" ht="14.1" hidden="false" customHeight="true" outlineLevel="0" collapsed="false">
      <c r="A85" s="100" t="s">
        <v>26</v>
      </c>
      <c r="B85" s="2" t="s">
        <v>176</v>
      </c>
      <c r="C85" s="3"/>
      <c r="D85" s="101" t="n">
        <v>7183106</v>
      </c>
      <c r="E85" s="102" t="n">
        <v>45125</v>
      </c>
      <c r="F85" s="103" t="s">
        <v>54</v>
      </c>
      <c r="G85" s="5" t="n">
        <v>45127</v>
      </c>
      <c r="H85" s="104" t="s">
        <v>29</v>
      </c>
      <c r="I85" s="105"/>
      <c r="J85" s="106"/>
      <c r="K85" s="106"/>
      <c r="L85" s="106"/>
      <c r="M85" s="106"/>
      <c r="N85" s="105"/>
      <c r="O85" s="106"/>
      <c r="P85" s="105"/>
      <c r="Q85" s="7"/>
      <c r="R85" s="107"/>
      <c r="S85" s="105" t="n">
        <v>120</v>
      </c>
      <c r="T85" s="107" t="n">
        <v>25</v>
      </c>
      <c r="U85" s="108" t="n">
        <v>12.9</v>
      </c>
      <c r="V85" s="95" t="n">
        <f aca="false">SUM(I85:U85)</f>
        <v>157.9</v>
      </c>
      <c r="W85" s="109" t="s">
        <v>55</v>
      </c>
      <c r="X85" s="10" t="s">
        <v>45</v>
      </c>
      <c r="Y85" s="110" t="s">
        <v>42</v>
      </c>
      <c r="Z85" s="111"/>
      <c r="AA85" s="51"/>
    </row>
    <row r="86" s="10" customFormat="true" ht="14.1" hidden="false" customHeight="true" outlineLevel="0" collapsed="false">
      <c r="A86" s="100" t="s">
        <v>26</v>
      </c>
      <c r="B86" s="2" t="s">
        <v>177</v>
      </c>
      <c r="C86" s="3"/>
      <c r="D86" s="101" t="n">
        <v>7193104</v>
      </c>
      <c r="E86" s="102" t="n">
        <v>45126</v>
      </c>
      <c r="F86" s="103" t="s">
        <v>54</v>
      </c>
      <c r="G86" s="5" t="n">
        <v>45127</v>
      </c>
      <c r="H86" s="104" t="s">
        <v>36</v>
      </c>
      <c r="I86" s="105"/>
      <c r="J86" s="106"/>
      <c r="K86" s="106"/>
      <c r="L86" s="106"/>
      <c r="M86" s="106"/>
      <c r="N86" s="105"/>
      <c r="O86" s="106"/>
      <c r="P86" s="105"/>
      <c r="Q86" s="7"/>
      <c r="R86" s="107"/>
      <c r="S86" s="105" t="n">
        <v>188</v>
      </c>
      <c r="T86" s="107" t="n">
        <v>37.5</v>
      </c>
      <c r="U86" s="108" t="n">
        <v>16.22</v>
      </c>
      <c r="V86" s="95" t="n">
        <f aca="false">SUM(I86:U86)</f>
        <v>241.72</v>
      </c>
      <c r="W86" s="109" t="s">
        <v>55</v>
      </c>
      <c r="X86" s="10" t="s">
        <v>45</v>
      </c>
      <c r="Y86" s="110" t="s">
        <v>42</v>
      </c>
      <c r="Z86" s="111"/>
      <c r="AA86" s="51"/>
    </row>
    <row r="87" s="10" customFormat="true" ht="14.1" hidden="false" customHeight="true" outlineLevel="0" collapsed="false">
      <c r="A87" s="100" t="s">
        <v>26</v>
      </c>
      <c r="B87" s="2" t="s">
        <v>178</v>
      </c>
      <c r="C87" s="3"/>
      <c r="D87" s="101" t="n">
        <v>7203101</v>
      </c>
      <c r="E87" s="102" t="n">
        <v>45127</v>
      </c>
      <c r="F87" s="103" t="s">
        <v>54</v>
      </c>
      <c r="G87" s="5" t="n">
        <v>45127</v>
      </c>
      <c r="H87" s="104" t="s">
        <v>179</v>
      </c>
      <c r="I87" s="105"/>
      <c r="J87" s="106"/>
      <c r="K87" s="106"/>
      <c r="L87" s="106"/>
      <c r="M87" s="106"/>
      <c r="N87" s="105"/>
      <c r="O87" s="106"/>
      <c r="P87" s="105"/>
      <c r="Q87" s="7"/>
      <c r="R87" s="107"/>
      <c r="S87" s="105" t="n">
        <v>240</v>
      </c>
      <c r="T87" s="107" t="n">
        <v>50</v>
      </c>
      <c r="U87" s="108" t="n">
        <v>18.6</v>
      </c>
      <c r="V87" s="95" t="n">
        <f aca="false">SUM(I87:U87)</f>
        <v>308.6</v>
      </c>
      <c r="W87" s="109" t="s">
        <v>49</v>
      </c>
      <c r="X87" s="10" t="s">
        <v>180</v>
      </c>
      <c r="Y87" s="110" t="s">
        <v>42</v>
      </c>
      <c r="Z87" s="111"/>
      <c r="AA87" s="51"/>
    </row>
    <row r="88" s="10" customFormat="true" ht="14.1" hidden="false" customHeight="true" outlineLevel="0" collapsed="false">
      <c r="A88" s="100" t="s">
        <v>26</v>
      </c>
      <c r="B88" s="2" t="s">
        <v>143</v>
      </c>
      <c r="C88" s="3" t="s">
        <v>181</v>
      </c>
      <c r="D88" s="101" t="n">
        <v>7203102</v>
      </c>
      <c r="E88" s="102" t="n">
        <v>45127</v>
      </c>
      <c r="F88" s="103" t="s">
        <v>54</v>
      </c>
      <c r="G88" s="5" t="n">
        <v>45127</v>
      </c>
      <c r="H88" s="104" t="s">
        <v>36</v>
      </c>
      <c r="I88" s="105"/>
      <c r="J88" s="106"/>
      <c r="K88" s="106"/>
      <c r="L88" s="106"/>
      <c r="M88" s="106"/>
      <c r="N88" s="105"/>
      <c r="O88" s="106"/>
      <c r="P88" s="105"/>
      <c r="Q88" s="7"/>
      <c r="R88" s="107"/>
      <c r="S88" s="105" t="n">
        <v>675</v>
      </c>
      <c r="T88" s="107" t="n">
        <v>112.5</v>
      </c>
      <c r="U88" s="108" t="n">
        <v>58.22</v>
      </c>
      <c r="V88" s="95" t="n">
        <f aca="false">SUM(I88:U88)</f>
        <v>845.72</v>
      </c>
      <c r="W88" s="109" t="s">
        <v>49</v>
      </c>
      <c r="X88" s="10" t="s">
        <v>180</v>
      </c>
      <c r="Y88" s="110" t="s">
        <v>42</v>
      </c>
      <c r="Z88" s="111"/>
      <c r="AA88" s="51"/>
    </row>
    <row r="89" s="10" customFormat="true" ht="14.1" hidden="false" customHeight="true" outlineLevel="0" collapsed="false">
      <c r="A89" s="100" t="s">
        <v>26</v>
      </c>
      <c r="B89" s="2" t="s">
        <v>182</v>
      </c>
      <c r="C89" s="3"/>
      <c r="D89" s="101" t="n">
        <v>7203103</v>
      </c>
      <c r="E89" s="102" t="n">
        <v>45127</v>
      </c>
      <c r="F89" s="103" t="s">
        <v>54</v>
      </c>
      <c r="G89" s="5" t="n">
        <v>45127</v>
      </c>
      <c r="H89" s="104" t="s">
        <v>40</v>
      </c>
      <c r="I89" s="105"/>
      <c r="J89" s="106"/>
      <c r="K89" s="106"/>
      <c r="L89" s="106"/>
      <c r="M89" s="106"/>
      <c r="N89" s="105"/>
      <c r="O89" s="106"/>
      <c r="P89" s="105"/>
      <c r="Q89" s="7"/>
      <c r="R89" s="107"/>
      <c r="S89" s="105" t="n">
        <v>263</v>
      </c>
      <c r="T89" s="107"/>
      <c r="U89" s="108" t="n">
        <v>28.27</v>
      </c>
      <c r="V89" s="95" t="n">
        <f aca="false">SUM(I89:U89)</f>
        <v>291.27</v>
      </c>
      <c r="W89" s="109" t="s">
        <v>75</v>
      </c>
      <c r="X89" s="10" t="s">
        <v>183</v>
      </c>
      <c r="Y89" s="110" t="s">
        <v>32</v>
      </c>
      <c r="Z89" s="111" t="s">
        <v>33</v>
      </c>
      <c r="AA89" s="51"/>
    </row>
    <row r="90" s="10" customFormat="true" ht="14.1" hidden="false" customHeight="true" outlineLevel="0" collapsed="false">
      <c r="A90" s="100" t="s">
        <v>26</v>
      </c>
      <c r="B90" s="2" t="s">
        <v>184</v>
      </c>
      <c r="C90" s="3"/>
      <c r="D90" s="101" t="n">
        <v>7203104</v>
      </c>
      <c r="E90" s="102" t="n">
        <v>45127</v>
      </c>
      <c r="F90" s="103" t="s">
        <v>54</v>
      </c>
      <c r="G90" s="5" t="n">
        <v>45127</v>
      </c>
      <c r="H90" s="104" t="s">
        <v>40</v>
      </c>
      <c r="I90" s="105"/>
      <c r="J90" s="106"/>
      <c r="K90" s="106"/>
      <c r="L90" s="106"/>
      <c r="M90" s="106"/>
      <c r="N90" s="105"/>
      <c r="O90" s="106"/>
      <c r="P90" s="105"/>
      <c r="Q90" s="7"/>
      <c r="R90" s="107"/>
      <c r="S90" s="105" t="n">
        <v>29</v>
      </c>
      <c r="T90" s="107"/>
      <c r="U90" s="108" t="n">
        <v>2.68</v>
      </c>
      <c r="V90" s="95" t="n">
        <f aca="false">SUM(I90:U90)</f>
        <v>31.68</v>
      </c>
      <c r="W90" s="109" t="s">
        <v>75</v>
      </c>
      <c r="X90" s="10" t="s">
        <v>185</v>
      </c>
      <c r="Y90" s="110" t="s">
        <v>42</v>
      </c>
      <c r="Z90" s="111"/>
      <c r="AA90" s="51"/>
    </row>
    <row r="91" s="10" customFormat="true" ht="14.1" hidden="false" customHeight="true" outlineLevel="0" collapsed="false">
      <c r="A91" s="100" t="s">
        <v>26</v>
      </c>
      <c r="B91" s="2" t="s">
        <v>186</v>
      </c>
      <c r="C91" s="3"/>
      <c r="D91" s="101" t="n">
        <v>7203105</v>
      </c>
      <c r="E91" s="102" t="n">
        <v>45127</v>
      </c>
      <c r="F91" s="103" t="s">
        <v>54</v>
      </c>
      <c r="G91" s="5" t="n">
        <v>45127</v>
      </c>
      <c r="H91" s="104" t="s">
        <v>36</v>
      </c>
      <c r="I91" s="105"/>
      <c r="J91" s="106"/>
      <c r="K91" s="106"/>
      <c r="L91" s="106"/>
      <c r="M91" s="106"/>
      <c r="N91" s="105"/>
      <c r="O91" s="106"/>
      <c r="P91" s="105"/>
      <c r="Q91" s="7"/>
      <c r="R91" s="107"/>
      <c r="S91" s="105" t="n">
        <v>135</v>
      </c>
      <c r="T91" s="107" t="n">
        <v>12.5</v>
      </c>
      <c r="U91" s="108" t="n">
        <v>11.64</v>
      </c>
      <c r="V91" s="95" t="n">
        <f aca="false">SUM(I91:U91)</f>
        <v>159.14</v>
      </c>
      <c r="W91" s="109" t="s">
        <v>30</v>
      </c>
      <c r="X91" s="10" t="s">
        <v>37</v>
      </c>
      <c r="Y91" s="110" t="s">
        <v>42</v>
      </c>
      <c r="Z91" s="111"/>
      <c r="AA91" s="51"/>
    </row>
    <row r="92" s="10" customFormat="true" ht="14.1" hidden="false" customHeight="true" outlineLevel="0" collapsed="false">
      <c r="A92" s="100" t="s">
        <v>26</v>
      </c>
      <c r="B92" s="2" t="s">
        <v>119</v>
      </c>
      <c r="C92" s="3"/>
      <c r="D92" s="101" t="n">
        <v>7203106</v>
      </c>
      <c r="E92" s="102" t="n">
        <v>45127</v>
      </c>
      <c r="F92" s="103" t="s">
        <v>54</v>
      </c>
      <c r="G92" s="5" t="n">
        <v>45127</v>
      </c>
      <c r="H92" s="104" t="s">
        <v>121</v>
      </c>
      <c r="I92" s="105"/>
      <c r="J92" s="106"/>
      <c r="K92" s="106"/>
      <c r="L92" s="106"/>
      <c r="M92" s="106"/>
      <c r="N92" s="105"/>
      <c r="O92" s="106"/>
      <c r="P92" s="105"/>
      <c r="Q92" s="7"/>
      <c r="R92" s="107"/>
      <c r="S92" s="105" t="n">
        <v>178</v>
      </c>
      <c r="T92" s="107" t="n">
        <v>50</v>
      </c>
      <c r="U92" s="108" t="n">
        <v>15.13</v>
      </c>
      <c r="V92" s="95" t="n">
        <f aca="false">SUM(I92:U92)</f>
        <v>243.13</v>
      </c>
      <c r="W92" s="109" t="s">
        <v>55</v>
      </c>
      <c r="X92" s="10" t="s">
        <v>45</v>
      </c>
      <c r="Y92" s="110" t="s">
        <v>42</v>
      </c>
      <c r="Z92" s="111"/>
      <c r="AA92" s="51"/>
    </row>
    <row r="93" s="10" customFormat="true" ht="14.1" hidden="false" customHeight="true" outlineLevel="0" collapsed="false">
      <c r="A93" s="100" t="s">
        <v>26</v>
      </c>
      <c r="B93" s="2" t="s">
        <v>187</v>
      </c>
      <c r="C93" s="3"/>
      <c r="D93" s="101" t="n">
        <v>6083103</v>
      </c>
      <c r="E93" s="102" t="n">
        <v>45085</v>
      </c>
      <c r="F93" s="103" t="s">
        <v>188</v>
      </c>
      <c r="G93" s="5" t="n">
        <v>45131</v>
      </c>
      <c r="H93" s="104" t="s">
        <v>40</v>
      </c>
      <c r="I93" s="105" t="n">
        <v>895</v>
      </c>
      <c r="J93" s="106"/>
      <c r="K93" s="106" t="n">
        <v>180</v>
      </c>
      <c r="L93" s="106"/>
      <c r="M93" s="106"/>
      <c r="N93" s="105"/>
      <c r="O93" s="106"/>
      <c r="P93" s="105"/>
      <c r="Q93" s="7"/>
      <c r="R93" s="107"/>
      <c r="S93" s="105"/>
      <c r="T93" s="107"/>
      <c r="U93" s="108" t="n">
        <v>85.03</v>
      </c>
      <c r="V93" s="95" t="n">
        <f aca="false">SUM(I93:U93)</f>
        <v>1160.03</v>
      </c>
      <c r="W93" s="109" t="s">
        <v>75</v>
      </c>
      <c r="X93" s="10" t="s">
        <v>189</v>
      </c>
      <c r="Y93" s="110" t="s">
        <v>32</v>
      </c>
      <c r="Z93" s="111" t="s">
        <v>33</v>
      </c>
      <c r="AA93" s="51"/>
    </row>
    <row r="94" s="10" customFormat="true" ht="14.1" hidden="false" customHeight="true" outlineLevel="0" collapsed="false">
      <c r="A94" s="100" t="s">
        <v>26</v>
      </c>
      <c r="B94" s="2" t="s">
        <v>190</v>
      </c>
      <c r="C94" s="3"/>
      <c r="D94" s="101" t="n">
        <v>7213101</v>
      </c>
      <c r="E94" s="102" t="n">
        <v>45128</v>
      </c>
      <c r="F94" s="103" t="s">
        <v>54</v>
      </c>
      <c r="G94" s="5" t="n">
        <v>45131</v>
      </c>
      <c r="H94" s="104" t="s">
        <v>40</v>
      </c>
      <c r="I94" s="105"/>
      <c r="J94" s="106"/>
      <c r="K94" s="106"/>
      <c r="L94" s="106"/>
      <c r="M94" s="106"/>
      <c r="N94" s="105"/>
      <c r="O94" s="106"/>
      <c r="P94" s="105"/>
      <c r="Q94" s="7"/>
      <c r="R94" s="107"/>
      <c r="S94" s="105" t="n">
        <v>45</v>
      </c>
      <c r="T94" s="107"/>
      <c r="U94" s="108" t="n">
        <v>4.16</v>
      </c>
      <c r="V94" s="95" t="n">
        <f aca="false">SUM(I94:U94)</f>
        <v>49.16</v>
      </c>
      <c r="W94" s="109" t="s">
        <v>75</v>
      </c>
      <c r="X94" s="10" t="s">
        <v>191</v>
      </c>
      <c r="Y94" s="110" t="s">
        <v>32</v>
      </c>
      <c r="Z94" s="111" t="s">
        <v>33</v>
      </c>
      <c r="AA94" s="51"/>
    </row>
    <row r="95" s="10" customFormat="true" ht="14.1" hidden="false" customHeight="true" outlineLevel="0" collapsed="false">
      <c r="A95" s="100" t="s">
        <v>26</v>
      </c>
      <c r="B95" s="2" t="s">
        <v>192</v>
      </c>
      <c r="C95" s="3"/>
      <c r="D95" s="101" t="n">
        <v>7243101</v>
      </c>
      <c r="E95" s="102" t="n">
        <v>45131</v>
      </c>
      <c r="F95" s="103" t="s">
        <v>54</v>
      </c>
      <c r="G95" s="5" t="n">
        <v>45131</v>
      </c>
      <c r="H95" s="104" t="s">
        <v>89</v>
      </c>
      <c r="I95" s="105"/>
      <c r="J95" s="106"/>
      <c r="K95" s="106"/>
      <c r="L95" s="106"/>
      <c r="M95" s="106"/>
      <c r="N95" s="105"/>
      <c r="O95" s="106"/>
      <c r="P95" s="105"/>
      <c r="Q95" s="7"/>
      <c r="R95" s="107"/>
      <c r="S95" s="105" t="n">
        <v>104</v>
      </c>
      <c r="T95" s="107" t="n">
        <v>25</v>
      </c>
      <c r="U95" s="108" t="n">
        <v>8.58</v>
      </c>
      <c r="V95" s="95" t="n">
        <f aca="false">SUM(I95:U95)</f>
        <v>137.58</v>
      </c>
      <c r="W95" s="109" t="s">
        <v>55</v>
      </c>
      <c r="X95" s="10" t="s">
        <v>26</v>
      </c>
      <c r="Y95" s="110" t="s">
        <v>42</v>
      </c>
      <c r="Z95" s="111"/>
      <c r="AA95" s="51"/>
    </row>
    <row r="96" s="10" customFormat="true" ht="14.1" hidden="false" customHeight="true" outlineLevel="0" collapsed="false">
      <c r="A96" s="100" t="s">
        <v>26</v>
      </c>
      <c r="B96" s="2" t="s">
        <v>193</v>
      </c>
      <c r="C96" s="3"/>
      <c r="D96" s="101" t="n">
        <v>7243102</v>
      </c>
      <c r="E96" s="102" t="n">
        <v>45131</v>
      </c>
      <c r="F96" s="103" t="s">
        <v>54</v>
      </c>
      <c r="G96" s="5" t="n">
        <v>45131</v>
      </c>
      <c r="H96" s="104" t="s">
        <v>89</v>
      </c>
      <c r="I96" s="105"/>
      <c r="J96" s="106"/>
      <c r="K96" s="106"/>
      <c r="L96" s="106"/>
      <c r="M96" s="106"/>
      <c r="N96" s="105"/>
      <c r="O96" s="106"/>
      <c r="P96" s="105"/>
      <c r="Q96" s="7"/>
      <c r="R96" s="107"/>
      <c r="S96" s="105" t="n">
        <v>175</v>
      </c>
      <c r="T96" s="107" t="n">
        <v>37.5</v>
      </c>
      <c r="U96" s="108" t="n">
        <v>14.44</v>
      </c>
      <c r="V96" s="95" t="n">
        <f aca="false">SUM(I96:U96)</f>
        <v>226.94</v>
      </c>
      <c r="W96" s="109" t="s">
        <v>55</v>
      </c>
      <c r="X96" s="10" t="s">
        <v>26</v>
      </c>
      <c r="Y96" s="110" t="s">
        <v>42</v>
      </c>
      <c r="Z96" s="111"/>
      <c r="AA96" s="51"/>
    </row>
    <row r="97" s="10" customFormat="true" ht="14.1" hidden="false" customHeight="true" outlineLevel="0" collapsed="false">
      <c r="A97" s="100" t="s">
        <v>26</v>
      </c>
      <c r="B97" s="2" t="s">
        <v>194</v>
      </c>
      <c r="C97" s="3"/>
      <c r="D97" s="101" t="n">
        <v>7243103</v>
      </c>
      <c r="E97" s="102" t="n">
        <v>45131</v>
      </c>
      <c r="F97" s="103" t="s">
        <v>54</v>
      </c>
      <c r="G97" s="5" t="n">
        <v>45131</v>
      </c>
      <c r="H97" s="104" t="s">
        <v>29</v>
      </c>
      <c r="I97" s="105"/>
      <c r="J97" s="106"/>
      <c r="K97" s="106"/>
      <c r="L97" s="106"/>
      <c r="M97" s="106"/>
      <c r="N97" s="105"/>
      <c r="O97" s="106"/>
      <c r="P97" s="105"/>
      <c r="Q97" s="7"/>
      <c r="R97" s="107"/>
      <c r="S97" s="105" t="n">
        <v>273</v>
      </c>
      <c r="T97" s="107" t="n">
        <v>62.5</v>
      </c>
      <c r="U97" s="108" t="n">
        <v>27.98</v>
      </c>
      <c r="V97" s="95" t="n">
        <f aca="false">SUM(I97:U97)</f>
        <v>363.48</v>
      </c>
      <c r="W97" s="109" t="s">
        <v>55</v>
      </c>
      <c r="X97" s="10" t="s">
        <v>26</v>
      </c>
      <c r="Y97" s="110" t="s">
        <v>42</v>
      </c>
      <c r="Z97" s="111"/>
      <c r="AA97" s="51"/>
    </row>
    <row r="98" s="10" customFormat="true" ht="14.1" hidden="false" customHeight="true" outlineLevel="0" collapsed="false">
      <c r="A98" s="100" t="s">
        <v>26</v>
      </c>
      <c r="B98" s="2" t="s">
        <v>195</v>
      </c>
      <c r="C98" s="3"/>
      <c r="D98" s="101" t="n">
        <v>7243104</v>
      </c>
      <c r="E98" s="102" t="n">
        <v>45131</v>
      </c>
      <c r="F98" s="103" t="s">
        <v>54</v>
      </c>
      <c r="G98" s="5" t="n">
        <v>45131</v>
      </c>
      <c r="H98" s="104" t="s">
        <v>108</v>
      </c>
      <c r="I98" s="105"/>
      <c r="J98" s="106"/>
      <c r="K98" s="106"/>
      <c r="L98" s="106"/>
      <c r="M98" s="106"/>
      <c r="N98" s="105"/>
      <c r="O98" s="106"/>
      <c r="P98" s="105"/>
      <c r="Q98" s="7"/>
      <c r="R98" s="107"/>
      <c r="S98" s="105" t="n">
        <v>75</v>
      </c>
      <c r="T98" s="107"/>
      <c r="U98" s="108" t="n">
        <v>6.94</v>
      </c>
      <c r="V98" s="95" t="n">
        <f aca="false">SUM(I98:U98)</f>
        <v>81.94</v>
      </c>
      <c r="W98" s="109" t="s">
        <v>75</v>
      </c>
      <c r="X98" s="10" t="s">
        <v>196</v>
      </c>
      <c r="Y98" s="110" t="s">
        <v>32</v>
      </c>
      <c r="Z98" s="111" t="s">
        <v>33</v>
      </c>
      <c r="AA98" s="51"/>
    </row>
    <row r="99" s="10" customFormat="true" ht="14.1" hidden="false" customHeight="true" outlineLevel="0" collapsed="false">
      <c r="A99" s="100" t="s">
        <v>26</v>
      </c>
      <c r="B99" s="2" t="s">
        <v>190</v>
      </c>
      <c r="C99" s="3"/>
      <c r="D99" s="101" t="n">
        <v>7243106</v>
      </c>
      <c r="E99" s="102" t="n">
        <v>45131</v>
      </c>
      <c r="F99" s="103" t="s">
        <v>54</v>
      </c>
      <c r="G99" s="5" t="n">
        <v>45131</v>
      </c>
      <c r="H99" s="104" t="s">
        <v>40</v>
      </c>
      <c r="I99" s="105"/>
      <c r="J99" s="106"/>
      <c r="K99" s="106"/>
      <c r="L99" s="106"/>
      <c r="M99" s="106"/>
      <c r="N99" s="105"/>
      <c r="O99" s="106"/>
      <c r="P99" s="105"/>
      <c r="Q99" s="7"/>
      <c r="R99" s="107"/>
      <c r="S99" s="105" t="n">
        <v>39</v>
      </c>
      <c r="T99" s="107"/>
      <c r="U99" s="108" t="n">
        <v>3.61</v>
      </c>
      <c r="V99" s="95" t="n">
        <f aca="false">SUM(I99:U99)</f>
        <v>42.61</v>
      </c>
      <c r="W99" s="109" t="s">
        <v>75</v>
      </c>
      <c r="X99" s="10" t="s">
        <v>76</v>
      </c>
      <c r="Y99" s="110" t="s">
        <v>32</v>
      </c>
      <c r="Z99" s="111" t="s">
        <v>33</v>
      </c>
      <c r="AA99" s="51"/>
    </row>
    <row r="100" s="10" customFormat="true" ht="14.1" hidden="false" customHeight="true" outlineLevel="0" collapsed="false">
      <c r="A100" s="100" t="s">
        <v>26</v>
      </c>
      <c r="B100" s="2" t="s">
        <v>68</v>
      </c>
      <c r="C100" s="3"/>
      <c r="D100" s="101" t="n">
        <v>7243107</v>
      </c>
      <c r="E100" s="102" t="n">
        <v>45131</v>
      </c>
      <c r="F100" s="103" t="s">
        <v>197</v>
      </c>
      <c r="G100" s="5" t="n">
        <v>45131</v>
      </c>
      <c r="H100" s="104" t="s">
        <v>69</v>
      </c>
      <c r="I100" s="105"/>
      <c r="J100" s="106"/>
      <c r="K100" s="106"/>
      <c r="L100" s="106"/>
      <c r="M100" s="106"/>
      <c r="N100" s="105"/>
      <c r="O100" s="106"/>
      <c r="P100" s="105" t="n">
        <v>195</v>
      </c>
      <c r="Q100" s="7" t="n">
        <v>180</v>
      </c>
      <c r="R100" s="107" t="n">
        <v>90</v>
      </c>
      <c r="S100" s="105"/>
      <c r="T100" s="107"/>
      <c r="U100" s="108" t="n">
        <v>19.01</v>
      </c>
      <c r="V100" s="95" t="n">
        <f aca="false">SUM(I100:U100)</f>
        <v>484.01</v>
      </c>
      <c r="W100" s="109" t="s">
        <v>30</v>
      </c>
      <c r="X100" s="10" t="s">
        <v>102</v>
      </c>
      <c r="Y100" s="110" t="s">
        <v>42</v>
      </c>
      <c r="Z100" s="111"/>
      <c r="AA100" s="51"/>
    </row>
    <row r="101" s="10" customFormat="true" ht="14.1" hidden="false" customHeight="true" outlineLevel="0" collapsed="false">
      <c r="A101" s="100" t="s">
        <v>26</v>
      </c>
      <c r="B101" s="2" t="s">
        <v>198</v>
      </c>
      <c r="C101" s="3"/>
      <c r="D101" s="101" t="n">
        <v>7243105</v>
      </c>
      <c r="E101" s="102" t="n">
        <v>45131</v>
      </c>
      <c r="F101" s="103" t="s">
        <v>54</v>
      </c>
      <c r="G101" s="5" t="n">
        <v>45132</v>
      </c>
      <c r="H101" s="104" t="s">
        <v>36</v>
      </c>
      <c r="I101" s="105"/>
      <c r="J101" s="106"/>
      <c r="K101" s="106"/>
      <c r="L101" s="106"/>
      <c r="M101" s="106"/>
      <c r="N101" s="105"/>
      <c r="O101" s="106"/>
      <c r="P101" s="105"/>
      <c r="Q101" s="7"/>
      <c r="R101" s="107"/>
      <c r="S101" s="105" t="n">
        <v>188</v>
      </c>
      <c r="T101" s="107" t="n">
        <v>37.5</v>
      </c>
      <c r="U101" s="108" t="n">
        <v>16.22</v>
      </c>
      <c r="V101" s="95" t="n">
        <f aca="false">SUM(I101:U101)</f>
        <v>241.72</v>
      </c>
      <c r="W101" s="109" t="s">
        <v>55</v>
      </c>
      <c r="X101" s="10" t="s">
        <v>26</v>
      </c>
      <c r="Y101" s="110" t="s">
        <v>42</v>
      </c>
      <c r="Z101" s="111"/>
      <c r="AA101" s="51"/>
    </row>
    <row r="102" s="10" customFormat="true" ht="14.1" hidden="false" customHeight="true" outlineLevel="0" collapsed="false">
      <c r="A102" s="100" t="s">
        <v>45</v>
      </c>
      <c r="B102" s="2" t="s">
        <v>199</v>
      </c>
      <c r="C102" s="3" t="s">
        <v>200</v>
      </c>
      <c r="D102" s="101" t="n">
        <v>7253051</v>
      </c>
      <c r="E102" s="102" t="n">
        <v>45132</v>
      </c>
      <c r="F102" s="103" t="s">
        <v>12</v>
      </c>
      <c r="G102" s="5" t="n">
        <v>45132</v>
      </c>
      <c r="H102" s="104" t="s">
        <v>40</v>
      </c>
      <c r="I102" s="105"/>
      <c r="J102" s="106"/>
      <c r="K102" s="106"/>
      <c r="L102" s="106"/>
      <c r="M102" s="106" t="n">
        <v>6</v>
      </c>
      <c r="N102" s="105"/>
      <c r="O102" s="106"/>
      <c r="P102" s="105"/>
      <c r="Q102" s="7"/>
      <c r="R102" s="107"/>
      <c r="S102" s="105"/>
      <c r="T102" s="107"/>
      <c r="U102" s="108"/>
      <c r="V102" s="95" t="n">
        <f aca="false">SUM(I102:U102)</f>
        <v>6</v>
      </c>
      <c r="W102" s="109" t="s">
        <v>41</v>
      </c>
      <c r="X102" s="10" t="s">
        <v>45</v>
      </c>
      <c r="Y102" s="110" t="s">
        <v>32</v>
      </c>
      <c r="Z102" s="111" t="s">
        <v>90</v>
      </c>
      <c r="AA102" s="51"/>
    </row>
    <row r="103" s="10" customFormat="true" ht="14.1" hidden="false" customHeight="true" outlineLevel="0" collapsed="false">
      <c r="A103" s="100" t="s">
        <v>45</v>
      </c>
      <c r="B103" s="2" t="s">
        <v>199</v>
      </c>
      <c r="C103" s="3"/>
      <c r="D103" s="101" t="n">
        <v>7253052</v>
      </c>
      <c r="E103" s="102" t="n">
        <v>45132</v>
      </c>
      <c r="F103" s="103" t="s">
        <v>12</v>
      </c>
      <c r="G103" s="5" t="n">
        <v>45132</v>
      </c>
      <c r="H103" s="104" t="s">
        <v>40</v>
      </c>
      <c r="I103" s="105"/>
      <c r="J103" s="106"/>
      <c r="K103" s="106"/>
      <c r="L103" s="106"/>
      <c r="M103" s="106" t="n">
        <v>4444.97</v>
      </c>
      <c r="N103" s="105"/>
      <c r="O103" s="106"/>
      <c r="P103" s="105"/>
      <c r="Q103" s="7"/>
      <c r="R103" s="107"/>
      <c r="S103" s="105"/>
      <c r="T103" s="107"/>
      <c r="U103" s="108"/>
      <c r="V103" s="95" t="n">
        <f aca="false">SUM(I103:U103)</f>
        <v>4444.97</v>
      </c>
      <c r="W103" s="109" t="s">
        <v>41</v>
      </c>
      <c r="X103" s="10" t="s">
        <v>45</v>
      </c>
      <c r="Y103" s="110" t="s">
        <v>32</v>
      </c>
      <c r="Z103" s="111" t="s">
        <v>90</v>
      </c>
      <c r="AA103" s="51"/>
    </row>
    <row r="104" s="10" customFormat="true" ht="14.1" hidden="false" customHeight="true" outlineLevel="0" collapsed="false">
      <c r="A104" s="100" t="s">
        <v>26</v>
      </c>
      <c r="B104" s="2" t="s">
        <v>201</v>
      </c>
      <c r="C104" s="3"/>
      <c r="D104" s="101" t="n">
        <v>7253101</v>
      </c>
      <c r="E104" s="102" t="n">
        <v>45132</v>
      </c>
      <c r="F104" s="103" t="s">
        <v>54</v>
      </c>
      <c r="G104" s="5" t="n">
        <v>45132</v>
      </c>
      <c r="H104" s="104" t="s">
        <v>110</v>
      </c>
      <c r="I104" s="105"/>
      <c r="J104" s="106"/>
      <c r="K104" s="106"/>
      <c r="L104" s="106"/>
      <c r="M104" s="106"/>
      <c r="N104" s="105"/>
      <c r="O104" s="106"/>
      <c r="P104" s="105"/>
      <c r="Q104" s="7"/>
      <c r="R104" s="107"/>
      <c r="S104" s="105" t="n">
        <v>130</v>
      </c>
      <c r="T104" s="107" t="n">
        <v>25</v>
      </c>
      <c r="U104" s="108" t="n">
        <v>10.73</v>
      </c>
      <c r="V104" s="95" t="n">
        <f aca="false">SUM(I104:U104)</f>
        <v>165.73</v>
      </c>
      <c r="W104" s="109" t="s">
        <v>55</v>
      </c>
      <c r="X104" s="10" t="s">
        <v>26</v>
      </c>
      <c r="Y104" s="110" t="s">
        <v>42</v>
      </c>
      <c r="Z104" s="111"/>
      <c r="AA104" s="51"/>
    </row>
    <row r="105" s="10" customFormat="true" ht="14.1" hidden="false" customHeight="true" outlineLevel="0" collapsed="false">
      <c r="A105" s="100" t="s">
        <v>26</v>
      </c>
      <c r="B105" s="2" t="s">
        <v>202</v>
      </c>
      <c r="C105" s="3"/>
      <c r="D105" s="101" t="n">
        <v>7253102</v>
      </c>
      <c r="E105" s="102" t="n">
        <v>45132</v>
      </c>
      <c r="F105" s="103" t="s">
        <v>54</v>
      </c>
      <c r="G105" s="5" t="n">
        <v>45132</v>
      </c>
      <c r="H105" s="104" t="s">
        <v>40</v>
      </c>
      <c r="I105" s="105"/>
      <c r="J105" s="106"/>
      <c r="K105" s="106"/>
      <c r="L105" s="106"/>
      <c r="M105" s="106"/>
      <c r="N105" s="105"/>
      <c r="O105" s="106"/>
      <c r="P105" s="105"/>
      <c r="Q105" s="7"/>
      <c r="R105" s="107"/>
      <c r="S105" s="105" t="n">
        <v>65</v>
      </c>
      <c r="T105" s="107" t="n">
        <v>12.5</v>
      </c>
      <c r="U105" s="108" t="n">
        <v>6.01</v>
      </c>
      <c r="V105" s="95" t="n">
        <f aca="false">SUM(I105:U105)</f>
        <v>83.51</v>
      </c>
      <c r="W105" s="109" t="s">
        <v>49</v>
      </c>
      <c r="X105" s="10" t="s">
        <v>180</v>
      </c>
      <c r="Y105" s="110" t="s">
        <v>32</v>
      </c>
      <c r="Z105" s="111" t="s">
        <v>33</v>
      </c>
      <c r="AA105" s="51"/>
    </row>
    <row r="106" s="10" customFormat="true" ht="14.1" hidden="false" customHeight="true" outlineLevel="0" collapsed="false">
      <c r="A106" s="100" t="s">
        <v>26</v>
      </c>
      <c r="B106" s="2" t="s">
        <v>159</v>
      </c>
      <c r="C106" s="3"/>
      <c r="D106" s="101" t="n">
        <v>7253104</v>
      </c>
      <c r="E106" s="102" t="n">
        <v>45132</v>
      </c>
      <c r="F106" s="103" t="s">
        <v>54</v>
      </c>
      <c r="G106" s="5" t="n">
        <v>45132</v>
      </c>
      <c r="H106" s="104" t="s">
        <v>40</v>
      </c>
      <c r="I106" s="105"/>
      <c r="J106" s="106"/>
      <c r="K106" s="106"/>
      <c r="L106" s="106"/>
      <c r="M106" s="106"/>
      <c r="N106" s="105"/>
      <c r="O106" s="106"/>
      <c r="P106" s="105"/>
      <c r="Q106" s="7"/>
      <c r="R106" s="107"/>
      <c r="S106" s="105" t="n">
        <v>85</v>
      </c>
      <c r="T106" s="107"/>
      <c r="U106" s="108" t="n">
        <v>7.86</v>
      </c>
      <c r="V106" s="95" t="n">
        <f aca="false">SUM(I106:U106)</f>
        <v>92.86</v>
      </c>
      <c r="W106" s="109" t="s">
        <v>75</v>
      </c>
      <c r="X106" s="10" t="s">
        <v>160</v>
      </c>
      <c r="Y106" s="110" t="s">
        <v>32</v>
      </c>
      <c r="Z106" s="111" t="s">
        <v>161</v>
      </c>
      <c r="AA106" s="51"/>
    </row>
    <row r="107" s="10" customFormat="true" ht="14.1" hidden="false" customHeight="true" outlineLevel="0" collapsed="false">
      <c r="A107" s="100" t="s">
        <v>26</v>
      </c>
      <c r="B107" s="2" t="s">
        <v>190</v>
      </c>
      <c r="C107" s="3" t="s">
        <v>203</v>
      </c>
      <c r="D107" s="101" t="n">
        <v>7253105</v>
      </c>
      <c r="E107" s="102" t="n">
        <v>45132</v>
      </c>
      <c r="F107" s="103" t="s">
        <v>54</v>
      </c>
      <c r="G107" s="5" t="n">
        <v>45132</v>
      </c>
      <c r="H107" s="104" t="s">
        <v>58</v>
      </c>
      <c r="I107" s="105"/>
      <c r="J107" s="106"/>
      <c r="K107" s="106"/>
      <c r="L107" s="106"/>
      <c r="M107" s="106"/>
      <c r="N107" s="105"/>
      <c r="O107" s="106"/>
      <c r="P107" s="105"/>
      <c r="Q107" s="7"/>
      <c r="R107" s="107"/>
      <c r="S107" s="105" t="n">
        <v>65</v>
      </c>
      <c r="T107" s="107" t="n">
        <v>12.5</v>
      </c>
      <c r="U107" s="108" t="n">
        <v>6.01</v>
      </c>
      <c r="V107" s="95" t="n">
        <f aca="false">SUM(I107:U107)</f>
        <v>83.51</v>
      </c>
      <c r="W107" s="109" t="s">
        <v>55</v>
      </c>
      <c r="X107" s="10" t="s">
        <v>45</v>
      </c>
      <c r="Y107" s="110" t="s">
        <v>32</v>
      </c>
      <c r="Z107" s="111" t="s">
        <v>33</v>
      </c>
      <c r="AA107" s="51"/>
    </row>
    <row r="108" s="10" customFormat="true" ht="14.1" hidden="false" customHeight="true" outlineLevel="0" collapsed="false">
      <c r="A108" s="100" t="s">
        <v>26</v>
      </c>
      <c r="B108" s="2" t="s">
        <v>204</v>
      </c>
      <c r="C108" s="3"/>
      <c r="D108" s="101" t="n">
        <v>7263062</v>
      </c>
      <c r="E108" s="102" t="n">
        <v>45133</v>
      </c>
      <c r="F108" s="103" t="s">
        <v>54</v>
      </c>
      <c r="G108" s="5" t="n">
        <v>45133</v>
      </c>
      <c r="H108" s="104" t="s">
        <v>40</v>
      </c>
      <c r="I108" s="105"/>
      <c r="J108" s="106"/>
      <c r="K108" s="106"/>
      <c r="L108" s="106"/>
      <c r="M108" s="106"/>
      <c r="N108" s="105"/>
      <c r="O108" s="106"/>
      <c r="P108" s="105"/>
      <c r="Q108" s="7"/>
      <c r="R108" s="107"/>
      <c r="S108" s="105" t="n">
        <v>65</v>
      </c>
      <c r="T108" s="107" t="n">
        <v>5.61</v>
      </c>
      <c r="U108" s="108"/>
      <c r="V108" s="95" t="n">
        <f aca="false">SUM(I108:U108)</f>
        <v>70.61</v>
      </c>
      <c r="W108" s="109" t="s">
        <v>75</v>
      </c>
      <c r="X108" s="10" t="s">
        <v>205</v>
      </c>
      <c r="Y108" s="110" t="s">
        <v>32</v>
      </c>
      <c r="Z108" s="111" t="s">
        <v>33</v>
      </c>
      <c r="AA108" s="51"/>
    </row>
    <row r="109" s="10" customFormat="true" ht="14.1" hidden="false" customHeight="true" outlineLevel="0" collapsed="false">
      <c r="A109" s="100" t="s">
        <v>26</v>
      </c>
      <c r="B109" s="2" t="s">
        <v>103</v>
      </c>
      <c r="C109" s="3"/>
      <c r="D109" s="101" t="n">
        <v>7263064</v>
      </c>
      <c r="E109" s="102" t="n">
        <v>45133</v>
      </c>
      <c r="F109" s="103" t="s">
        <v>54</v>
      </c>
      <c r="G109" s="5" t="n">
        <v>45133</v>
      </c>
      <c r="H109" s="104" t="s">
        <v>86</v>
      </c>
      <c r="I109" s="105"/>
      <c r="J109" s="106"/>
      <c r="K109" s="106"/>
      <c r="L109" s="106"/>
      <c r="M109" s="106"/>
      <c r="N109" s="105"/>
      <c r="O109" s="106"/>
      <c r="P109" s="105"/>
      <c r="Q109" s="7"/>
      <c r="R109" s="107"/>
      <c r="S109" s="105" t="n">
        <v>120</v>
      </c>
      <c r="T109" s="107" t="n">
        <v>25</v>
      </c>
      <c r="U109" s="108" t="n">
        <v>9.3</v>
      </c>
      <c r="V109" s="95" t="n">
        <f aca="false">SUM(I109:U109)</f>
        <v>154.3</v>
      </c>
      <c r="W109" s="109" t="s">
        <v>55</v>
      </c>
      <c r="X109" s="10" t="s">
        <v>135</v>
      </c>
      <c r="Y109" s="110" t="s">
        <v>42</v>
      </c>
      <c r="Z109" s="111"/>
      <c r="AA109" s="51"/>
    </row>
    <row r="110" s="10" customFormat="true" ht="14.1" hidden="false" customHeight="true" outlineLevel="0" collapsed="false">
      <c r="A110" s="100" t="s">
        <v>26</v>
      </c>
      <c r="B110" s="2" t="s">
        <v>206</v>
      </c>
      <c r="C110" s="3"/>
      <c r="D110" s="101" t="n">
        <v>7263102</v>
      </c>
      <c r="E110" s="102" t="n">
        <v>45133</v>
      </c>
      <c r="F110" s="103" t="s">
        <v>54</v>
      </c>
      <c r="G110" s="5" t="n">
        <v>45133</v>
      </c>
      <c r="H110" s="104" t="s">
        <v>97</v>
      </c>
      <c r="I110" s="105"/>
      <c r="J110" s="106"/>
      <c r="K110" s="106"/>
      <c r="L110" s="106"/>
      <c r="M110" s="106"/>
      <c r="N110" s="105"/>
      <c r="O110" s="106"/>
      <c r="P110" s="105"/>
      <c r="Q110" s="7"/>
      <c r="R110" s="107"/>
      <c r="S110" s="105" t="n">
        <v>195</v>
      </c>
      <c r="T110" s="107" t="n">
        <v>37.5</v>
      </c>
      <c r="U110" s="108"/>
      <c r="V110" s="95" t="n">
        <f aca="false">SUM(I110:U110)</f>
        <v>232.5</v>
      </c>
      <c r="W110" s="109" t="s">
        <v>55</v>
      </c>
      <c r="X110" s="10" t="s">
        <v>135</v>
      </c>
      <c r="Y110" s="110" t="s">
        <v>42</v>
      </c>
      <c r="Z110" s="111"/>
      <c r="AA110" s="51"/>
    </row>
    <row r="111" s="10" customFormat="true" ht="14.1" hidden="false" customHeight="true" outlineLevel="0" collapsed="false">
      <c r="A111" s="100" t="s">
        <v>26</v>
      </c>
      <c r="B111" s="2" t="s">
        <v>207</v>
      </c>
      <c r="C111" s="3"/>
      <c r="D111" s="101" t="n">
        <v>7263103</v>
      </c>
      <c r="E111" s="102" t="n">
        <v>45133</v>
      </c>
      <c r="F111" s="103" t="s">
        <v>54</v>
      </c>
      <c r="G111" s="5" t="n">
        <v>45133</v>
      </c>
      <c r="H111" s="104" t="s">
        <v>36</v>
      </c>
      <c r="I111" s="105"/>
      <c r="J111" s="106"/>
      <c r="K111" s="106"/>
      <c r="L111" s="106"/>
      <c r="M111" s="106"/>
      <c r="N111" s="105"/>
      <c r="O111" s="106"/>
      <c r="P111" s="105"/>
      <c r="Q111" s="7"/>
      <c r="R111" s="107"/>
      <c r="S111" s="105" t="n">
        <v>65</v>
      </c>
      <c r="T111" s="107" t="n">
        <v>12.5</v>
      </c>
      <c r="U111" s="108" t="n">
        <v>5.61</v>
      </c>
      <c r="V111" s="95" t="n">
        <f aca="false">SUM(I111:U111)</f>
        <v>83.11</v>
      </c>
      <c r="W111" s="109" t="s">
        <v>55</v>
      </c>
      <c r="X111" s="10" t="s">
        <v>135</v>
      </c>
      <c r="Y111" s="110" t="s">
        <v>42</v>
      </c>
      <c r="Z111" s="111"/>
      <c r="AA111" s="51"/>
    </row>
    <row r="112" s="10" customFormat="true" ht="14.1" hidden="false" customHeight="true" outlineLevel="0" collapsed="false">
      <c r="A112" s="100" t="s">
        <v>26</v>
      </c>
      <c r="B112" s="2" t="s">
        <v>208</v>
      </c>
      <c r="C112" s="3"/>
      <c r="D112" s="101" t="n">
        <v>7263104</v>
      </c>
      <c r="E112" s="102" t="n">
        <v>45133</v>
      </c>
      <c r="F112" s="103" t="s">
        <v>54</v>
      </c>
      <c r="G112" s="5" t="n">
        <v>45133</v>
      </c>
      <c r="H112" s="104" t="s">
        <v>29</v>
      </c>
      <c r="I112" s="105"/>
      <c r="J112" s="106"/>
      <c r="K112" s="106"/>
      <c r="L112" s="106"/>
      <c r="M112" s="106"/>
      <c r="N112" s="105"/>
      <c r="O112" s="106"/>
      <c r="P112" s="105"/>
      <c r="Q112" s="7"/>
      <c r="R112" s="107"/>
      <c r="S112" s="105" t="n">
        <v>194</v>
      </c>
      <c r="T112" s="107" t="n">
        <v>50</v>
      </c>
      <c r="U112" s="108" t="n">
        <v>19.89</v>
      </c>
      <c r="V112" s="95" t="n">
        <f aca="false">SUM(I112:U112)</f>
        <v>263.89</v>
      </c>
      <c r="W112" s="109" t="s">
        <v>55</v>
      </c>
      <c r="X112" s="10" t="s">
        <v>135</v>
      </c>
      <c r="Y112" s="110" t="s">
        <v>42</v>
      </c>
      <c r="Z112" s="111"/>
      <c r="AA112" s="51"/>
    </row>
    <row r="113" s="10" customFormat="true" ht="14.1" hidden="false" customHeight="true" outlineLevel="0" collapsed="false">
      <c r="A113" s="100" t="s">
        <v>26</v>
      </c>
      <c r="B113" s="2" t="s">
        <v>209</v>
      </c>
      <c r="C113" s="3"/>
      <c r="D113" s="101" t="n">
        <v>7263105</v>
      </c>
      <c r="E113" s="102" t="n">
        <v>45133</v>
      </c>
      <c r="F113" s="103" t="s">
        <v>54</v>
      </c>
      <c r="G113" s="5" t="n">
        <v>45133</v>
      </c>
      <c r="H113" s="104" t="s">
        <v>64</v>
      </c>
      <c r="I113" s="105"/>
      <c r="J113" s="106"/>
      <c r="K113" s="106"/>
      <c r="L113" s="106"/>
      <c r="M113" s="106"/>
      <c r="N113" s="105"/>
      <c r="O113" s="106"/>
      <c r="P113" s="105"/>
      <c r="Q113" s="7"/>
      <c r="R113" s="107"/>
      <c r="S113" s="105" t="n">
        <v>220</v>
      </c>
      <c r="T113" s="107" t="n">
        <v>50</v>
      </c>
      <c r="U113" s="108" t="n">
        <v>20.35</v>
      </c>
      <c r="V113" s="95" t="n">
        <f aca="false">SUM(I113:U113)</f>
        <v>290.35</v>
      </c>
      <c r="W113" s="109" t="s">
        <v>55</v>
      </c>
      <c r="X113" s="10" t="s">
        <v>135</v>
      </c>
      <c r="Y113" s="110" t="s">
        <v>42</v>
      </c>
      <c r="Z113" s="111"/>
      <c r="AA113" s="51"/>
    </row>
    <row r="114" s="10" customFormat="true" ht="14.1" hidden="false" customHeight="true" outlineLevel="0" collapsed="false">
      <c r="A114" s="100" t="s">
        <v>26</v>
      </c>
      <c r="B114" s="2" t="s">
        <v>210</v>
      </c>
      <c r="C114" s="3"/>
      <c r="D114" s="101" t="n">
        <v>7263106</v>
      </c>
      <c r="E114" s="102" t="n">
        <v>45133</v>
      </c>
      <c r="F114" s="103" t="s">
        <v>54</v>
      </c>
      <c r="G114" s="5" t="n">
        <v>45133</v>
      </c>
      <c r="H114" s="104" t="s">
        <v>83</v>
      </c>
      <c r="I114" s="105"/>
      <c r="J114" s="106"/>
      <c r="K114" s="106"/>
      <c r="L114" s="106"/>
      <c r="M114" s="106"/>
      <c r="N114" s="105"/>
      <c r="O114" s="106"/>
      <c r="P114" s="105"/>
      <c r="Q114" s="7"/>
      <c r="R114" s="107"/>
      <c r="S114" s="105" t="n">
        <v>175</v>
      </c>
      <c r="T114" s="107" t="n">
        <v>37.5</v>
      </c>
      <c r="U114" s="108" t="n">
        <v>16.19</v>
      </c>
      <c r="V114" s="95" t="n">
        <f aca="false">SUM(I114:U114)</f>
        <v>228.69</v>
      </c>
      <c r="W114" s="109" t="s">
        <v>55</v>
      </c>
      <c r="X114" s="10" t="s">
        <v>135</v>
      </c>
      <c r="Y114" s="110" t="s">
        <v>42</v>
      </c>
      <c r="Z114" s="111"/>
      <c r="AA114" s="51"/>
    </row>
    <row r="115" s="10" customFormat="true" ht="14.1" hidden="false" customHeight="true" outlineLevel="0" collapsed="false">
      <c r="A115" s="100" t="s">
        <v>26</v>
      </c>
      <c r="B115" s="2" t="s">
        <v>123</v>
      </c>
      <c r="C115" s="3" t="s">
        <v>124</v>
      </c>
      <c r="D115" s="101" t="n">
        <v>7263107</v>
      </c>
      <c r="E115" s="102" t="n">
        <v>45133</v>
      </c>
      <c r="F115" s="103" t="s">
        <v>54</v>
      </c>
      <c r="G115" s="5" t="n">
        <v>45135</v>
      </c>
      <c r="H115" s="104" t="s">
        <v>40</v>
      </c>
      <c r="I115" s="105"/>
      <c r="J115" s="106"/>
      <c r="K115" s="106"/>
      <c r="L115" s="106"/>
      <c r="M115" s="106"/>
      <c r="N115" s="105"/>
      <c r="O115" s="106"/>
      <c r="P115" s="105"/>
      <c r="Q115" s="7"/>
      <c r="R115" s="107"/>
      <c r="S115" s="105" t="n">
        <v>55</v>
      </c>
      <c r="T115" s="107"/>
      <c r="U115" s="108" t="n">
        <v>5.09</v>
      </c>
      <c r="V115" s="95" t="n">
        <f aca="false">SUM(I115:U115)</f>
        <v>60.09</v>
      </c>
      <c r="W115" s="109" t="s">
        <v>75</v>
      </c>
      <c r="X115" s="10" t="s">
        <v>125</v>
      </c>
      <c r="Y115" s="110" t="s">
        <v>42</v>
      </c>
      <c r="Z115" s="111"/>
      <c r="AA115" s="51"/>
    </row>
    <row r="116" s="10" customFormat="true" ht="14.1" hidden="false" customHeight="true" outlineLevel="0" collapsed="false">
      <c r="A116" s="100" t="s">
        <v>26</v>
      </c>
      <c r="B116" s="2" t="s">
        <v>211</v>
      </c>
      <c r="C116" s="3"/>
      <c r="D116" s="101" t="n">
        <v>7273101</v>
      </c>
      <c r="E116" s="102" t="n">
        <v>45134</v>
      </c>
      <c r="F116" s="103" t="s">
        <v>54</v>
      </c>
      <c r="G116" s="5" t="n">
        <v>45135</v>
      </c>
      <c r="H116" s="104" t="s">
        <v>29</v>
      </c>
      <c r="I116" s="105"/>
      <c r="J116" s="106"/>
      <c r="K116" s="106"/>
      <c r="L116" s="106"/>
      <c r="M116" s="106"/>
      <c r="N116" s="105"/>
      <c r="O116" s="106"/>
      <c r="P116" s="105"/>
      <c r="Q116" s="7"/>
      <c r="R116" s="107"/>
      <c r="S116" s="105" t="n">
        <v>145</v>
      </c>
      <c r="T116" s="107" t="n">
        <v>37.5</v>
      </c>
      <c r="U116" s="108" t="n">
        <v>14.86</v>
      </c>
      <c r="V116" s="95" t="n">
        <f aca="false">SUM(I116:U116)</f>
        <v>197.36</v>
      </c>
      <c r="W116" s="109" t="s">
        <v>55</v>
      </c>
      <c r="X116" s="10" t="s">
        <v>135</v>
      </c>
      <c r="Y116" s="110" t="s">
        <v>32</v>
      </c>
      <c r="Z116" s="111" t="s">
        <v>33</v>
      </c>
      <c r="AA116" s="51"/>
    </row>
    <row r="117" s="10" customFormat="true" ht="14.1" hidden="false" customHeight="true" outlineLevel="0" collapsed="false">
      <c r="A117" s="100" t="s">
        <v>26</v>
      </c>
      <c r="B117" s="2" t="s">
        <v>212</v>
      </c>
      <c r="C117" s="3"/>
      <c r="D117" s="101" t="n">
        <v>7273103</v>
      </c>
      <c r="E117" s="102" t="n">
        <v>45134</v>
      </c>
      <c r="F117" s="103" t="s">
        <v>54</v>
      </c>
      <c r="G117" s="5" t="n">
        <v>45135</v>
      </c>
      <c r="H117" s="104" t="s">
        <v>36</v>
      </c>
      <c r="I117" s="105"/>
      <c r="J117" s="106"/>
      <c r="K117" s="106"/>
      <c r="L117" s="106"/>
      <c r="M117" s="106"/>
      <c r="N117" s="105"/>
      <c r="O117" s="106"/>
      <c r="P117" s="105"/>
      <c r="Q117" s="7"/>
      <c r="R117" s="107"/>
      <c r="S117" s="105" t="n">
        <v>39</v>
      </c>
      <c r="T117" s="107" t="n">
        <v>12.5</v>
      </c>
      <c r="U117" s="108" t="n">
        <v>3.36</v>
      </c>
      <c r="V117" s="95" t="n">
        <f aca="false">SUM(I117:U117)</f>
        <v>54.86</v>
      </c>
      <c r="W117" s="109" t="s">
        <v>55</v>
      </c>
      <c r="X117" s="10" t="s">
        <v>135</v>
      </c>
      <c r="Y117" s="110" t="s">
        <v>42</v>
      </c>
      <c r="Z117" s="111"/>
      <c r="AA117" s="51"/>
    </row>
    <row r="118" s="10" customFormat="true" ht="14.1" hidden="false" customHeight="true" outlineLevel="0" collapsed="false">
      <c r="A118" s="100" t="s">
        <v>26</v>
      </c>
      <c r="B118" s="2" t="s">
        <v>213</v>
      </c>
      <c r="C118" s="3"/>
      <c r="D118" s="101" t="n">
        <v>7273104</v>
      </c>
      <c r="E118" s="102" t="n">
        <v>45134</v>
      </c>
      <c r="F118" s="103" t="s">
        <v>54</v>
      </c>
      <c r="G118" s="5" t="n">
        <v>45135</v>
      </c>
      <c r="H118" s="104" t="s">
        <v>106</v>
      </c>
      <c r="I118" s="105"/>
      <c r="J118" s="106"/>
      <c r="K118" s="106"/>
      <c r="L118" s="106"/>
      <c r="M118" s="106"/>
      <c r="N118" s="105"/>
      <c r="O118" s="106"/>
      <c r="P118" s="105"/>
      <c r="Q118" s="7"/>
      <c r="R118" s="107"/>
      <c r="S118" s="105" t="n">
        <v>260</v>
      </c>
      <c r="T118" s="107" t="n">
        <v>50</v>
      </c>
      <c r="U118" s="108" t="n">
        <v>23.73</v>
      </c>
      <c r="V118" s="95" t="n">
        <f aca="false">SUM(I118:U118)</f>
        <v>333.73</v>
      </c>
      <c r="W118" s="109" t="s">
        <v>55</v>
      </c>
      <c r="X118" s="10" t="s">
        <v>135</v>
      </c>
      <c r="Y118" s="110" t="s">
        <v>42</v>
      </c>
      <c r="Z118" s="111"/>
      <c r="AA118" s="51"/>
    </row>
    <row r="119" s="10" customFormat="true" ht="14.1" hidden="false" customHeight="true" outlineLevel="0" collapsed="false">
      <c r="A119" s="100" t="s">
        <v>26</v>
      </c>
      <c r="B119" s="2" t="s">
        <v>214</v>
      </c>
      <c r="C119" s="3"/>
      <c r="D119" s="101" t="n">
        <v>7273105</v>
      </c>
      <c r="E119" s="102" t="n">
        <v>45134</v>
      </c>
      <c r="F119" s="103" t="s">
        <v>54</v>
      </c>
      <c r="G119" s="5" t="n">
        <v>45135</v>
      </c>
      <c r="H119" s="104" t="s">
        <v>36</v>
      </c>
      <c r="I119" s="105"/>
      <c r="J119" s="106"/>
      <c r="K119" s="106"/>
      <c r="L119" s="106"/>
      <c r="M119" s="106"/>
      <c r="N119" s="105"/>
      <c r="O119" s="106"/>
      <c r="P119" s="105"/>
      <c r="Q119" s="7"/>
      <c r="R119" s="107"/>
      <c r="S119" s="105" t="n">
        <v>195</v>
      </c>
      <c r="T119" s="107" t="n">
        <v>37.5</v>
      </c>
      <c r="U119" s="108" t="n">
        <v>16.82</v>
      </c>
      <c r="V119" s="95" t="n">
        <f aca="false">SUM(I119:U119)</f>
        <v>249.32</v>
      </c>
      <c r="W119" s="109" t="s">
        <v>55</v>
      </c>
      <c r="X119" s="10" t="s">
        <v>135</v>
      </c>
      <c r="Y119" s="110" t="s">
        <v>42</v>
      </c>
      <c r="Z119" s="111"/>
      <c r="AA119" s="51"/>
    </row>
    <row r="120" s="10" customFormat="true" ht="14.1" hidden="false" customHeight="true" outlineLevel="0" collapsed="false">
      <c r="A120" s="100" t="s">
        <v>26</v>
      </c>
      <c r="B120" s="2" t="s">
        <v>63</v>
      </c>
      <c r="C120" s="3"/>
      <c r="D120" s="101" t="n">
        <v>7273106</v>
      </c>
      <c r="E120" s="102" t="n">
        <v>45134</v>
      </c>
      <c r="F120" s="103" t="s">
        <v>54</v>
      </c>
      <c r="G120" s="5" t="n">
        <v>45135</v>
      </c>
      <c r="H120" s="104" t="s">
        <v>64</v>
      </c>
      <c r="I120" s="105"/>
      <c r="J120" s="106"/>
      <c r="K120" s="106"/>
      <c r="L120" s="106"/>
      <c r="M120" s="106"/>
      <c r="N120" s="105"/>
      <c r="O120" s="106"/>
      <c r="P120" s="105"/>
      <c r="Q120" s="7"/>
      <c r="R120" s="107"/>
      <c r="S120" s="105" t="n">
        <v>149</v>
      </c>
      <c r="T120" s="107" t="n">
        <v>37.5</v>
      </c>
      <c r="U120" s="108" t="n">
        <v>13.41</v>
      </c>
      <c r="V120" s="95" t="n">
        <f aca="false">SUM(I120:U120)</f>
        <v>199.91</v>
      </c>
      <c r="W120" s="109" t="s">
        <v>55</v>
      </c>
      <c r="X120" s="10" t="s">
        <v>135</v>
      </c>
      <c r="Y120" s="110" t="s">
        <v>42</v>
      </c>
      <c r="Z120" s="111"/>
      <c r="AA120" s="51"/>
    </row>
    <row r="121" s="10" customFormat="true" ht="14.1" hidden="false" customHeight="true" outlineLevel="0" collapsed="false">
      <c r="A121" s="100" t="s">
        <v>26</v>
      </c>
      <c r="B121" s="2" t="s">
        <v>215</v>
      </c>
      <c r="C121" s="3"/>
      <c r="D121" s="101" t="n">
        <v>7273107</v>
      </c>
      <c r="E121" s="102" t="n">
        <v>45134</v>
      </c>
      <c r="F121" s="103" t="s">
        <v>54</v>
      </c>
      <c r="G121" s="5" t="n">
        <v>45135</v>
      </c>
      <c r="H121" s="104" t="s">
        <v>33</v>
      </c>
      <c r="I121" s="105"/>
      <c r="J121" s="106"/>
      <c r="K121" s="106"/>
      <c r="L121" s="106"/>
      <c r="M121" s="106"/>
      <c r="N121" s="105"/>
      <c r="O121" s="106"/>
      <c r="P121" s="105"/>
      <c r="Q121" s="7"/>
      <c r="R121" s="107"/>
      <c r="S121" s="105" t="n">
        <v>149</v>
      </c>
      <c r="T121" s="107" t="n">
        <v>37.5</v>
      </c>
      <c r="U121" s="108" t="n">
        <v>13.04</v>
      </c>
      <c r="V121" s="95" t="n">
        <f aca="false">SUM(I121:U121)</f>
        <v>199.54</v>
      </c>
      <c r="W121" s="109" t="s">
        <v>55</v>
      </c>
      <c r="X121" s="10" t="s">
        <v>135</v>
      </c>
      <c r="Y121" s="110" t="s">
        <v>32</v>
      </c>
      <c r="Z121" s="111" t="s">
        <v>33</v>
      </c>
      <c r="AA121" s="51"/>
    </row>
    <row r="122" s="10" customFormat="true" ht="14.1" hidden="false" customHeight="true" outlineLevel="0" collapsed="false">
      <c r="A122" s="100" t="s">
        <v>26</v>
      </c>
      <c r="B122" s="2" t="s">
        <v>206</v>
      </c>
      <c r="C122" s="3" t="s">
        <v>216</v>
      </c>
      <c r="D122" s="101" t="n">
        <v>7283101</v>
      </c>
      <c r="E122" s="102" t="n">
        <v>45135</v>
      </c>
      <c r="F122" s="103" t="s">
        <v>54</v>
      </c>
      <c r="G122" s="5" t="n">
        <v>45135</v>
      </c>
      <c r="H122" s="104" t="s">
        <v>97</v>
      </c>
      <c r="I122" s="105"/>
      <c r="J122" s="106"/>
      <c r="K122" s="106"/>
      <c r="L122" s="106"/>
      <c r="M122" s="106"/>
      <c r="N122" s="105"/>
      <c r="O122" s="106"/>
      <c r="P122" s="105"/>
      <c r="Q122" s="7"/>
      <c r="R122" s="107"/>
      <c r="S122" s="105" t="n">
        <v>90</v>
      </c>
      <c r="T122" s="107" t="n">
        <v>25</v>
      </c>
      <c r="U122" s="108"/>
      <c r="V122" s="95" t="n">
        <f aca="false">SUM(I122:U122)</f>
        <v>115</v>
      </c>
      <c r="W122" s="109" t="s">
        <v>55</v>
      </c>
      <c r="X122" s="10" t="s">
        <v>135</v>
      </c>
      <c r="Y122" s="110" t="s">
        <v>42</v>
      </c>
      <c r="Z122" s="111"/>
      <c r="AA122" s="51"/>
    </row>
    <row r="123" s="10" customFormat="true" ht="14.1" hidden="false" customHeight="true" outlineLevel="0" collapsed="false">
      <c r="A123" s="100" t="s">
        <v>26</v>
      </c>
      <c r="B123" s="2" t="s">
        <v>217</v>
      </c>
      <c r="C123" s="3"/>
      <c r="D123" s="101" t="n">
        <v>4203107</v>
      </c>
      <c r="E123" s="102" t="n">
        <v>45127</v>
      </c>
      <c r="F123" s="103" t="s">
        <v>54</v>
      </c>
      <c r="G123" s="5" t="n">
        <v>45135</v>
      </c>
      <c r="H123" s="104" t="s">
        <v>121</v>
      </c>
      <c r="I123" s="105"/>
      <c r="J123" s="106"/>
      <c r="K123" s="106"/>
      <c r="L123" s="106"/>
      <c r="M123" s="106"/>
      <c r="N123" s="105"/>
      <c r="O123" s="106"/>
      <c r="P123" s="105"/>
      <c r="Q123" s="7"/>
      <c r="R123" s="107"/>
      <c r="S123" s="105" t="n">
        <v>155</v>
      </c>
      <c r="T123" s="107" t="n">
        <v>37.5</v>
      </c>
      <c r="U123" s="108" t="n">
        <v>13.18</v>
      </c>
      <c r="V123" s="95" t="n">
        <f aca="false">SUM(I123:U123)</f>
        <v>205.68</v>
      </c>
      <c r="W123" s="109" t="s">
        <v>55</v>
      </c>
      <c r="X123" s="10" t="s">
        <v>135</v>
      </c>
      <c r="Y123" s="110" t="s">
        <v>32</v>
      </c>
      <c r="Z123" s="111" t="s">
        <v>33</v>
      </c>
      <c r="AA123" s="51"/>
    </row>
    <row r="124" s="10" customFormat="true" ht="14.1" hidden="false" customHeight="true" outlineLevel="0" collapsed="false">
      <c r="A124" s="100"/>
      <c r="B124" s="2"/>
      <c r="C124" s="3"/>
      <c r="D124" s="101"/>
      <c r="E124" s="102"/>
      <c r="F124" s="103"/>
      <c r="G124" s="5"/>
      <c r="H124" s="104"/>
      <c r="I124" s="105"/>
      <c r="J124" s="106"/>
      <c r="K124" s="106"/>
      <c r="L124" s="106"/>
      <c r="M124" s="106"/>
      <c r="N124" s="105"/>
      <c r="O124" s="106"/>
      <c r="P124" s="105"/>
      <c r="Q124" s="7"/>
      <c r="R124" s="107"/>
      <c r="S124" s="105"/>
      <c r="T124" s="107"/>
      <c r="U124" s="108"/>
      <c r="V124" s="95" t="n">
        <f aca="false">SUM(I124:U124)</f>
        <v>0</v>
      </c>
      <c r="W124" s="109"/>
      <c r="Y124" s="110"/>
      <c r="Z124" s="111"/>
      <c r="AA124" s="51"/>
    </row>
    <row r="125" s="10" customFormat="true" ht="14.1" hidden="false" customHeight="true" outlineLevel="0" collapsed="false">
      <c r="A125" s="100"/>
      <c r="B125" s="2"/>
      <c r="C125" s="3"/>
      <c r="D125" s="101"/>
      <c r="E125" s="102"/>
      <c r="F125" s="103"/>
      <c r="G125" s="5"/>
      <c r="H125" s="104"/>
      <c r="I125" s="105"/>
      <c r="J125" s="106"/>
      <c r="K125" s="106"/>
      <c r="L125" s="106"/>
      <c r="M125" s="106"/>
      <c r="N125" s="105"/>
      <c r="O125" s="106"/>
      <c r="P125" s="105"/>
      <c r="Q125" s="7"/>
      <c r="R125" s="107"/>
      <c r="S125" s="105"/>
      <c r="T125" s="107"/>
      <c r="U125" s="108"/>
      <c r="V125" s="95" t="n">
        <f aca="false">SUM(I125:U125)</f>
        <v>0</v>
      </c>
      <c r="W125" s="109"/>
      <c r="Y125" s="110"/>
      <c r="Z125" s="111"/>
      <c r="AA125" s="51"/>
    </row>
    <row r="126" s="10" customFormat="true" ht="14.1" hidden="false" customHeight="true" outlineLevel="0" collapsed="false">
      <c r="A126" s="100"/>
      <c r="B126" s="2"/>
      <c r="C126" s="3"/>
      <c r="D126" s="101"/>
      <c r="E126" s="102"/>
      <c r="F126" s="103"/>
      <c r="G126" s="5"/>
      <c r="H126" s="104"/>
      <c r="I126" s="105"/>
      <c r="J126" s="106"/>
      <c r="K126" s="106"/>
      <c r="L126" s="106"/>
      <c r="M126" s="106"/>
      <c r="N126" s="105"/>
      <c r="O126" s="106"/>
      <c r="P126" s="105"/>
      <c r="Q126" s="7"/>
      <c r="R126" s="107"/>
      <c r="S126" s="105"/>
      <c r="T126" s="107"/>
      <c r="U126" s="108"/>
      <c r="V126" s="95"/>
      <c r="W126" s="109"/>
      <c r="Y126" s="110"/>
      <c r="Z126" s="111"/>
      <c r="AA126" s="51"/>
    </row>
    <row r="127" s="10" customFormat="true" ht="14.1" hidden="false" customHeight="true" outlineLevel="0" collapsed="false">
      <c r="A127" s="113"/>
      <c r="B127" s="114" t="s">
        <v>21</v>
      </c>
      <c r="C127" s="115"/>
      <c r="D127" s="116"/>
      <c r="E127" s="117"/>
      <c r="F127" s="115"/>
      <c r="G127" s="118"/>
      <c r="H127" s="119"/>
      <c r="I127" s="120" t="n">
        <f aca="false">SUM(I5:I126)</f>
        <v>12864.93</v>
      </c>
      <c r="J127" s="120" t="n">
        <f aca="false">SUM(J5:J126)</f>
        <v>249</v>
      </c>
      <c r="K127" s="120" t="n">
        <f aca="false">SUM(K5:K126)</f>
        <v>1740</v>
      </c>
      <c r="L127" s="121" t="n">
        <f aca="false">SUM(L5:L126)</f>
        <v>790.92</v>
      </c>
      <c r="M127" s="122" t="n">
        <f aca="false">SUM(M5:M126)</f>
        <v>15476.76</v>
      </c>
      <c r="N127" s="123" t="n">
        <f aca="false">SUM(N5:O126)</f>
        <v>448</v>
      </c>
      <c r="O127" s="123"/>
      <c r="P127" s="124" t="n">
        <f aca="false">SUM(P5:P126)</f>
        <v>1141</v>
      </c>
      <c r="Q127" s="124" t="n">
        <f aca="false">SUM(Q5:Q126)</f>
        <v>270</v>
      </c>
      <c r="R127" s="124" t="n">
        <f aca="false">SUM(R5:R126)</f>
        <v>237.5</v>
      </c>
      <c r="S127" s="125" t="n">
        <f aca="false">SUM(S5:S126)</f>
        <v>22541</v>
      </c>
      <c r="T127" s="125" t="n">
        <f aca="false">SUM(T5:T126)</f>
        <v>3380.79</v>
      </c>
      <c r="U127" s="126" t="n">
        <f aca="false">SUM(U5:U126)</f>
        <v>2999.68</v>
      </c>
      <c r="V127" s="127" t="n">
        <f aca="false">SUM(V5:V126)</f>
        <v>62139.58</v>
      </c>
      <c r="W127" s="128"/>
      <c r="X127" s="129"/>
      <c r="Y127" s="130"/>
      <c r="Z127" s="131"/>
      <c r="AA127" s="126" t="n">
        <f aca="false">SUM(AA5:AA126)</f>
        <v>0</v>
      </c>
    </row>
    <row r="128" s="8" customFormat="true" ht="12.75" hidden="false" customHeight="true" outlineLevel="0" collapsed="false">
      <c r="A128" s="1"/>
      <c r="C128" s="132"/>
      <c r="D128" s="132"/>
      <c r="F128" s="132"/>
      <c r="G128" s="133"/>
      <c r="H128" s="134"/>
      <c r="X128" s="9"/>
      <c r="Y128" s="9"/>
      <c r="Z128" s="135"/>
    </row>
    <row r="129" customFormat="false" ht="14.25" hidden="false" customHeight="true" outlineLevel="0" collapsed="false">
      <c r="S129" s="8"/>
    </row>
    <row r="130" customFormat="false" ht="9" hidden="false" customHeight="true" outlineLevel="0" collapsed="false">
      <c r="S130" s="8"/>
    </row>
  </sheetData>
  <mergeCells count="2">
    <mergeCell ref="A1:B1"/>
    <mergeCell ref="N127:O127"/>
  </mergeCells>
  <printOptions headings="false" gridLines="true" gridLinesSet="true" horizontalCentered="false" verticalCentered="false"/>
  <pageMargins left="0" right="0" top="0.5" bottom="0" header="0.2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>&amp;C&amp;"Arial,Bold"Page &amp;P of &amp;N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8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A29" activeCellId="0" sqref="29:29"/>
    </sheetView>
  </sheetViews>
  <sheetFormatPr defaultColWidth="6.8671875" defaultRowHeight="9.7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36" width="9.14"/>
    <col collapsed="false" customWidth="true" hidden="false" outlineLevel="0" max="5" min="5" style="4" width="5.01"/>
    <col collapsed="false" customWidth="true" hidden="false" outlineLevel="0" max="6" min="6" style="137" width="10.29"/>
    <col collapsed="false" customWidth="true" hidden="false" outlineLevel="0" max="7" min="7" style="138" width="5.57"/>
    <col collapsed="false" customWidth="true" hidden="false" outlineLevel="0" max="8" min="8" style="7" width="6.71"/>
    <col collapsed="false" customWidth="true" hidden="false" outlineLevel="0" max="9" min="9" style="7" width="5.14"/>
    <col collapsed="false" customWidth="true" hidden="false" outlineLevel="0" max="10" min="10" style="7" width="5.57"/>
    <col collapsed="false" customWidth="true" hidden="false" outlineLevel="0" max="11" min="11" style="7" width="5.14"/>
    <col collapsed="false" customWidth="true" hidden="false" outlineLevel="0" max="12" min="12" style="7" width="4.86"/>
    <col collapsed="false" customWidth="true" hidden="false" outlineLevel="0" max="13" min="13" style="7" width="6.15"/>
    <col collapsed="false" customWidth="true" hidden="false" outlineLevel="0" max="14" min="14" style="7" width="5.43"/>
    <col collapsed="false" customWidth="true" hidden="false" outlineLevel="0" max="15" min="15" style="7" width="6.28"/>
    <col collapsed="false" customWidth="true" hidden="false" outlineLevel="0" max="16" min="16" style="7" width="6.71"/>
    <col collapsed="false" customWidth="true" hidden="false" outlineLevel="0" max="17" min="17" style="8" width="5.7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9" width="6.28"/>
    <col collapsed="false" customWidth="true" hidden="false" outlineLevel="0" max="21" min="21" style="140" width="9.14"/>
    <col collapsed="false" customWidth="true" hidden="false" outlineLevel="0" max="22" min="22" style="11" width="9"/>
    <col collapsed="false" customWidth="true" hidden="false" outlineLevel="0" max="23" min="23" style="10" width="6.71"/>
    <col collapsed="false" customWidth="true" hidden="false" outlineLevel="0" max="24" min="24" style="10" width="3.57"/>
    <col collapsed="false" customWidth="true" hidden="false" outlineLevel="0" max="25" min="25" style="3" width="7.57"/>
    <col collapsed="false" customWidth="true" hidden="false" outlineLevel="0" max="26" min="26" style="2" width="8.57"/>
    <col collapsed="false" customWidth="true" hidden="false" outlineLevel="0" max="27" min="27" style="2" width="7.42"/>
    <col collapsed="false" customWidth="false" hidden="false" outlineLevel="0" max="1024" min="28" style="2" width="6.86"/>
  </cols>
  <sheetData>
    <row r="1" customFormat="false" ht="18.75" hidden="false" customHeight="true" outlineLevel="0" collapsed="false">
      <c r="A1" s="141"/>
      <c r="B1" s="142" t="n">
        <v>45135</v>
      </c>
      <c r="C1" s="143"/>
      <c r="D1" s="144"/>
      <c r="E1" s="145" t="s">
        <v>218</v>
      </c>
      <c r="F1" s="146"/>
      <c r="G1" s="146"/>
      <c r="H1" s="147" t="s">
        <v>219</v>
      </c>
      <c r="I1" s="148"/>
      <c r="K1" s="149" t="s">
        <v>220</v>
      </c>
      <c r="L1" s="149"/>
      <c r="M1" s="150"/>
      <c r="N1" s="149"/>
      <c r="O1" s="151" t="s">
        <v>221</v>
      </c>
      <c r="P1" s="152"/>
      <c r="Q1" s="153"/>
      <c r="R1" s="154"/>
      <c r="S1" s="155"/>
      <c r="T1" s="156"/>
      <c r="U1" s="157"/>
      <c r="V1" s="158"/>
      <c r="W1" s="11"/>
      <c r="X1" s="11"/>
    </row>
    <row r="2" s="10" customFormat="true" ht="12.75" hidden="false" customHeight="true" outlineLevel="0" collapsed="false">
      <c r="A2" s="29" t="s">
        <v>222</v>
      </c>
      <c r="B2" s="159" t="s">
        <v>1</v>
      </c>
      <c r="C2" s="159"/>
      <c r="D2" s="160" t="s">
        <v>3</v>
      </c>
      <c r="E2" s="161" t="s">
        <v>223</v>
      </c>
      <c r="F2" s="162" t="s">
        <v>5</v>
      </c>
      <c r="G2" s="163" t="s">
        <v>224</v>
      </c>
      <c r="H2" s="164" t="s">
        <v>225</v>
      </c>
      <c r="I2" s="164" t="s">
        <v>226</v>
      </c>
      <c r="J2" s="164" t="s">
        <v>227</v>
      </c>
      <c r="K2" s="164" t="s">
        <v>228</v>
      </c>
      <c r="L2" s="129" t="s">
        <v>12</v>
      </c>
      <c r="M2" s="165" t="s">
        <v>229</v>
      </c>
      <c r="N2" s="129" t="s">
        <v>230</v>
      </c>
      <c r="O2" s="164" t="s">
        <v>231</v>
      </c>
      <c r="P2" s="164" t="s">
        <v>232</v>
      </c>
      <c r="Q2" s="129" t="s">
        <v>233</v>
      </c>
      <c r="R2" s="164" t="s">
        <v>234</v>
      </c>
      <c r="S2" s="164" t="s">
        <v>19</v>
      </c>
      <c r="T2" s="166" t="s">
        <v>20</v>
      </c>
      <c r="U2" s="159" t="s">
        <v>21</v>
      </c>
      <c r="V2" s="140"/>
      <c r="W2" s="167"/>
      <c r="X2" s="167"/>
      <c r="Y2" s="168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9"/>
      <c r="X3" s="169"/>
      <c r="Y3" s="170"/>
      <c r="Z3" s="171"/>
    </row>
    <row r="4" s="10" customFormat="true" ht="14.1" hidden="false" customHeight="true" outlineLevel="0" collapsed="false">
      <c r="A4" s="172" t="s">
        <v>26</v>
      </c>
      <c r="B4" s="173" t="s">
        <v>235</v>
      </c>
      <c r="C4" s="174"/>
      <c r="D4" s="175" t="n">
        <v>12222102</v>
      </c>
      <c r="E4" s="176" t="n">
        <v>44917</v>
      </c>
      <c r="F4" s="177" t="s">
        <v>54</v>
      </c>
      <c r="G4" s="178" t="n">
        <v>44917</v>
      </c>
      <c r="H4" s="179"/>
      <c r="I4" s="180"/>
      <c r="J4" s="180"/>
      <c r="K4" s="180"/>
      <c r="L4" s="180"/>
      <c r="M4" s="179"/>
      <c r="N4" s="180"/>
      <c r="O4" s="179"/>
      <c r="P4" s="181"/>
      <c r="Q4" s="182"/>
      <c r="R4" s="179" t="n">
        <v>323</v>
      </c>
      <c r="S4" s="182" t="n">
        <v>70</v>
      </c>
      <c r="T4" s="183" t="n">
        <v>30.28</v>
      </c>
      <c r="U4" s="184" t="n">
        <f aca="false">SUM(H4:T4)</f>
        <v>423.28</v>
      </c>
      <c r="V4" s="185" t="s">
        <v>236</v>
      </c>
      <c r="W4" s="186" t="s">
        <v>135</v>
      </c>
      <c r="X4" s="110" t="s">
        <v>42</v>
      </c>
      <c r="Y4" s="187"/>
      <c r="Z4" s="51"/>
    </row>
    <row r="5" s="10" customFormat="true" ht="14.1" hidden="false" customHeight="true" outlineLevel="0" collapsed="false">
      <c r="A5" s="172" t="s">
        <v>45</v>
      </c>
      <c r="B5" s="173" t="s">
        <v>237</v>
      </c>
      <c r="C5" s="174"/>
      <c r="D5" s="175" t="n">
        <v>2072064</v>
      </c>
      <c r="E5" s="176" t="n">
        <v>44964</v>
      </c>
      <c r="F5" s="177" t="s">
        <v>54</v>
      </c>
      <c r="G5" s="178" t="n">
        <v>44964</v>
      </c>
      <c r="H5" s="179"/>
      <c r="I5" s="180"/>
      <c r="J5" s="180"/>
      <c r="K5" s="180"/>
      <c r="L5" s="180"/>
      <c r="M5" s="179"/>
      <c r="N5" s="180"/>
      <c r="O5" s="179"/>
      <c r="P5" s="181"/>
      <c r="Q5" s="182"/>
      <c r="R5" s="179" t="n">
        <v>79</v>
      </c>
      <c r="S5" s="182"/>
      <c r="T5" s="183"/>
      <c r="U5" s="184" t="n">
        <f aca="false">SUM(H5:T5)</f>
        <v>79</v>
      </c>
      <c r="V5" s="185" t="s">
        <v>75</v>
      </c>
      <c r="W5" s="186" t="s">
        <v>238</v>
      </c>
      <c r="X5" s="110" t="s">
        <v>42</v>
      </c>
      <c r="Y5" s="187"/>
      <c r="Z5" s="51"/>
    </row>
    <row r="6" s="10" customFormat="true" ht="14.1" hidden="false" customHeight="true" outlineLevel="0" collapsed="false">
      <c r="A6" s="172" t="s">
        <v>26</v>
      </c>
      <c r="B6" s="173" t="s">
        <v>239</v>
      </c>
      <c r="C6" s="174"/>
      <c r="D6" s="175" t="n">
        <v>2143103</v>
      </c>
      <c r="E6" s="176" t="n">
        <v>44971</v>
      </c>
      <c r="F6" s="177" t="s">
        <v>54</v>
      </c>
      <c r="G6" s="178" t="n">
        <v>44971</v>
      </c>
      <c r="H6" s="179"/>
      <c r="I6" s="180"/>
      <c r="J6" s="180"/>
      <c r="K6" s="180"/>
      <c r="L6" s="180"/>
      <c r="M6" s="179"/>
      <c r="N6" s="180"/>
      <c r="O6" s="179"/>
      <c r="P6" s="181"/>
      <c r="Q6" s="182"/>
      <c r="R6" s="179" t="n">
        <v>90</v>
      </c>
      <c r="S6" s="182" t="n">
        <v>10</v>
      </c>
      <c r="T6" s="183" t="n">
        <v>8.44</v>
      </c>
      <c r="U6" s="184" t="n">
        <f aca="false">SUM(H6:T6)</f>
        <v>108.44</v>
      </c>
      <c r="V6" s="185" t="s">
        <v>236</v>
      </c>
      <c r="W6" s="186" t="s">
        <v>26</v>
      </c>
      <c r="X6" s="110" t="s">
        <v>42</v>
      </c>
      <c r="Y6" s="187"/>
      <c r="Z6" s="51"/>
    </row>
    <row r="7" s="205" customFormat="true" ht="14.1" hidden="false" customHeight="true" outlineLevel="0" collapsed="false">
      <c r="A7" s="188" t="s">
        <v>26</v>
      </c>
      <c r="B7" s="189" t="s">
        <v>240</v>
      </c>
      <c r="C7" s="190"/>
      <c r="D7" s="191" t="n">
        <v>2273108</v>
      </c>
      <c r="E7" s="192" t="n">
        <v>44984</v>
      </c>
      <c r="F7" s="193" t="s">
        <v>54</v>
      </c>
      <c r="G7" s="178" t="n">
        <v>44985</v>
      </c>
      <c r="H7" s="194"/>
      <c r="I7" s="195"/>
      <c r="J7" s="195"/>
      <c r="K7" s="195"/>
      <c r="L7" s="195"/>
      <c r="M7" s="194"/>
      <c r="N7" s="195"/>
      <c r="O7" s="194"/>
      <c r="P7" s="196"/>
      <c r="Q7" s="197"/>
      <c r="R7" s="194" t="n">
        <v>120</v>
      </c>
      <c r="S7" s="197" t="n">
        <v>25</v>
      </c>
      <c r="T7" s="198" t="n">
        <v>10.2</v>
      </c>
      <c r="U7" s="199" t="n">
        <f aca="false">SUM(H7:T7)</f>
        <v>155.2</v>
      </c>
      <c r="V7" s="200" t="s">
        <v>236</v>
      </c>
      <c r="W7" s="201" t="s">
        <v>135</v>
      </c>
      <c r="X7" s="202" t="s">
        <v>42</v>
      </c>
      <c r="Y7" s="203"/>
      <c r="Z7" s="204"/>
    </row>
    <row r="8" s="10" customFormat="true" ht="14.1" hidden="false" customHeight="true" outlineLevel="0" collapsed="false">
      <c r="A8" s="206" t="s">
        <v>26</v>
      </c>
      <c r="B8" s="173" t="s">
        <v>241</v>
      </c>
      <c r="C8" s="174"/>
      <c r="D8" s="175" t="n">
        <v>3023108</v>
      </c>
      <c r="E8" s="176" t="n">
        <v>44987</v>
      </c>
      <c r="F8" s="177" t="s">
        <v>54</v>
      </c>
      <c r="G8" s="178" t="n">
        <v>44987</v>
      </c>
      <c r="H8" s="179"/>
      <c r="I8" s="180"/>
      <c r="J8" s="180"/>
      <c r="K8" s="180"/>
      <c r="L8" s="180"/>
      <c r="M8" s="179"/>
      <c r="N8" s="180"/>
      <c r="O8" s="179"/>
      <c r="P8" s="181"/>
      <c r="Q8" s="182"/>
      <c r="R8" s="179" t="n">
        <v>213</v>
      </c>
      <c r="S8" s="182" t="n">
        <v>50</v>
      </c>
      <c r="T8" s="183" t="n">
        <v>21.83</v>
      </c>
      <c r="U8" s="184" t="n">
        <f aca="false">SUM(H8:T8)</f>
        <v>284.83</v>
      </c>
      <c r="V8" s="185" t="s">
        <v>236</v>
      </c>
      <c r="W8" s="186" t="s">
        <v>135</v>
      </c>
      <c r="X8" s="110" t="s">
        <v>42</v>
      </c>
      <c r="Y8" s="187"/>
      <c r="Z8" s="51"/>
    </row>
    <row r="9" s="10" customFormat="true" ht="14.1" hidden="false" customHeight="true" outlineLevel="0" collapsed="false">
      <c r="A9" s="206" t="s">
        <v>26</v>
      </c>
      <c r="B9" s="173" t="s">
        <v>242</v>
      </c>
      <c r="C9" s="174"/>
      <c r="D9" s="175" t="n">
        <v>3093104</v>
      </c>
      <c r="E9" s="176" t="n">
        <v>44994</v>
      </c>
      <c r="F9" s="177" t="s">
        <v>54</v>
      </c>
      <c r="G9" s="178" t="n">
        <v>44995</v>
      </c>
      <c r="H9" s="179"/>
      <c r="I9" s="180"/>
      <c r="J9" s="180"/>
      <c r="K9" s="180"/>
      <c r="L9" s="180"/>
      <c r="M9" s="179"/>
      <c r="N9" s="180"/>
      <c r="O9" s="179"/>
      <c r="P9" s="181"/>
      <c r="Q9" s="182"/>
      <c r="R9" s="179" t="n">
        <v>39</v>
      </c>
      <c r="S9" s="182" t="n">
        <v>12.5</v>
      </c>
      <c r="T9" s="183" t="n">
        <v>4</v>
      </c>
      <c r="U9" s="184" t="n">
        <f aca="false">SUM(H9:T9)</f>
        <v>55.5</v>
      </c>
      <c r="V9" s="185" t="s">
        <v>55</v>
      </c>
      <c r="W9" s="186" t="s">
        <v>135</v>
      </c>
      <c r="X9" s="110" t="s">
        <v>42</v>
      </c>
      <c r="Y9" s="187"/>
      <c r="Z9" s="51"/>
    </row>
    <row r="10" s="10" customFormat="true" ht="14.1" hidden="false" customHeight="true" outlineLevel="0" collapsed="false">
      <c r="A10" s="206" t="s">
        <v>26</v>
      </c>
      <c r="B10" s="173" t="s">
        <v>111</v>
      </c>
      <c r="C10" s="174"/>
      <c r="D10" s="175" t="n">
        <v>3133101</v>
      </c>
      <c r="E10" s="176" t="n">
        <v>44998</v>
      </c>
      <c r="F10" s="177" t="s">
        <v>54</v>
      </c>
      <c r="G10" s="178" t="n">
        <v>44998</v>
      </c>
      <c r="H10" s="179"/>
      <c r="I10" s="180"/>
      <c r="J10" s="180"/>
      <c r="K10" s="180"/>
      <c r="L10" s="180"/>
      <c r="M10" s="179"/>
      <c r="N10" s="180"/>
      <c r="O10" s="179"/>
      <c r="P10" s="181"/>
      <c r="Q10" s="182"/>
      <c r="R10" s="179" t="n">
        <v>298</v>
      </c>
      <c r="S10" s="182" t="n">
        <v>62.5</v>
      </c>
      <c r="T10" s="183" t="n">
        <v>24.59</v>
      </c>
      <c r="U10" s="184" t="n">
        <f aca="false">SUM(H10:T10)</f>
        <v>385.09</v>
      </c>
      <c r="V10" s="185" t="s">
        <v>55</v>
      </c>
      <c r="W10" s="186" t="s">
        <v>31</v>
      </c>
      <c r="X10" s="110" t="s">
        <v>42</v>
      </c>
      <c r="Y10" s="187"/>
      <c r="Z10" s="51"/>
    </row>
    <row r="11" s="10" customFormat="true" ht="14.1" hidden="false" customHeight="true" outlineLevel="0" collapsed="false">
      <c r="A11" s="206" t="s">
        <v>26</v>
      </c>
      <c r="B11" s="173" t="s">
        <v>243</v>
      </c>
      <c r="C11" s="174" t="s">
        <v>244</v>
      </c>
      <c r="D11" s="175" t="n">
        <v>3213106</v>
      </c>
      <c r="E11" s="176" t="n">
        <v>45006</v>
      </c>
      <c r="F11" s="177" t="s">
        <v>54</v>
      </c>
      <c r="G11" s="178" t="n">
        <v>45006</v>
      </c>
      <c r="H11" s="179"/>
      <c r="I11" s="180"/>
      <c r="J11" s="180"/>
      <c r="K11" s="180"/>
      <c r="L11" s="180"/>
      <c r="M11" s="179"/>
      <c r="N11" s="180"/>
      <c r="O11" s="179"/>
      <c r="P11" s="181"/>
      <c r="Q11" s="182"/>
      <c r="R11" s="179" t="n">
        <v>45</v>
      </c>
      <c r="S11" s="182" t="n">
        <v>12.5</v>
      </c>
      <c r="T11" s="183" t="n">
        <v>3.94</v>
      </c>
      <c r="U11" s="184" t="n">
        <f aca="false">SUM(H11:T11)</f>
        <v>61.44</v>
      </c>
      <c r="V11" s="185" t="s">
        <v>55</v>
      </c>
      <c r="W11" s="186" t="s">
        <v>37</v>
      </c>
      <c r="X11" s="110" t="s">
        <v>42</v>
      </c>
      <c r="Y11" s="187"/>
      <c r="Z11" s="51"/>
    </row>
    <row r="12" s="10" customFormat="true" ht="14.1" hidden="false" customHeight="true" outlineLevel="0" collapsed="false">
      <c r="A12" s="206" t="s">
        <v>26</v>
      </c>
      <c r="B12" s="173" t="s">
        <v>245</v>
      </c>
      <c r="C12" s="174"/>
      <c r="D12" s="175" t="n">
        <v>3223101</v>
      </c>
      <c r="E12" s="176" t="n">
        <v>45007</v>
      </c>
      <c r="F12" s="177" t="s">
        <v>54</v>
      </c>
      <c r="G12" s="178" t="n">
        <v>45007</v>
      </c>
      <c r="H12" s="179"/>
      <c r="I12" s="180"/>
      <c r="J12" s="180"/>
      <c r="K12" s="180"/>
      <c r="L12" s="180"/>
      <c r="M12" s="179"/>
      <c r="N12" s="180"/>
      <c r="O12" s="179"/>
      <c r="P12" s="181"/>
      <c r="Q12" s="182"/>
      <c r="R12" s="179" t="n">
        <v>247</v>
      </c>
      <c r="S12" s="182" t="n">
        <v>62.5</v>
      </c>
      <c r="T12" s="183" t="n">
        <v>21</v>
      </c>
      <c r="U12" s="184" t="n">
        <f aca="false">SUM(H12:T12)</f>
        <v>330.5</v>
      </c>
      <c r="V12" s="185" t="s">
        <v>55</v>
      </c>
      <c r="W12" s="186" t="s">
        <v>135</v>
      </c>
      <c r="X12" s="110" t="s">
        <v>42</v>
      </c>
      <c r="Y12" s="187"/>
      <c r="Z12" s="51"/>
    </row>
    <row r="13" s="10" customFormat="true" ht="14.1" hidden="false" customHeight="true" outlineLevel="0" collapsed="false">
      <c r="A13" s="206" t="s">
        <v>26</v>
      </c>
      <c r="B13" s="173" t="s">
        <v>246</v>
      </c>
      <c r="C13" s="174"/>
      <c r="D13" s="175" t="n">
        <v>3223103</v>
      </c>
      <c r="E13" s="176" t="n">
        <v>45007</v>
      </c>
      <c r="F13" s="177" t="s">
        <v>54</v>
      </c>
      <c r="G13" s="178" t="n">
        <v>45007</v>
      </c>
      <c r="H13" s="179"/>
      <c r="I13" s="180"/>
      <c r="J13" s="180"/>
      <c r="K13" s="180"/>
      <c r="L13" s="180"/>
      <c r="M13" s="179"/>
      <c r="N13" s="180"/>
      <c r="O13" s="179"/>
      <c r="P13" s="181"/>
      <c r="Q13" s="182"/>
      <c r="R13" s="179" t="n">
        <v>188</v>
      </c>
      <c r="S13" s="182" t="n">
        <v>50</v>
      </c>
      <c r="T13" s="183" t="n">
        <v>16.22</v>
      </c>
      <c r="U13" s="184" t="n">
        <f aca="false">SUM(H13:T13)</f>
        <v>254.22</v>
      </c>
      <c r="V13" s="185" t="s">
        <v>55</v>
      </c>
      <c r="W13" s="186" t="s">
        <v>135</v>
      </c>
      <c r="X13" s="110" t="s">
        <v>42</v>
      </c>
      <c r="Y13" s="187"/>
      <c r="Z13" s="51"/>
    </row>
    <row r="14" s="10" customFormat="true" ht="14.1" hidden="false" customHeight="true" outlineLevel="0" collapsed="false">
      <c r="A14" s="206" t="s">
        <v>26</v>
      </c>
      <c r="B14" s="173" t="s">
        <v>243</v>
      </c>
      <c r="C14" s="174" t="s">
        <v>244</v>
      </c>
      <c r="D14" s="175" t="n">
        <v>3243105</v>
      </c>
      <c r="E14" s="176" t="n">
        <v>45009</v>
      </c>
      <c r="F14" s="177" t="s">
        <v>54</v>
      </c>
      <c r="G14" s="178" t="n">
        <v>45009</v>
      </c>
      <c r="H14" s="179"/>
      <c r="I14" s="180"/>
      <c r="J14" s="180"/>
      <c r="K14" s="180"/>
      <c r="L14" s="180"/>
      <c r="M14" s="179"/>
      <c r="N14" s="180"/>
      <c r="O14" s="179"/>
      <c r="P14" s="181"/>
      <c r="Q14" s="182"/>
      <c r="R14" s="179" t="n">
        <v>45</v>
      </c>
      <c r="S14" s="182" t="n">
        <v>12.5</v>
      </c>
      <c r="T14" s="183" t="n">
        <v>3.94</v>
      </c>
      <c r="U14" s="184" t="n">
        <f aca="false">SUM(H14:T14)</f>
        <v>61.44</v>
      </c>
      <c r="V14" s="185" t="s">
        <v>55</v>
      </c>
      <c r="W14" s="186" t="s">
        <v>135</v>
      </c>
      <c r="X14" s="110" t="s">
        <v>42</v>
      </c>
      <c r="Y14" s="187"/>
      <c r="Z14" s="51"/>
    </row>
    <row r="15" s="10" customFormat="true" ht="14.1" hidden="false" customHeight="true" outlineLevel="0" collapsed="false">
      <c r="A15" s="207"/>
      <c r="B15" s="208"/>
      <c r="C15" s="209"/>
      <c r="D15" s="209"/>
      <c r="E15" s="210"/>
      <c r="F15" s="211"/>
      <c r="G15" s="212"/>
      <c r="H15" s="213"/>
      <c r="I15" s="213"/>
      <c r="J15" s="214"/>
      <c r="K15" s="214"/>
      <c r="L15" s="214"/>
      <c r="M15" s="213"/>
      <c r="N15" s="213"/>
      <c r="O15" s="213"/>
      <c r="P15" s="128"/>
      <c r="Q15" s="215"/>
      <c r="R15" s="213"/>
      <c r="S15" s="215"/>
      <c r="T15" s="216"/>
      <c r="U15" s="217"/>
      <c r="V15" s="218"/>
      <c r="W15" s="29"/>
      <c r="X15" s="29"/>
      <c r="Y15" s="219" t="n">
        <f aca="false">SUM(U4:U14)</f>
        <v>2198.94</v>
      </c>
      <c r="Z15" s="220" t="n">
        <f aca="false">Y15/V60</f>
        <v>0.134246814527379</v>
      </c>
      <c r="AA15" s="51"/>
    </row>
    <row r="16" s="10" customFormat="true" ht="13.15" hidden="false" customHeight="true" outlineLevel="0" collapsed="false">
      <c r="A16" s="206" t="s">
        <v>26</v>
      </c>
      <c r="B16" s="173" t="s">
        <v>247</v>
      </c>
      <c r="C16" s="174" t="s">
        <v>248</v>
      </c>
      <c r="D16" s="175" t="n">
        <v>4073101</v>
      </c>
      <c r="E16" s="176" t="n">
        <v>45023</v>
      </c>
      <c r="F16" s="177" t="s">
        <v>54</v>
      </c>
      <c r="G16" s="178" t="n">
        <v>45023</v>
      </c>
      <c r="H16" s="179"/>
      <c r="I16" s="180"/>
      <c r="J16" s="180"/>
      <c r="K16" s="180"/>
      <c r="L16" s="180"/>
      <c r="M16" s="179"/>
      <c r="N16" s="180"/>
      <c r="O16" s="179"/>
      <c r="P16" s="181"/>
      <c r="Q16" s="182"/>
      <c r="R16" s="179" t="n">
        <v>149</v>
      </c>
      <c r="S16" s="182" t="n">
        <v>37.5</v>
      </c>
      <c r="T16" s="183" t="n">
        <v>15.27</v>
      </c>
      <c r="U16" s="184" t="n">
        <f aca="false">SUM(H16:T16)</f>
        <v>201.77</v>
      </c>
      <c r="V16" s="185" t="s">
        <v>55</v>
      </c>
      <c r="W16" s="186" t="s">
        <v>135</v>
      </c>
      <c r="X16" s="110" t="s">
        <v>42</v>
      </c>
      <c r="Y16" s="187"/>
      <c r="Z16" s="51"/>
    </row>
    <row r="17" s="10" customFormat="true" ht="13.15" hidden="false" customHeight="true" outlineLevel="0" collapsed="false">
      <c r="A17" s="206" t="s">
        <v>26</v>
      </c>
      <c r="B17" s="173" t="s">
        <v>111</v>
      </c>
      <c r="C17" s="174"/>
      <c r="D17" s="175" t="n">
        <v>4103101</v>
      </c>
      <c r="E17" s="176" t="n">
        <v>45026</v>
      </c>
      <c r="F17" s="177" t="s">
        <v>54</v>
      </c>
      <c r="G17" s="178" t="n">
        <v>45026</v>
      </c>
      <c r="H17" s="179"/>
      <c r="I17" s="180"/>
      <c r="J17" s="180"/>
      <c r="K17" s="180"/>
      <c r="L17" s="180"/>
      <c r="M17" s="179"/>
      <c r="N17" s="180"/>
      <c r="O17" s="179"/>
      <c r="P17" s="181"/>
      <c r="Q17" s="182"/>
      <c r="R17" s="179" t="n">
        <v>415</v>
      </c>
      <c r="S17" s="182" t="n">
        <v>62.5</v>
      </c>
      <c r="T17" s="183" t="n">
        <v>34.24</v>
      </c>
      <c r="U17" s="184" t="n">
        <f aca="false">SUM(H17:T17)</f>
        <v>511.74</v>
      </c>
      <c r="V17" s="185" t="s">
        <v>55</v>
      </c>
      <c r="W17" s="186" t="s">
        <v>135</v>
      </c>
      <c r="X17" s="110" t="s">
        <v>42</v>
      </c>
      <c r="Y17" s="187"/>
      <c r="Z17" s="51"/>
    </row>
    <row r="18" s="10" customFormat="true" ht="13.15" hidden="false" customHeight="true" outlineLevel="0" collapsed="false">
      <c r="A18" s="206" t="s">
        <v>26</v>
      </c>
      <c r="B18" s="173" t="s">
        <v>249</v>
      </c>
      <c r="C18" s="174"/>
      <c r="D18" s="175" t="n">
        <v>4113106</v>
      </c>
      <c r="E18" s="176" t="n">
        <v>45027</v>
      </c>
      <c r="F18" s="177" t="s">
        <v>54</v>
      </c>
      <c r="G18" s="178" t="n">
        <v>45027</v>
      </c>
      <c r="H18" s="179"/>
      <c r="I18" s="180"/>
      <c r="J18" s="180"/>
      <c r="K18" s="180"/>
      <c r="L18" s="180"/>
      <c r="M18" s="179"/>
      <c r="N18" s="180"/>
      <c r="O18" s="179"/>
      <c r="P18" s="181"/>
      <c r="Q18" s="182"/>
      <c r="R18" s="179" t="n">
        <v>65</v>
      </c>
      <c r="S18" s="182" t="n">
        <v>12.5</v>
      </c>
      <c r="T18" s="183" t="n">
        <v>6.09</v>
      </c>
      <c r="U18" s="184" t="n">
        <f aca="false">SUM(H18:T18)</f>
        <v>83.59</v>
      </c>
      <c r="V18" s="185" t="s">
        <v>55</v>
      </c>
      <c r="W18" s="186" t="s">
        <v>26</v>
      </c>
      <c r="X18" s="110" t="s">
        <v>42</v>
      </c>
      <c r="Y18" s="187"/>
      <c r="Z18" s="51"/>
    </row>
    <row r="19" s="10" customFormat="true" ht="13.15" hidden="false" customHeight="true" outlineLevel="0" collapsed="false">
      <c r="A19" s="206" t="s">
        <v>45</v>
      </c>
      <c r="B19" s="173" t="s">
        <v>250</v>
      </c>
      <c r="C19" s="174"/>
      <c r="D19" s="175" t="n">
        <v>4143062</v>
      </c>
      <c r="E19" s="176" t="n">
        <v>45030</v>
      </c>
      <c r="F19" s="177" t="s">
        <v>54</v>
      </c>
      <c r="G19" s="178" t="n">
        <v>45030</v>
      </c>
      <c r="H19" s="179"/>
      <c r="I19" s="180"/>
      <c r="J19" s="180"/>
      <c r="K19" s="180"/>
      <c r="L19" s="180"/>
      <c r="M19" s="179"/>
      <c r="N19" s="180"/>
      <c r="O19" s="179"/>
      <c r="P19" s="181"/>
      <c r="Q19" s="182"/>
      <c r="R19" s="179" t="n">
        <v>130</v>
      </c>
      <c r="S19" s="182" t="n">
        <v>25</v>
      </c>
      <c r="T19" s="183" t="n">
        <v>11.21</v>
      </c>
      <c r="U19" s="184" t="n">
        <f aca="false">SUM(H19:T19)</f>
        <v>166.21</v>
      </c>
      <c r="V19" s="185" t="s">
        <v>55</v>
      </c>
      <c r="W19" s="186" t="s">
        <v>45</v>
      </c>
      <c r="X19" s="110" t="s">
        <v>42</v>
      </c>
      <c r="Y19" s="187"/>
      <c r="Z19" s="51"/>
    </row>
    <row r="20" s="10" customFormat="true" ht="14.1" hidden="false" customHeight="true" outlineLevel="0" collapsed="false">
      <c r="A20" s="206" t="s">
        <v>26</v>
      </c>
      <c r="B20" s="173" t="s">
        <v>251</v>
      </c>
      <c r="C20" s="174"/>
      <c r="D20" s="175" t="n">
        <v>4173104</v>
      </c>
      <c r="E20" s="176" t="n">
        <v>45033</v>
      </c>
      <c r="F20" s="177" t="s">
        <v>54</v>
      </c>
      <c r="G20" s="178" t="n">
        <v>45033</v>
      </c>
      <c r="H20" s="179"/>
      <c r="I20" s="180"/>
      <c r="J20" s="180"/>
      <c r="K20" s="180"/>
      <c r="L20" s="180"/>
      <c r="M20" s="179"/>
      <c r="N20" s="180"/>
      <c r="O20" s="179"/>
      <c r="P20" s="181"/>
      <c r="Q20" s="182"/>
      <c r="R20" s="179" t="n">
        <v>435</v>
      </c>
      <c r="S20" s="182" t="n">
        <v>87.5</v>
      </c>
      <c r="T20" s="183" t="n">
        <v>33.71</v>
      </c>
      <c r="U20" s="184" t="n">
        <f aca="false">SUM(H20:T20)</f>
        <v>556.21</v>
      </c>
      <c r="V20" s="185" t="s">
        <v>55</v>
      </c>
      <c r="W20" s="186" t="s">
        <v>135</v>
      </c>
      <c r="X20" s="110" t="s">
        <v>42</v>
      </c>
      <c r="Y20" s="187"/>
      <c r="Z20" s="51"/>
    </row>
    <row r="21" s="10" customFormat="true" ht="14.1" hidden="false" customHeight="true" outlineLevel="0" collapsed="false">
      <c r="A21" s="206" t="s">
        <v>26</v>
      </c>
      <c r="B21" s="173" t="s">
        <v>252</v>
      </c>
      <c r="C21" s="174"/>
      <c r="D21" s="175" t="n">
        <v>4243107</v>
      </c>
      <c r="E21" s="176" t="n">
        <v>45040</v>
      </c>
      <c r="F21" s="177" t="s">
        <v>54</v>
      </c>
      <c r="G21" s="178" t="n">
        <v>45041</v>
      </c>
      <c r="H21" s="179"/>
      <c r="I21" s="180"/>
      <c r="J21" s="180"/>
      <c r="K21" s="180"/>
      <c r="L21" s="180"/>
      <c r="M21" s="179"/>
      <c r="N21" s="180"/>
      <c r="O21" s="179"/>
      <c r="P21" s="181"/>
      <c r="Q21" s="182"/>
      <c r="R21" s="179" t="n">
        <v>317</v>
      </c>
      <c r="S21" s="182" t="n">
        <v>62.5</v>
      </c>
      <c r="T21" s="183" t="n">
        <v>26.15</v>
      </c>
      <c r="U21" s="184" t="n">
        <f aca="false">SUM(H21:T21)</f>
        <v>405.65</v>
      </c>
      <c r="V21" s="185" t="s">
        <v>55</v>
      </c>
      <c r="W21" s="186" t="s">
        <v>135</v>
      </c>
      <c r="X21" s="110" t="s">
        <v>42</v>
      </c>
      <c r="Y21" s="187"/>
      <c r="Z21" s="51"/>
    </row>
    <row r="22" s="10" customFormat="true" ht="14.1" hidden="false" customHeight="true" outlineLevel="0" collapsed="false">
      <c r="A22" s="206" t="s">
        <v>26</v>
      </c>
      <c r="B22" s="173" t="s">
        <v>206</v>
      </c>
      <c r="C22" s="174" t="s">
        <v>216</v>
      </c>
      <c r="D22" s="175" t="n">
        <v>4253102</v>
      </c>
      <c r="E22" s="176" t="n">
        <v>45041</v>
      </c>
      <c r="F22" s="177" t="s">
        <v>54</v>
      </c>
      <c r="G22" s="178" t="n">
        <v>45041</v>
      </c>
      <c r="H22" s="179"/>
      <c r="I22" s="180"/>
      <c r="J22" s="180"/>
      <c r="K22" s="180"/>
      <c r="L22" s="180"/>
      <c r="M22" s="179"/>
      <c r="N22" s="180"/>
      <c r="O22" s="179"/>
      <c r="P22" s="181"/>
      <c r="Q22" s="182"/>
      <c r="R22" s="179" t="n">
        <v>90</v>
      </c>
      <c r="S22" s="182" t="n">
        <v>50</v>
      </c>
      <c r="T22" s="183"/>
      <c r="U22" s="184" t="n">
        <f aca="false">SUM(H22:T22)</f>
        <v>140</v>
      </c>
      <c r="V22" s="185" t="s">
        <v>55</v>
      </c>
      <c r="W22" s="186" t="s">
        <v>135</v>
      </c>
      <c r="X22" s="110" t="s">
        <v>32</v>
      </c>
      <c r="Y22" s="187" t="n">
        <v>70</v>
      </c>
      <c r="Z22" s="51"/>
    </row>
    <row r="23" s="10" customFormat="true" ht="14.1" hidden="false" customHeight="true" outlineLevel="0" collapsed="false">
      <c r="A23" s="206" t="s">
        <v>26</v>
      </c>
      <c r="B23" s="173" t="s">
        <v>253</v>
      </c>
      <c r="C23" s="174"/>
      <c r="D23" s="175" t="n">
        <v>4253101</v>
      </c>
      <c r="E23" s="176" t="n">
        <v>45041</v>
      </c>
      <c r="F23" s="177" t="s">
        <v>54</v>
      </c>
      <c r="G23" s="178" t="n">
        <v>45043</v>
      </c>
      <c r="H23" s="179"/>
      <c r="I23" s="180"/>
      <c r="J23" s="180"/>
      <c r="K23" s="180"/>
      <c r="L23" s="180"/>
      <c r="M23" s="179"/>
      <c r="N23" s="180"/>
      <c r="O23" s="179"/>
      <c r="P23" s="181"/>
      <c r="Q23" s="182"/>
      <c r="R23" s="179" t="n">
        <v>55</v>
      </c>
      <c r="S23" s="182" t="n">
        <v>12.5</v>
      </c>
      <c r="T23" s="183" t="n">
        <v>4.68</v>
      </c>
      <c r="U23" s="184" t="n">
        <f aca="false">SUM(H23:T23)</f>
        <v>72.18</v>
      </c>
      <c r="V23" s="185" t="s">
        <v>55</v>
      </c>
      <c r="W23" s="186" t="s">
        <v>135</v>
      </c>
      <c r="X23" s="110" t="s">
        <v>42</v>
      </c>
      <c r="Y23" s="187"/>
      <c r="Z23" s="51"/>
    </row>
    <row r="24" s="10" customFormat="true" ht="14.1" hidden="false" customHeight="true" outlineLevel="0" collapsed="false">
      <c r="A24" s="206" t="s">
        <v>26</v>
      </c>
      <c r="B24" s="173" t="s">
        <v>254</v>
      </c>
      <c r="C24" s="174"/>
      <c r="D24" s="175" t="n">
        <v>4263104</v>
      </c>
      <c r="E24" s="176" t="n">
        <v>45042</v>
      </c>
      <c r="F24" s="177" t="s">
        <v>54</v>
      </c>
      <c r="G24" s="178" t="n">
        <v>45043</v>
      </c>
      <c r="H24" s="179"/>
      <c r="I24" s="180"/>
      <c r="J24" s="180"/>
      <c r="K24" s="180"/>
      <c r="L24" s="180"/>
      <c r="M24" s="179"/>
      <c r="N24" s="180"/>
      <c r="O24" s="179"/>
      <c r="P24" s="181"/>
      <c r="Q24" s="182"/>
      <c r="R24" s="179" t="n">
        <v>65</v>
      </c>
      <c r="S24" s="182" t="n">
        <v>12.5</v>
      </c>
      <c r="T24" s="183" t="n">
        <v>5.61</v>
      </c>
      <c r="U24" s="184" t="n">
        <f aca="false">SUM(H24:T24)</f>
        <v>83.11</v>
      </c>
      <c r="V24" s="185" t="s">
        <v>55</v>
      </c>
      <c r="W24" s="186" t="s">
        <v>135</v>
      </c>
      <c r="X24" s="110" t="s">
        <v>42</v>
      </c>
      <c r="Y24" s="187"/>
      <c r="Z24" s="51"/>
    </row>
    <row r="25" s="10" customFormat="true" ht="14.1" hidden="false" customHeight="true" outlineLevel="0" collapsed="false">
      <c r="A25" s="207"/>
      <c r="B25" s="208"/>
      <c r="C25" s="209"/>
      <c r="D25" s="209"/>
      <c r="E25" s="210"/>
      <c r="F25" s="211"/>
      <c r="G25" s="212"/>
      <c r="H25" s="213"/>
      <c r="I25" s="213"/>
      <c r="J25" s="214"/>
      <c r="K25" s="214"/>
      <c r="L25" s="214"/>
      <c r="M25" s="213"/>
      <c r="N25" s="213"/>
      <c r="O25" s="213"/>
      <c r="P25" s="128"/>
      <c r="Q25" s="215"/>
      <c r="R25" s="213"/>
      <c r="S25" s="215"/>
      <c r="T25" s="216"/>
      <c r="U25" s="217"/>
      <c r="V25" s="218"/>
      <c r="W25" s="29"/>
      <c r="X25" s="29"/>
      <c r="Y25" s="221" t="n">
        <f aca="false">SUM(U16:U24)</f>
        <v>2220.46</v>
      </c>
      <c r="Z25" s="220" t="n">
        <f aca="false">Y25/V60</f>
        <v>0.135560625476577</v>
      </c>
      <c r="AA25" s="51"/>
    </row>
    <row r="26" s="10" customFormat="true" ht="14.1" hidden="false" customHeight="true" outlineLevel="0" collapsed="false">
      <c r="A26" s="222" t="s">
        <v>102</v>
      </c>
      <c r="B26" s="223" t="s">
        <v>255</v>
      </c>
      <c r="C26" s="224"/>
      <c r="D26" s="225" t="n">
        <v>5013262</v>
      </c>
      <c r="E26" s="226" t="n">
        <v>45047</v>
      </c>
      <c r="F26" s="227" t="s">
        <v>256</v>
      </c>
      <c r="G26" s="228" t="n">
        <v>45047</v>
      </c>
      <c r="H26" s="229"/>
      <c r="I26" s="230"/>
      <c r="J26" s="230"/>
      <c r="K26" s="230"/>
      <c r="L26" s="230"/>
      <c r="M26" s="229"/>
      <c r="N26" s="230"/>
      <c r="O26" s="229" t="n">
        <v>37.5</v>
      </c>
      <c r="P26" s="231"/>
      <c r="Q26" s="232"/>
      <c r="R26" s="229"/>
      <c r="S26" s="232" t="n">
        <v>12.5</v>
      </c>
      <c r="T26" s="233" t="n">
        <v>3.52</v>
      </c>
      <c r="U26" s="234" t="n">
        <f aca="false">SUM(H26:T26)</f>
        <v>53.52</v>
      </c>
      <c r="V26" s="235" t="s">
        <v>30</v>
      </c>
      <c r="W26" s="236" t="s">
        <v>102</v>
      </c>
      <c r="X26" s="110" t="s">
        <v>42</v>
      </c>
      <c r="Y26" s="187"/>
      <c r="Z26" s="51"/>
    </row>
    <row r="27" s="10" customFormat="true" ht="14.1" hidden="false" customHeight="true" outlineLevel="0" collapsed="false">
      <c r="A27" s="222" t="s">
        <v>26</v>
      </c>
      <c r="B27" s="223" t="s">
        <v>257</v>
      </c>
      <c r="C27" s="224"/>
      <c r="D27" s="225" t="n">
        <v>5023102</v>
      </c>
      <c r="E27" s="226" t="n">
        <v>45048</v>
      </c>
      <c r="F27" s="227" t="s">
        <v>54</v>
      </c>
      <c r="G27" s="228" t="n">
        <v>45050</v>
      </c>
      <c r="H27" s="229"/>
      <c r="I27" s="230"/>
      <c r="J27" s="230"/>
      <c r="K27" s="230"/>
      <c r="L27" s="230"/>
      <c r="M27" s="229"/>
      <c r="N27" s="230"/>
      <c r="O27" s="229"/>
      <c r="P27" s="231"/>
      <c r="Q27" s="232"/>
      <c r="R27" s="229" t="n">
        <v>2200</v>
      </c>
      <c r="S27" s="232" t="n">
        <v>180</v>
      </c>
      <c r="T27" s="233" t="n">
        <v>203.5</v>
      </c>
      <c r="U27" s="234" t="n">
        <f aca="false">SUM(H27:T27)</f>
        <v>2583.5</v>
      </c>
      <c r="V27" s="235" t="s">
        <v>30</v>
      </c>
      <c r="W27" s="236" t="s">
        <v>26</v>
      </c>
      <c r="X27" s="110" t="s">
        <v>42</v>
      </c>
      <c r="Y27" s="187"/>
      <c r="Z27" s="51"/>
    </row>
    <row r="28" s="10" customFormat="true" ht="14.1" hidden="false" customHeight="true" outlineLevel="0" collapsed="false">
      <c r="A28" s="222" t="s">
        <v>26</v>
      </c>
      <c r="B28" s="223" t="s">
        <v>201</v>
      </c>
      <c r="C28" s="224"/>
      <c r="D28" s="225" t="n">
        <v>5043101</v>
      </c>
      <c r="E28" s="226" t="n">
        <v>45050</v>
      </c>
      <c r="F28" s="227" t="s">
        <v>54</v>
      </c>
      <c r="G28" s="228" t="n">
        <v>45050</v>
      </c>
      <c r="H28" s="229"/>
      <c r="I28" s="230"/>
      <c r="J28" s="230"/>
      <c r="K28" s="230"/>
      <c r="L28" s="230"/>
      <c r="M28" s="229"/>
      <c r="N28" s="230"/>
      <c r="O28" s="229"/>
      <c r="P28" s="231"/>
      <c r="Q28" s="232"/>
      <c r="R28" s="229" t="n">
        <v>130</v>
      </c>
      <c r="S28" s="232" t="n">
        <v>25</v>
      </c>
      <c r="T28" s="233" t="n">
        <v>10.73</v>
      </c>
      <c r="U28" s="234" t="n">
        <f aca="false">SUM(H28:T28)</f>
        <v>165.73</v>
      </c>
      <c r="V28" s="235" t="s">
        <v>55</v>
      </c>
      <c r="W28" s="236" t="s">
        <v>135</v>
      </c>
      <c r="X28" s="110" t="s">
        <v>42</v>
      </c>
      <c r="Y28" s="187"/>
      <c r="Z28" s="51"/>
    </row>
    <row r="29" s="10" customFormat="true" ht="14.1" hidden="false" customHeight="true" outlineLevel="0" collapsed="false">
      <c r="A29" s="222" t="s">
        <v>26</v>
      </c>
      <c r="B29" s="223" t="s">
        <v>258</v>
      </c>
      <c r="C29" s="224"/>
      <c r="D29" s="225" t="n">
        <v>5043102</v>
      </c>
      <c r="E29" s="226" t="n">
        <v>45050</v>
      </c>
      <c r="F29" s="227" t="s">
        <v>54</v>
      </c>
      <c r="G29" s="228" t="n">
        <v>45050</v>
      </c>
      <c r="H29" s="229"/>
      <c r="I29" s="230"/>
      <c r="J29" s="230"/>
      <c r="K29" s="230"/>
      <c r="L29" s="230"/>
      <c r="M29" s="229"/>
      <c r="N29" s="230"/>
      <c r="O29" s="229"/>
      <c r="P29" s="231"/>
      <c r="Q29" s="232"/>
      <c r="R29" s="229" t="n">
        <v>39</v>
      </c>
      <c r="S29" s="232" t="n">
        <v>12.5</v>
      </c>
      <c r="T29" s="233" t="n">
        <v>3.36</v>
      </c>
      <c r="U29" s="234" t="n">
        <f aca="false">SUM(H29:T29)</f>
        <v>54.86</v>
      </c>
      <c r="V29" s="235" t="s">
        <v>30</v>
      </c>
      <c r="W29" s="236" t="s">
        <v>91</v>
      </c>
      <c r="X29" s="110" t="s">
        <v>42</v>
      </c>
      <c r="Y29" s="187"/>
      <c r="Z29" s="51"/>
    </row>
    <row r="30" s="10" customFormat="true" ht="14.1" hidden="false" customHeight="true" outlineLevel="0" collapsed="false">
      <c r="A30" s="222" t="s">
        <v>26</v>
      </c>
      <c r="B30" s="223" t="s">
        <v>136</v>
      </c>
      <c r="C30" s="224" t="s">
        <v>259</v>
      </c>
      <c r="D30" s="225" t="n">
        <v>5123101</v>
      </c>
      <c r="E30" s="226" t="n">
        <v>45058</v>
      </c>
      <c r="F30" s="227" t="s">
        <v>54</v>
      </c>
      <c r="G30" s="228" t="n">
        <v>45058</v>
      </c>
      <c r="H30" s="229"/>
      <c r="I30" s="230"/>
      <c r="J30" s="230"/>
      <c r="K30" s="230"/>
      <c r="L30" s="230"/>
      <c r="M30" s="229"/>
      <c r="N30" s="230"/>
      <c r="O30" s="229"/>
      <c r="P30" s="231"/>
      <c r="Q30" s="232"/>
      <c r="R30" s="229" t="n">
        <v>45</v>
      </c>
      <c r="S30" s="232" t="n">
        <v>12.5</v>
      </c>
      <c r="T30" s="233" t="n">
        <v>3.49</v>
      </c>
      <c r="U30" s="234" t="n">
        <f aca="false">SUM(H30:T30)</f>
        <v>60.99</v>
      </c>
      <c r="V30" s="235" t="s">
        <v>55</v>
      </c>
      <c r="W30" s="236" t="s">
        <v>135</v>
      </c>
      <c r="X30" s="110" t="s">
        <v>42</v>
      </c>
      <c r="Y30" s="187"/>
      <c r="Z30" s="51"/>
    </row>
    <row r="31" s="10" customFormat="true" ht="14.1" hidden="false" customHeight="true" outlineLevel="0" collapsed="false">
      <c r="A31" s="222" t="s">
        <v>26</v>
      </c>
      <c r="B31" s="223" t="s">
        <v>260</v>
      </c>
      <c r="C31" s="224"/>
      <c r="D31" s="225" t="n">
        <v>5153105</v>
      </c>
      <c r="E31" s="226" t="n">
        <v>45061</v>
      </c>
      <c r="F31" s="227" t="s">
        <v>54</v>
      </c>
      <c r="G31" s="228" t="n">
        <v>45061</v>
      </c>
      <c r="H31" s="229"/>
      <c r="I31" s="230"/>
      <c r="J31" s="230"/>
      <c r="K31" s="230"/>
      <c r="L31" s="230"/>
      <c r="M31" s="229"/>
      <c r="N31" s="230"/>
      <c r="O31" s="229"/>
      <c r="P31" s="231"/>
      <c r="Q31" s="232"/>
      <c r="R31" s="229" t="n">
        <v>168</v>
      </c>
      <c r="S31" s="232" t="n">
        <v>37.5</v>
      </c>
      <c r="T31" s="233" t="n">
        <v>17.22</v>
      </c>
      <c r="U31" s="234" t="n">
        <f aca="false">SUM(H31:T31)</f>
        <v>222.72</v>
      </c>
      <c r="V31" s="235" t="s">
        <v>55</v>
      </c>
      <c r="W31" s="236" t="s">
        <v>135</v>
      </c>
      <c r="X31" s="110" t="s">
        <v>42</v>
      </c>
      <c r="Y31" s="187"/>
      <c r="Z31" s="51"/>
    </row>
    <row r="32" s="10" customFormat="true" ht="14.1" hidden="false" customHeight="true" outlineLevel="0" collapsed="false">
      <c r="A32" s="222" t="s">
        <v>26</v>
      </c>
      <c r="B32" s="223" t="s">
        <v>87</v>
      </c>
      <c r="C32" s="224"/>
      <c r="D32" s="225" t="n">
        <v>5123065</v>
      </c>
      <c r="E32" s="226" t="n">
        <v>45058</v>
      </c>
      <c r="F32" s="227" t="s">
        <v>54</v>
      </c>
      <c r="G32" s="228" t="n">
        <v>45061</v>
      </c>
      <c r="H32" s="229"/>
      <c r="I32" s="230"/>
      <c r="J32" s="230"/>
      <c r="K32" s="230"/>
      <c r="L32" s="230"/>
      <c r="M32" s="229"/>
      <c r="N32" s="230"/>
      <c r="O32" s="229"/>
      <c r="P32" s="231"/>
      <c r="Q32" s="232"/>
      <c r="R32" s="229" t="n">
        <v>149</v>
      </c>
      <c r="S32" s="232" t="n">
        <v>37.5</v>
      </c>
      <c r="T32" s="233" t="n">
        <v>12.85</v>
      </c>
      <c r="U32" s="234" t="n">
        <f aca="false">SUM(H32:T32)</f>
        <v>199.35</v>
      </c>
      <c r="V32" s="235" t="s">
        <v>55</v>
      </c>
      <c r="W32" s="236" t="s">
        <v>135</v>
      </c>
      <c r="X32" s="110" t="s">
        <v>42</v>
      </c>
      <c r="Y32" s="187"/>
      <c r="Z32" s="51"/>
    </row>
    <row r="33" s="10" customFormat="true" ht="14.1" hidden="false" customHeight="true" outlineLevel="0" collapsed="false">
      <c r="A33" s="222" t="s">
        <v>37</v>
      </c>
      <c r="B33" s="223" t="s">
        <v>261</v>
      </c>
      <c r="C33" s="224"/>
      <c r="D33" s="225" t="n">
        <v>5153051</v>
      </c>
      <c r="E33" s="226" t="n">
        <v>45061</v>
      </c>
      <c r="F33" s="227" t="s">
        <v>262</v>
      </c>
      <c r="G33" s="228" t="n">
        <v>45061</v>
      </c>
      <c r="H33" s="229"/>
      <c r="I33" s="230" t="n">
        <v>249</v>
      </c>
      <c r="J33" s="230"/>
      <c r="K33" s="230"/>
      <c r="L33" s="230"/>
      <c r="M33" s="229"/>
      <c r="N33" s="230"/>
      <c r="O33" s="229"/>
      <c r="P33" s="231"/>
      <c r="Q33" s="232"/>
      <c r="R33" s="229"/>
      <c r="S33" s="232"/>
      <c r="T33" s="233" t="n">
        <v>20.7</v>
      </c>
      <c r="U33" s="234" t="n">
        <f aca="false">SUM(H33:T33)</f>
        <v>269.7</v>
      </c>
      <c r="V33" s="235" t="s">
        <v>41</v>
      </c>
      <c r="W33" s="236" t="s">
        <v>37</v>
      </c>
      <c r="X33" s="110" t="s">
        <v>42</v>
      </c>
      <c r="Y33" s="187"/>
      <c r="Z33" s="51"/>
    </row>
    <row r="34" s="10" customFormat="true" ht="14.1" hidden="false" customHeight="true" outlineLevel="0" collapsed="false">
      <c r="A34" s="222" t="s">
        <v>26</v>
      </c>
      <c r="B34" s="223" t="s">
        <v>263</v>
      </c>
      <c r="C34" s="224"/>
      <c r="D34" s="225" t="n">
        <v>5223106</v>
      </c>
      <c r="E34" s="226" t="n">
        <v>45068</v>
      </c>
      <c r="F34" s="227" t="s">
        <v>54</v>
      </c>
      <c r="G34" s="228" t="n">
        <v>45068</v>
      </c>
      <c r="H34" s="229"/>
      <c r="I34" s="230"/>
      <c r="J34" s="230"/>
      <c r="K34" s="230"/>
      <c r="L34" s="230"/>
      <c r="M34" s="229"/>
      <c r="N34" s="230"/>
      <c r="O34" s="229"/>
      <c r="P34" s="231"/>
      <c r="Q34" s="232"/>
      <c r="R34" s="229" t="n">
        <v>78</v>
      </c>
      <c r="S34" s="232" t="n">
        <v>25</v>
      </c>
      <c r="T34" s="233" t="n">
        <v>6.44</v>
      </c>
      <c r="U34" s="234" t="n">
        <f aca="false">SUM(H34:T34)</f>
        <v>109.44</v>
      </c>
      <c r="V34" s="235" t="s">
        <v>55</v>
      </c>
      <c r="W34" s="236" t="s">
        <v>135</v>
      </c>
      <c r="X34" s="110" t="s">
        <v>42</v>
      </c>
      <c r="Y34" s="187"/>
      <c r="Z34" s="51"/>
    </row>
    <row r="35" s="10" customFormat="true" ht="14.1" hidden="false" customHeight="true" outlineLevel="0" collapsed="false">
      <c r="A35" s="222" t="s">
        <v>26</v>
      </c>
      <c r="B35" s="223" t="s">
        <v>264</v>
      </c>
      <c r="C35" s="224"/>
      <c r="D35" s="225" t="n">
        <v>5263106</v>
      </c>
      <c r="E35" s="226" t="n">
        <v>45072</v>
      </c>
      <c r="F35" s="227" t="s">
        <v>54</v>
      </c>
      <c r="G35" s="228" t="n">
        <v>45072</v>
      </c>
      <c r="H35" s="229"/>
      <c r="I35" s="230"/>
      <c r="J35" s="230"/>
      <c r="K35" s="230"/>
      <c r="L35" s="230"/>
      <c r="M35" s="229"/>
      <c r="N35" s="230"/>
      <c r="O35" s="229"/>
      <c r="P35" s="231"/>
      <c r="Q35" s="232"/>
      <c r="R35" s="229" t="n">
        <v>214</v>
      </c>
      <c r="S35" s="232" t="n">
        <v>50</v>
      </c>
      <c r="T35" s="233" t="n">
        <v>20.33</v>
      </c>
      <c r="U35" s="234" t="n">
        <f aca="false">SUM(H35:T35)</f>
        <v>284.33</v>
      </c>
      <c r="V35" s="235" t="s">
        <v>55</v>
      </c>
      <c r="W35" s="236" t="s">
        <v>26</v>
      </c>
      <c r="X35" s="110" t="s">
        <v>42</v>
      </c>
      <c r="Y35" s="187"/>
      <c r="Z35" s="51"/>
    </row>
    <row r="36" s="10" customFormat="true" ht="14.1" hidden="false" customHeight="true" outlineLevel="0" collapsed="false">
      <c r="A36" s="222" t="s">
        <v>26</v>
      </c>
      <c r="B36" s="223" t="s">
        <v>265</v>
      </c>
      <c r="C36" s="224"/>
      <c r="D36" s="225" t="n">
        <v>5263107</v>
      </c>
      <c r="E36" s="226" t="n">
        <v>45072</v>
      </c>
      <c r="F36" s="227" t="s">
        <v>54</v>
      </c>
      <c r="G36" s="228" t="n">
        <v>45072</v>
      </c>
      <c r="H36" s="229"/>
      <c r="I36" s="230"/>
      <c r="J36" s="230"/>
      <c r="K36" s="230"/>
      <c r="L36" s="230"/>
      <c r="M36" s="229"/>
      <c r="N36" s="230"/>
      <c r="O36" s="229"/>
      <c r="P36" s="231"/>
      <c r="Q36" s="232"/>
      <c r="R36" s="229" t="n">
        <v>65</v>
      </c>
      <c r="S36" s="232" t="n">
        <v>12.5</v>
      </c>
      <c r="T36" s="233" t="n">
        <v>6.66</v>
      </c>
      <c r="U36" s="234" t="n">
        <f aca="false">SUM(H36:T36)</f>
        <v>84.16</v>
      </c>
      <c r="V36" s="235" t="s">
        <v>55</v>
      </c>
      <c r="W36" s="236" t="s">
        <v>26</v>
      </c>
      <c r="X36" s="110" t="s">
        <v>42</v>
      </c>
      <c r="Y36" s="187"/>
      <c r="Z36" s="51"/>
    </row>
    <row r="37" s="10" customFormat="true" ht="14.1" hidden="false" customHeight="true" outlineLevel="0" collapsed="false">
      <c r="A37" s="237" t="s">
        <v>26</v>
      </c>
      <c r="B37" s="238" t="s">
        <v>266</v>
      </c>
      <c r="C37" s="239"/>
      <c r="D37" s="240" t="n">
        <v>5303104</v>
      </c>
      <c r="E37" s="241" t="n">
        <v>45076</v>
      </c>
      <c r="F37" s="242" t="s">
        <v>54</v>
      </c>
      <c r="G37" s="243" t="n">
        <v>45076</v>
      </c>
      <c r="H37" s="244"/>
      <c r="I37" s="245"/>
      <c r="J37" s="245"/>
      <c r="K37" s="245"/>
      <c r="L37" s="245"/>
      <c r="M37" s="244"/>
      <c r="N37" s="245"/>
      <c r="O37" s="244"/>
      <c r="P37" s="246"/>
      <c r="Q37" s="247"/>
      <c r="R37" s="244" t="n">
        <v>29</v>
      </c>
      <c r="S37" s="247" t="n">
        <v>12.5</v>
      </c>
      <c r="T37" s="248" t="n">
        <v>2.5</v>
      </c>
      <c r="U37" s="249" t="n">
        <f aca="false">SUM(H37:T37)</f>
        <v>44</v>
      </c>
      <c r="V37" s="250" t="s">
        <v>55</v>
      </c>
      <c r="W37" s="251" t="s">
        <v>26</v>
      </c>
      <c r="X37" s="110" t="s">
        <v>42</v>
      </c>
      <c r="Y37" s="187"/>
      <c r="Z37" s="51"/>
    </row>
    <row r="38" s="10" customFormat="true" ht="14.1" hidden="false" customHeight="true" outlineLevel="0" collapsed="false">
      <c r="A38" s="207"/>
      <c r="B38" s="208"/>
      <c r="C38" s="209"/>
      <c r="D38" s="209"/>
      <c r="E38" s="210"/>
      <c r="F38" s="211"/>
      <c r="G38" s="212"/>
      <c r="H38" s="213"/>
      <c r="I38" s="213"/>
      <c r="J38" s="214"/>
      <c r="K38" s="214"/>
      <c r="L38" s="214"/>
      <c r="M38" s="213"/>
      <c r="N38" s="213"/>
      <c r="O38" s="213"/>
      <c r="P38" s="128"/>
      <c r="Q38" s="215"/>
      <c r="R38" s="213"/>
      <c r="S38" s="215"/>
      <c r="T38" s="216"/>
      <c r="U38" s="217"/>
      <c r="V38" s="218"/>
      <c r="W38" s="29"/>
      <c r="X38" s="29"/>
      <c r="Y38" s="252" t="n">
        <f aca="false">SUM(U26:U37)</f>
        <v>4132.3</v>
      </c>
      <c r="Z38" s="220" t="n">
        <f aca="false">Y38/V60</f>
        <v>0.25227978556554</v>
      </c>
      <c r="AA38" s="51"/>
    </row>
    <row r="39" s="10" customFormat="true" ht="14.1" hidden="false" customHeight="true" outlineLevel="0" collapsed="false">
      <c r="A39" s="237" t="s">
        <v>37</v>
      </c>
      <c r="B39" s="238" t="s">
        <v>38</v>
      </c>
      <c r="C39" s="239"/>
      <c r="D39" s="240" t="n">
        <v>6013051</v>
      </c>
      <c r="E39" s="241" t="n">
        <v>45078</v>
      </c>
      <c r="F39" s="242" t="s">
        <v>262</v>
      </c>
      <c r="G39" s="243" t="n">
        <v>45078</v>
      </c>
      <c r="H39" s="244"/>
      <c r="I39" s="245"/>
      <c r="J39" s="245"/>
      <c r="K39" s="245"/>
      <c r="L39" s="245"/>
      <c r="M39" s="244" t="n">
        <v>49</v>
      </c>
      <c r="N39" s="245" t="n">
        <v>39</v>
      </c>
      <c r="O39" s="244"/>
      <c r="P39" s="246"/>
      <c r="Q39" s="247"/>
      <c r="R39" s="244"/>
      <c r="S39" s="247"/>
      <c r="T39" s="248"/>
      <c r="U39" s="249" t="n">
        <f aca="false">SUM(H39:T39)</f>
        <v>88</v>
      </c>
      <c r="V39" s="250" t="s">
        <v>41</v>
      </c>
      <c r="W39" s="251" t="s">
        <v>45</v>
      </c>
      <c r="X39" s="110" t="s">
        <v>42</v>
      </c>
      <c r="Y39" s="253"/>
      <c r="Z39" s="254"/>
    </row>
    <row r="40" s="10" customFormat="true" ht="14.1" hidden="false" customHeight="true" outlineLevel="0" collapsed="false">
      <c r="A40" s="237" t="s">
        <v>26</v>
      </c>
      <c r="B40" s="238" t="s">
        <v>267</v>
      </c>
      <c r="C40" s="239"/>
      <c r="D40" s="240" t="n">
        <v>6013103</v>
      </c>
      <c r="E40" s="241" t="n">
        <v>45078</v>
      </c>
      <c r="F40" s="242" t="s">
        <v>54</v>
      </c>
      <c r="G40" s="243" t="n">
        <v>45079</v>
      </c>
      <c r="H40" s="244"/>
      <c r="I40" s="245"/>
      <c r="J40" s="245"/>
      <c r="K40" s="245"/>
      <c r="L40" s="245"/>
      <c r="M40" s="244"/>
      <c r="N40" s="245"/>
      <c r="O40" s="244"/>
      <c r="P40" s="246"/>
      <c r="Q40" s="247"/>
      <c r="R40" s="244" t="n">
        <v>545</v>
      </c>
      <c r="S40" s="247" t="n">
        <v>112.5</v>
      </c>
      <c r="T40" s="248" t="n">
        <v>50.41</v>
      </c>
      <c r="U40" s="249" t="n">
        <f aca="false">SUM(H40:T40)</f>
        <v>707.91</v>
      </c>
      <c r="V40" s="250" t="s">
        <v>55</v>
      </c>
      <c r="W40" s="251" t="s">
        <v>135</v>
      </c>
      <c r="X40" s="110" t="s">
        <v>42</v>
      </c>
      <c r="Y40" s="253"/>
      <c r="Z40" s="254"/>
    </row>
    <row r="41" s="10" customFormat="true" ht="14.1" hidden="false" customHeight="true" outlineLevel="0" collapsed="false">
      <c r="A41" s="237" t="s">
        <v>26</v>
      </c>
      <c r="B41" s="238" t="s">
        <v>268</v>
      </c>
      <c r="C41" s="239"/>
      <c r="D41" s="240" t="n">
        <v>6063101</v>
      </c>
      <c r="E41" s="241" t="n">
        <v>45083</v>
      </c>
      <c r="F41" s="242" t="s">
        <v>269</v>
      </c>
      <c r="G41" s="243" t="n">
        <v>45083</v>
      </c>
      <c r="H41" s="244" t="n">
        <v>75</v>
      </c>
      <c r="I41" s="245"/>
      <c r="J41" s="245"/>
      <c r="K41" s="245"/>
      <c r="L41" s="245"/>
      <c r="M41" s="244"/>
      <c r="N41" s="245"/>
      <c r="O41" s="244"/>
      <c r="P41" s="246"/>
      <c r="Q41" s="247"/>
      <c r="R41" s="244"/>
      <c r="S41" s="247" t="n">
        <v>12.5</v>
      </c>
      <c r="T41" s="248" t="n">
        <v>6.47</v>
      </c>
      <c r="U41" s="249" t="n">
        <f aca="false">SUM(H41:T41)</f>
        <v>93.97</v>
      </c>
      <c r="V41" s="250" t="s">
        <v>55</v>
      </c>
      <c r="W41" s="251" t="s">
        <v>26</v>
      </c>
      <c r="X41" s="110" t="s">
        <v>42</v>
      </c>
      <c r="Y41" s="253"/>
      <c r="Z41" s="254"/>
    </row>
    <row r="42" s="10" customFormat="true" ht="14.1" hidden="false" customHeight="true" outlineLevel="0" collapsed="false">
      <c r="A42" s="237" t="s">
        <v>26</v>
      </c>
      <c r="B42" s="238" t="s">
        <v>111</v>
      </c>
      <c r="C42" s="239"/>
      <c r="D42" s="240" t="n">
        <v>6063102</v>
      </c>
      <c r="E42" s="241" t="n">
        <v>45083</v>
      </c>
      <c r="F42" s="242" t="s">
        <v>54</v>
      </c>
      <c r="G42" s="243" t="n">
        <v>45083</v>
      </c>
      <c r="H42" s="244"/>
      <c r="I42" s="245"/>
      <c r="J42" s="245"/>
      <c r="K42" s="245"/>
      <c r="L42" s="245"/>
      <c r="M42" s="244"/>
      <c r="N42" s="245"/>
      <c r="O42" s="244"/>
      <c r="P42" s="246"/>
      <c r="Q42" s="247"/>
      <c r="R42" s="244" t="n">
        <v>415</v>
      </c>
      <c r="S42" s="247" t="n">
        <v>62.5</v>
      </c>
      <c r="T42" s="248" t="n">
        <v>34.24</v>
      </c>
      <c r="U42" s="249" t="n">
        <f aca="false">SUM(H42:T42)</f>
        <v>511.74</v>
      </c>
      <c r="V42" s="250" t="s">
        <v>55</v>
      </c>
      <c r="W42" s="251" t="s">
        <v>135</v>
      </c>
      <c r="X42" s="110" t="s">
        <v>42</v>
      </c>
      <c r="Y42" s="253"/>
      <c r="Z42" s="254"/>
    </row>
    <row r="43" s="10" customFormat="true" ht="14.1" hidden="false" customHeight="true" outlineLevel="0" collapsed="false">
      <c r="A43" s="237" t="s">
        <v>26</v>
      </c>
      <c r="B43" s="238" t="s">
        <v>270</v>
      </c>
      <c r="C43" s="239"/>
      <c r="D43" s="240" t="n">
        <v>6083101</v>
      </c>
      <c r="E43" s="241" t="n">
        <v>45085</v>
      </c>
      <c r="F43" s="242" t="s">
        <v>54</v>
      </c>
      <c r="G43" s="243" t="n">
        <v>45085</v>
      </c>
      <c r="H43" s="244"/>
      <c r="I43" s="245"/>
      <c r="J43" s="245"/>
      <c r="K43" s="245"/>
      <c r="L43" s="245"/>
      <c r="M43" s="244"/>
      <c r="N43" s="245"/>
      <c r="O43" s="244"/>
      <c r="P43" s="246"/>
      <c r="Q43" s="247"/>
      <c r="R43" s="244" t="n">
        <v>650</v>
      </c>
      <c r="S43" s="247" t="n">
        <v>125</v>
      </c>
      <c r="T43" s="248" t="n">
        <v>60.13</v>
      </c>
      <c r="U43" s="249" t="n">
        <f aca="false">SUM(H43:T43)</f>
        <v>835.13</v>
      </c>
      <c r="V43" s="250" t="s">
        <v>55</v>
      </c>
      <c r="W43" s="251" t="s">
        <v>26</v>
      </c>
      <c r="X43" s="110" t="s">
        <v>42</v>
      </c>
      <c r="Y43" s="253"/>
      <c r="Z43" s="254"/>
    </row>
    <row r="44" s="10" customFormat="true" ht="14.1" hidden="false" customHeight="true" outlineLevel="0" collapsed="false">
      <c r="A44" s="237" t="s">
        <v>26</v>
      </c>
      <c r="B44" s="238" t="s">
        <v>271</v>
      </c>
      <c r="C44" s="239"/>
      <c r="D44" s="240" t="n">
        <v>6143062</v>
      </c>
      <c r="E44" s="241" t="n">
        <v>45091</v>
      </c>
      <c r="F44" s="242" t="s">
        <v>54</v>
      </c>
      <c r="G44" s="243" t="n">
        <v>45091</v>
      </c>
      <c r="H44" s="244"/>
      <c r="I44" s="245"/>
      <c r="J44" s="245"/>
      <c r="K44" s="245"/>
      <c r="L44" s="245"/>
      <c r="M44" s="244"/>
      <c r="N44" s="245"/>
      <c r="O44" s="244"/>
      <c r="P44" s="246"/>
      <c r="Q44" s="247"/>
      <c r="R44" s="244" t="n">
        <v>1490</v>
      </c>
      <c r="S44" s="247"/>
      <c r="T44" s="248"/>
      <c r="U44" s="249" t="n">
        <f aca="false">SUM(H44:T44)</f>
        <v>1490</v>
      </c>
      <c r="V44" s="250" t="s">
        <v>75</v>
      </c>
      <c r="W44" s="251" t="s">
        <v>272</v>
      </c>
      <c r="X44" s="110" t="s">
        <v>42</v>
      </c>
      <c r="Y44" s="253"/>
      <c r="Z44" s="254"/>
    </row>
    <row r="45" s="10" customFormat="true" ht="14.1" hidden="false" customHeight="true" outlineLevel="0" collapsed="false">
      <c r="A45" s="237" t="s">
        <v>45</v>
      </c>
      <c r="B45" s="238" t="s">
        <v>117</v>
      </c>
      <c r="C45" s="239"/>
      <c r="D45" s="240" t="n">
        <v>6133062</v>
      </c>
      <c r="E45" s="241" t="n">
        <v>45090</v>
      </c>
      <c r="F45" s="242" t="s">
        <v>54</v>
      </c>
      <c r="G45" s="243" t="n">
        <v>45092</v>
      </c>
      <c r="H45" s="244"/>
      <c r="I45" s="245"/>
      <c r="J45" s="245"/>
      <c r="K45" s="245"/>
      <c r="L45" s="245"/>
      <c r="M45" s="244"/>
      <c r="N45" s="245"/>
      <c r="O45" s="244"/>
      <c r="P45" s="246"/>
      <c r="Q45" s="247"/>
      <c r="R45" s="244" t="n">
        <v>-98</v>
      </c>
      <c r="S45" s="247"/>
      <c r="T45" s="248"/>
      <c r="U45" s="249" t="n">
        <f aca="false">SUM(H45:T45)</f>
        <v>-98</v>
      </c>
      <c r="V45" s="250" t="s">
        <v>55</v>
      </c>
      <c r="W45" s="251" t="s">
        <v>45</v>
      </c>
      <c r="X45" s="110" t="s">
        <v>42</v>
      </c>
      <c r="Y45" s="253"/>
      <c r="Z45" s="254"/>
    </row>
    <row r="46" s="10" customFormat="true" ht="14.1" hidden="false" customHeight="true" outlineLevel="0" collapsed="false">
      <c r="A46" s="237" t="s">
        <v>37</v>
      </c>
      <c r="B46" s="238" t="s">
        <v>261</v>
      </c>
      <c r="C46" s="239" t="s">
        <v>273</v>
      </c>
      <c r="D46" s="240" t="n">
        <v>6153054</v>
      </c>
      <c r="E46" s="241" t="n">
        <v>45092</v>
      </c>
      <c r="F46" s="242" t="s">
        <v>262</v>
      </c>
      <c r="G46" s="243" t="n">
        <v>45092</v>
      </c>
      <c r="H46" s="244"/>
      <c r="I46" s="245" t="n">
        <v>249</v>
      </c>
      <c r="J46" s="245"/>
      <c r="K46" s="245"/>
      <c r="L46" s="245"/>
      <c r="M46" s="244"/>
      <c r="N46" s="245"/>
      <c r="O46" s="244"/>
      <c r="P46" s="246"/>
      <c r="Q46" s="247"/>
      <c r="R46" s="244"/>
      <c r="S46" s="247"/>
      <c r="T46" s="248" t="n">
        <v>20.7</v>
      </c>
      <c r="U46" s="249" t="n">
        <f aca="false">SUM(H46:T46)</f>
        <v>269.7</v>
      </c>
      <c r="V46" s="250" t="s">
        <v>41</v>
      </c>
      <c r="W46" s="251" t="s">
        <v>37</v>
      </c>
      <c r="X46" s="110" t="s">
        <v>42</v>
      </c>
      <c r="Y46" s="253"/>
      <c r="Z46" s="254"/>
    </row>
    <row r="47" s="10" customFormat="true" ht="14.1" hidden="false" customHeight="true" outlineLevel="0" collapsed="false">
      <c r="A47" s="237" t="s">
        <v>26</v>
      </c>
      <c r="B47" s="238" t="s">
        <v>100</v>
      </c>
      <c r="C47" s="239"/>
      <c r="D47" s="240" t="n">
        <v>6203104</v>
      </c>
      <c r="E47" s="241" t="n">
        <v>45097</v>
      </c>
      <c r="F47" s="242" t="s">
        <v>54</v>
      </c>
      <c r="G47" s="243" t="n">
        <v>45097</v>
      </c>
      <c r="H47" s="244"/>
      <c r="I47" s="245"/>
      <c r="J47" s="245"/>
      <c r="K47" s="245"/>
      <c r="L47" s="245"/>
      <c r="M47" s="244"/>
      <c r="N47" s="245"/>
      <c r="O47" s="244"/>
      <c r="P47" s="246"/>
      <c r="Q47" s="247"/>
      <c r="R47" s="244" t="n">
        <v>175</v>
      </c>
      <c r="S47" s="247" t="n">
        <v>62.5</v>
      </c>
      <c r="T47" s="248" t="n">
        <v>16.19</v>
      </c>
      <c r="U47" s="249" t="n">
        <f aca="false">SUM(H47:T47)</f>
        <v>253.69</v>
      </c>
      <c r="V47" s="250" t="s">
        <v>55</v>
      </c>
      <c r="W47" s="251" t="s">
        <v>26</v>
      </c>
      <c r="X47" s="110" t="s">
        <v>42</v>
      </c>
      <c r="Y47" s="253"/>
      <c r="Z47" s="254"/>
    </row>
    <row r="48" s="10" customFormat="true" ht="14.1" hidden="false" customHeight="true" outlineLevel="0" collapsed="false">
      <c r="A48" s="237" t="s">
        <v>26</v>
      </c>
      <c r="B48" s="238" t="s">
        <v>274</v>
      </c>
      <c r="C48" s="239"/>
      <c r="D48" s="240" t="n">
        <v>6203104</v>
      </c>
      <c r="E48" s="241" t="n">
        <v>45097</v>
      </c>
      <c r="F48" s="242" t="s">
        <v>54</v>
      </c>
      <c r="G48" s="243" t="n">
        <v>45097</v>
      </c>
      <c r="H48" s="244"/>
      <c r="I48" s="245"/>
      <c r="J48" s="245"/>
      <c r="K48" s="245"/>
      <c r="L48" s="245"/>
      <c r="M48" s="244"/>
      <c r="N48" s="245"/>
      <c r="O48" s="244"/>
      <c r="P48" s="246"/>
      <c r="Q48" s="247"/>
      <c r="R48" s="244" t="n">
        <v>130</v>
      </c>
      <c r="S48" s="247" t="n">
        <v>25</v>
      </c>
      <c r="T48" s="248" t="n">
        <v>11.21</v>
      </c>
      <c r="U48" s="249" t="n">
        <f aca="false">SUM(H48:T48)</f>
        <v>166.21</v>
      </c>
      <c r="V48" s="250" t="s">
        <v>55</v>
      </c>
      <c r="W48" s="251" t="s">
        <v>26</v>
      </c>
      <c r="X48" s="110" t="s">
        <v>42</v>
      </c>
      <c r="Y48" s="253"/>
      <c r="Z48" s="254"/>
    </row>
    <row r="49" s="10" customFormat="true" ht="14.1" hidden="false" customHeight="true" outlineLevel="0" collapsed="false">
      <c r="A49" s="237" t="s">
        <v>26</v>
      </c>
      <c r="B49" s="238" t="s">
        <v>275</v>
      </c>
      <c r="C49" s="239" t="s">
        <v>273</v>
      </c>
      <c r="D49" s="240" t="n">
        <v>6223102</v>
      </c>
      <c r="E49" s="241" t="n">
        <v>45099</v>
      </c>
      <c r="F49" s="242" t="s">
        <v>54</v>
      </c>
      <c r="G49" s="243" t="n">
        <v>45099</v>
      </c>
      <c r="H49" s="244"/>
      <c r="I49" s="245"/>
      <c r="J49" s="245"/>
      <c r="K49" s="245"/>
      <c r="L49" s="245"/>
      <c r="M49" s="244"/>
      <c r="N49" s="245"/>
      <c r="O49" s="244"/>
      <c r="P49" s="246"/>
      <c r="Q49" s="247"/>
      <c r="R49" s="244" t="n">
        <v>65</v>
      </c>
      <c r="S49" s="247" t="n">
        <v>12.5</v>
      </c>
      <c r="T49" s="248" t="n">
        <v>6.01</v>
      </c>
      <c r="U49" s="249" t="n">
        <f aca="false">SUM(H49:T49)</f>
        <v>83.51</v>
      </c>
      <c r="V49" s="250" t="s">
        <v>55</v>
      </c>
      <c r="W49" s="251" t="s">
        <v>45</v>
      </c>
      <c r="X49" s="110" t="s">
        <v>42</v>
      </c>
      <c r="Y49" s="253"/>
      <c r="Z49" s="254"/>
    </row>
    <row r="50" s="10" customFormat="true" ht="14.1" hidden="false" customHeight="true" outlineLevel="0" collapsed="false">
      <c r="A50" s="237" t="s">
        <v>26</v>
      </c>
      <c r="B50" s="238" t="s">
        <v>276</v>
      </c>
      <c r="C50" s="239"/>
      <c r="D50" s="240" t="n">
        <v>6233103</v>
      </c>
      <c r="E50" s="241" t="n">
        <v>45100</v>
      </c>
      <c r="F50" s="242" t="s">
        <v>54</v>
      </c>
      <c r="G50" s="243" t="n">
        <v>45100</v>
      </c>
      <c r="H50" s="244"/>
      <c r="I50" s="245"/>
      <c r="J50" s="245"/>
      <c r="K50" s="245"/>
      <c r="L50" s="245"/>
      <c r="M50" s="244"/>
      <c r="N50" s="245"/>
      <c r="O50" s="244"/>
      <c r="P50" s="246"/>
      <c r="Q50" s="247"/>
      <c r="R50" s="244" t="n">
        <v>110</v>
      </c>
      <c r="S50" s="247" t="n">
        <v>25</v>
      </c>
      <c r="T50" s="248" t="n">
        <v>9.35</v>
      </c>
      <c r="U50" s="249" t="n">
        <f aca="false">SUM(H50:T50)</f>
        <v>144.35</v>
      </c>
      <c r="V50" s="250" t="s">
        <v>55</v>
      </c>
      <c r="W50" s="251" t="s">
        <v>26</v>
      </c>
      <c r="X50" s="110" t="s">
        <v>42</v>
      </c>
      <c r="Y50" s="253"/>
      <c r="Z50" s="254"/>
    </row>
    <row r="51" s="10" customFormat="true" ht="14.1" hidden="false" customHeight="true" outlineLevel="0" collapsed="false">
      <c r="A51" s="237" t="s">
        <v>102</v>
      </c>
      <c r="B51" s="238" t="s">
        <v>255</v>
      </c>
      <c r="C51" s="239"/>
      <c r="D51" s="240" t="n">
        <v>6203051</v>
      </c>
      <c r="E51" s="241" t="n">
        <v>45097</v>
      </c>
      <c r="F51" s="242" t="s">
        <v>262</v>
      </c>
      <c r="G51" s="243" t="n">
        <v>45103</v>
      </c>
      <c r="H51" s="244"/>
      <c r="I51" s="245" t="n">
        <v>762</v>
      </c>
      <c r="J51" s="245"/>
      <c r="K51" s="245"/>
      <c r="L51" s="245"/>
      <c r="M51" s="244"/>
      <c r="N51" s="245"/>
      <c r="O51" s="244"/>
      <c r="P51" s="246"/>
      <c r="Q51" s="247"/>
      <c r="R51" s="244"/>
      <c r="S51" s="247"/>
      <c r="T51" s="248"/>
      <c r="U51" s="249" t="n">
        <f aca="false">SUM(H51:T51)</f>
        <v>762</v>
      </c>
      <c r="V51" s="250" t="s">
        <v>41</v>
      </c>
      <c r="W51" s="251" t="s">
        <v>102</v>
      </c>
      <c r="X51" s="110" t="s">
        <v>42</v>
      </c>
      <c r="Y51" s="253"/>
      <c r="Z51" s="254"/>
    </row>
    <row r="52" s="10" customFormat="true" ht="14.1" hidden="false" customHeight="true" outlineLevel="0" collapsed="false">
      <c r="A52" s="237" t="s">
        <v>26</v>
      </c>
      <c r="B52" s="238" t="s">
        <v>277</v>
      </c>
      <c r="C52" s="239"/>
      <c r="D52" s="240" t="n">
        <v>6263101</v>
      </c>
      <c r="E52" s="241" t="n">
        <v>45103</v>
      </c>
      <c r="F52" s="242" t="s">
        <v>54</v>
      </c>
      <c r="G52" s="243" t="n">
        <v>45103</v>
      </c>
      <c r="H52" s="244"/>
      <c r="I52" s="245"/>
      <c r="J52" s="245"/>
      <c r="K52" s="245"/>
      <c r="L52" s="245"/>
      <c r="M52" s="244"/>
      <c r="N52" s="245"/>
      <c r="O52" s="244"/>
      <c r="P52" s="246"/>
      <c r="Q52" s="247"/>
      <c r="R52" s="244" t="n">
        <v>447</v>
      </c>
      <c r="S52" s="247" t="n">
        <v>87.5</v>
      </c>
      <c r="T52" s="248" t="n">
        <v>34.64</v>
      </c>
      <c r="U52" s="249" t="n">
        <f aca="false">SUM(H52:T52)</f>
        <v>569.14</v>
      </c>
      <c r="V52" s="250" t="s">
        <v>55</v>
      </c>
      <c r="W52" s="251" t="s">
        <v>26</v>
      </c>
      <c r="X52" s="110" t="s">
        <v>42</v>
      </c>
      <c r="Y52" s="253"/>
      <c r="Z52" s="254"/>
    </row>
    <row r="53" s="10" customFormat="true" ht="14.1" hidden="false" customHeight="true" outlineLevel="0" collapsed="false">
      <c r="A53" s="237" t="s">
        <v>26</v>
      </c>
      <c r="B53" s="238" t="s">
        <v>278</v>
      </c>
      <c r="C53" s="239"/>
      <c r="D53" s="240" t="n">
        <v>6263103</v>
      </c>
      <c r="E53" s="241" t="n">
        <v>45103</v>
      </c>
      <c r="F53" s="242" t="s">
        <v>54</v>
      </c>
      <c r="G53" s="243" t="n">
        <v>45103</v>
      </c>
      <c r="H53" s="244"/>
      <c r="I53" s="245"/>
      <c r="J53" s="245"/>
      <c r="K53" s="245"/>
      <c r="L53" s="245"/>
      <c r="M53" s="244"/>
      <c r="N53" s="245"/>
      <c r="O53" s="244"/>
      <c r="P53" s="246"/>
      <c r="Q53" s="247"/>
      <c r="R53" s="244" t="n">
        <v>204</v>
      </c>
      <c r="S53" s="247" t="n">
        <v>50</v>
      </c>
      <c r="T53" s="248" t="n">
        <v>18.36</v>
      </c>
      <c r="U53" s="249" t="n">
        <f aca="false">SUM(H53:T53)</f>
        <v>272.36</v>
      </c>
      <c r="V53" s="250" t="s">
        <v>55</v>
      </c>
      <c r="W53" s="251" t="s">
        <v>45</v>
      </c>
      <c r="X53" s="110" t="s">
        <v>42</v>
      </c>
      <c r="Y53" s="253"/>
      <c r="Z53" s="254"/>
    </row>
    <row r="54" s="10" customFormat="true" ht="14.1" hidden="false" customHeight="true" outlineLevel="0" collapsed="false">
      <c r="A54" s="237" t="s">
        <v>26</v>
      </c>
      <c r="B54" s="238" t="s">
        <v>214</v>
      </c>
      <c r="C54" s="239"/>
      <c r="D54" s="240" t="n">
        <v>6263104</v>
      </c>
      <c r="E54" s="241" t="n">
        <v>45103</v>
      </c>
      <c r="F54" s="242" t="s">
        <v>54</v>
      </c>
      <c r="G54" s="243" t="n">
        <v>45103</v>
      </c>
      <c r="H54" s="244"/>
      <c r="I54" s="245"/>
      <c r="J54" s="245"/>
      <c r="K54" s="245"/>
      <c r="L54" s="245"/>
      <c r="M54" s="244"/>
      <c r="N54" s="245"/>
      <c r="O54" s="244"/>
      <c r="P54" s="246"/>
      <c r="Q54" s="247"/>
      <c r="R54" s="244" t="n">
        <v>298</v>
      </c>
      <c r="S54" s="247" t="n">
        <v>62.5</v>
      </c>
      <c r="T54" s="248" t="n">
        <v>25.7</v>
      </c>
      <c r="U54" s="249" t="n">
        <f aca="false">SUM(H54:T54)</f>
        <v>386.2</v>
      </c>
      <c r="V54" s="250" t="s">
        <v>55</v>
      </c>
      <c r="W54" s="251" t="s">
        <v>45</v>
      </c>
      <c r="X54" s="110" t="s">
        <v>42</v>
      </c>
      <c r="Y54" s="253"/>
      <c r="Z54" s="254"/>
    </row>
    <row r="55" s="10" customFormat="true" ht="14.1" hidden="false" customHeight="true" outlineLevel="0" collapsed="false">
      <c r="A55" s="237" t="s">
        <v>45</v>
      </c>
      <c r="B55" s="238" t="s">
        <v>117</v>
      </c>
      <c r="C55" s="239"/>
      <c r="D55" s="240" t="n">
        <v>6273062</v>
      </c>
      <c r="E55" s="241" t="n">
        <v>45104</v>
      </c>
      <c r="F55" s="242" t="s">
        <v>54</v>
      </c>
      <c r="G55" s="243" t="n">
        <v>45104</v>
      </c>
      <c r="H55" s="244"/>
      <c r="I55" s="245"/>
      <c r="J55" s="245"/>
      <c r="K55" s="245"/>
      <c r="L55" s="245"/>
      <c r="M55" s="244"/>
      <c r="N55" s="245"/>
      <c r="O55" s="244"/>
      <c r="P55" s="246"/>
      <c r="Q55" s="247"/>
      <c r="R55" s="244" t="n">
        <v>1182</v>
      </c>
      <c r="S55" s="247"/>
      <c r="T55" s="248"/>
      <c r="U55" s="249" t="n">
        <f aca="false">SUM(H55:T55)</f>
        <v>1182</v>
      </c>
      <c r="V55" s="250" t="s">
        <v>55</v>
      </c>
      <c r="W55" s="251" t="s">
        <v>45</v>
      </c>
      <c r="X55" s="110" t="s">
        <v>42</v>
      </c>
      <c r="Y55" s="253"/>
      <c r="Z55" s="254"/>
    </row>
    <row r="56" s="10" customFormat="true" ht="14.1" hidden="false" customHeight="true" outlineLevel="0" collapsed="false">
      <c r="A56" s="100"/>
      <c r="B56" s="2"/>
      <c r="C56" s="3"/>
      <c r="D56" s="101"/>
      <c r="E56" s="102"/>
      <c r="F56" s="103"/>
      <c r="G56" s="5"/>
      <c r="H56" s="105"/>
      <c r="I56" s="106"/>
      <c r="J56" s="106"/>
      <c r="K56" s="106"/>
      <c r="L56" s="106"/>
      <c r="M56" s="105"/>
      <c r="N56" s="106"/>
      <c r="O56" s="105"/>
      <c r="P56" s="7"/>
      <c r="Q56" s="107"/>
      <c r="R56" s="105"/>
      <c r="S56" s="107"/>
      <c r="T56" s="108"/>
      <c r="U56" s="95"/>
      <c r="V56" s="109"/>
      <c r="X56" s="110"/>
      <c r="Y56" s="253"/>
      <c r="Z56" s="254"/>
    </row>
    <row r="57" s="10" customFormat="true" ht="14.1" hidden="false" customHeight="true" outlineLevel="0" collapsed="false">
      <c r="A57" s="100" t="s">
        <v>26</v>
      </c>
      <c r="B57" s="2" t="s">
        <v>279</v>
      </c>
      <c r="C57" s="3"/>
      <c r="D57" s="101" t="n">
        <v>6303105</v>
      </c>
      <c r="E57" s="102" t="n">
        <v>45107</v>
      </c>
      <c r="F57" s="103" t="s">
        <v>54</v>
      </c>
      <c r="G57" s="5" t="n">
        <v>45107</v>
      </c>
      <c r="H57" s="105"/>
      <c r="I57" s="106"/>
      <c r="J57" s="106"/>
      <c r="K57" s="106"/>
      <c r="L57" s="106"/>
      <c r="M57" s="105"/>
      <c r="N57" s="106"/>
      <c r="O57" s="105"/>
      <c r="P57" s="7"/>
      <c r="Q57" s="107"/>
      <c r="R57" s="105" t="n">
        <v>78</v>
      </c>
      <c r="S57" s="107" t="n">
        <v>25</v>
      </c>
      <c r="T57" s="108" t="n">
        <v>7.22</v>
      </c>
      <c r="U57" s="95" t="n">
        <f aca="false">SUM(H57:T57)</f>
        <v>110.22</v>
      </c>
      <c r="V57" s="109" t="s">
        <v>55</v>
      </c>
      <c r="W57" s="10" t="s">
        <v>45</v>
      </c>
      <c r="X57" s="110" t="s">
        <v>42</v>
      </c>
      <c r="Y57" s="253"/>
      <c r="Z57" s="254"/>
    </row>
    <row r="58" s="10" customFormat="true" ht="14.1" hidden="false" customHeight="true" outlineLevel="0" collapsed="false">
      <c r="A58" s="207"/>
      <c r="B58" s="208"/>
      <c r="C58" s="209"/>
      <c r="D58" s="209"/>
      <c r="E58" s="210"/>
      <c r="F58" s="211"/>
      <c r="G58" s="212"/>
      <c r="H58" s="213"/>
      <c r="I58" s="213"/>
      <c r="J58" s="214"/>
      <c r="K58" s="214"/>
      <c r="L58" s="214"/>
      <c r="M58" s="213"/>
      <c r="N58" s="213"/>
      <c r="O58" s="213"/>
      <c r="P58" s="128"/>
      <c r="Q58" s="215"/>
      <c r="R58" s="213"/>
      <c r="S58" s="215"/>
      <c r="T58" s="216"/>
      <c r="U58" s="217"/>
      <c r="V58" s="218"/>
      <c r="W58" s="29"/>
      <c r="X58" s="29"/>
      <c r="Y58" s="255" t="n">
        <f aca="false">SUM(U39:U57)</f>
        <v>7828.13</v>
      </c>
      <c r="Z58" s="220" t="n">
        <f aca="false">Y58/V60</f>
        <v>0.477912774430504</v>
      </c>
      <c r="AA58" s="51"/>
    </row>
    <row r="59" s="10" customFormat="true" ht="19.5" hidden="false" customHeight="true" outlineLevel="0" collapsed="false">
      <c r="A59" s="256"/>
      <c r="B59" s="257"/>
      <c r="C59" s="257"/>
      <c r="D59" s="49"/>
      <c r="E59" s="49"/>
      <c r="F59" s="258"/>
      <c r="G59" s="49"/>
      <c r="H59" s="259" t="n">
        <f aca="false">SUM(H4:H57)</f>
        <v>75</v>
      </c>
      <c r="I59" s="259" t="n">
        <f aca="false">SUM(I4:I57)</f>
        <v>1260</v>
      </c>
      <c r="J59" s="259" t="n">
        <f aca="false">SUM(J4:J57)</f>
        <v>0</v>
      </c>
      <c r="K59" s="259" t="n">
        <f aca="false">SUM(K4:K57)</f>
        <v>0</v>
      </c>
      <c r="L59" s="259" t="n">
        <f aca="false">SUM(L4:L57)</f>
        <v>0</v>
      </c>
      <c r="M59" s="259" t="n">
        <f aca="false">SUM(M4:M57)</f>
        <v>49</v>
      </c>
      <c r="N59" s="259" t="n">
        <f aca="false">SUM(N4:N57)</f>
        <v>39</v>
      </c>
      <c r="O59" s="259" t="n">
        <f aca="false">SUM(O4:O57)</f>
        <v>37.5</v>
      </c>
      <c r="P59" s="259" t="n">
        <f aca="false">SUM(P4:P57)</f>
        <v>0</v>
      </c>
      <c r="Q59" s="259" t="n">
        <f aca="false">SUM(Q4:Q57)</f>
        <v>0</v>
      </c>
      <c r="R59" s="259" t="n">
        <f aca="false">SUM(R4:R57)</f>
        <v>12216</v>
      </c>
      <c r="S59" s="259" t="n">
        <f aca="false">SUM(S4:S57)</f>
        <v>1810</v>
      </c>
      <c r="T59" s="259" t="n">
        <f aca="false">SUM(T4:T57)</f>
        <v>893.33</v>
      </c>
      <c r="U59" s="259" t="n">
        <f aca="false">SUM(U4:U57)</f>
        <v>16379.83</v>
      </c>
      <c r="V59" s="260"/>
      <c r="W59" s="11"/>
      <c r="X59" s="11"/>
      <c r="Y59" s="3"/>
      <c r="Z59" s="2"/>
      <c r="AA59" s="261"/>
      <c r="AB59" s="261"/>
      <c r="AC59" s="261"/>
    </row>
    <row r="60" s="10" customFormat="true" ht="14.1" hidden="false" customHeight="true" outlineLevel="0" collapsed="false">
      <c r="A60" s="2"/>
      <c r="B60" s="2"/>
      <c r="C60" s="3"/>
      <c r="D60" s="3"/>
      <c r="E60" s="4"/>
      <c r="F60" s="3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9"/>
      <c r="V60" s="262" t="n">
        <f aca="false">SUM(H59:T59)</f>
        <v>16379.83</v>
      </c>
      <c r="Y60" s="263"/>
      <c r="Z60" s="12"/>
    </row>
    <row r="61" s="10" customFormat="true" ht="14.1" hidden="false" customHeight="true" outlineLevel="0" collapsed="false">
      <c r="A61" s="2"/>
      <c r="B61" s="2"/>
      <c r="C61" s="3"/>
      <c r="D61" s="3"/>
      <c r="E61" s="4"/>
      <c r="F61" s="3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9"/>
      <c r="V61" s="2"/>
      <c r="Y61" s="263"/>
      <c r="Z61" s="12"/>
    </row>
    <row r="62" s="10" customFormat="true" ht="14.1" hidden="false" customHeight="true" outlineLevel="0" collapsed="false">
      <c r="A62" s="2"/>
      <c r="B62" s="2"/>
      <c r="C62" s="3"/>
      <c r="D62" s="3"/>
      <c r="E62" s="4"/>
      <c r="F62" s="3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8"/>
      <c r="U62" s="9"/>
      <c r="V62" s="2"/>
      <c r="Y62" s="263"/>
      <c r="Z62" s="12"/>
    </row>
    <row r="63" s="10" customFormat="true" ht="14.1" hidden="false" customHeight="true" outlineLevel="0" collapsed="false">
      <c r="A63" s="2"/>
      <c r="B63" s="2"/>
      <c r="C63" s="3"/>
      <c r="D63" s="3"/>
      <c r="E63" s="4"/>
      <c r="F63" s="3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8"/>
      <c r="U63" s="9"/>
      <c r="V63" s="2"/>
      <c r="Y63" s="263"/>
      <c r="Z63" s="12"/>
    </row>
    <row r="64" s="10" customFormat="true" ht="14.1" hidden="false" customHeight="true" outlineLevel="0" collapsed="false">
      <c r="A64" s="2"/>
      <c r="B64" s="2"/>
      <c r="C64" s="3"/>
      <c r="D64" s="3"/>
      <c r="E64" s="4"/>
      <c r="F64" s="3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8"/>
      <c r="U64" s="9"/>
      <c r="V64" s="2"/>
      <c r="Y64" s="263"/>
      <c r="Z64" s="12"/>
    </row>
    <row r="65" s="10" customFormat="true" ht="14.1" hidden="false" customHeight="true" outlineLevel="0" collapsed="false">
      <c r="A65" s="2"/>
      <c r="B65" s="2"/>
      <c r="C65" s="3"/>
      <c r="D65" s="3"/>
      <c r="E65" s="4"/>
      <c r="F65" s="3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8"/>
      <c r="U65" s="9"/>
      <c r="V65" s="2"/>
      <c r="Y65" s="263"/>
      <c r="Z65" s="12"/>
    </row>
    <row r="66" s="10" customFormat="true" ht="14.1" hidden="false" customHeight="true" outlineLevel="0" collapsed="false">
      <c r="A66" s="2"/>
      <c r="B66" s="2"/>
      <c r="C66" s="3"/>
      <c r="D66" s="3"/>
      <c r="E66" s="4"/>
      <c r="F66" s="3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8"/>
      <c r="U66" s="9"/>
      <c r="V66" s="2"/>
      <c r="Y66" s="263"/>
      <c r="Z66" s="12"/>
    </row>
    <row r="67" s="10" customFormat="true" ht="14.1" hidden="false" customHeight="true" outlineLevel="0" collapsed="false">
      <c r="A67" s="2"/>
      <c r="B67" s="2"/>
      <c r="C67" s="3"/>
      <c r="D67" s="3"/>
      <c r="E67" s="4"/>
      <c r="F67" s="3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8"/>
      <c r="U67" s="9"/>
      <c r="V67" s="2"/>
      <c r="Y67" s="263"/>
      <c r="Z67" s="12"/>
    </row>
    <row r="68" s="10" customFormat="true" ht="14.1" hidden="false" customHeight="true" outlineLevel="0" collapsed="false">
      <c r="A68" s="2"/>
      <c r="B68" s="2"/>
      <c r="C68" s="3"/>
      <c r="D68" s="3"/>
      <c r="E68" s="4"/>
      <c r="F68" s="3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9"/>
      <c r="V68" s="2"/>
      <c r="Y68" s="263"/>
      <c r="Z68" s="12"/>
    </row>
    <row r="69" s="10" customFormat="true" ht="14.1" hidden="false" customHeight="true" outlineLevel="0" collapsed="false">
      <c r="A69" s="2"/>
      <c r="B69" s="2"/>
      <c r="C69" s="264"/>
      <c r="D69" s="3"/>
      <c r="E69" s="4"/>
      <c r="F69" s="3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8"/>
      <c r="T69" s="8"/>
      <c r="V69" s="265"/>
      <c r="W69" s="266"/>
      <c r="X69" s="266"/>
      <c r="Y69" s="267"/>
      <c r="Z69" s="2"/>
    </row>
    <row r="70" s="10" customFormat="true" ht="14.1" hidden="false" customHeight="true" outlineLevel="0" collapsed="false">
      <c r="A70" s="2"/>
      <c r="B70" s="2"/>
      <c r="C70" s="3"/>
      <c r="D70" s="3"/>
      <c r="E70" s="4"/>
      <c r="F70" s="3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  <c r="U70" s="9"/>
      <c r="V70" s="2"/>
      <c r="Y70" s="263"/>
      <c r="Z70" s="12"/>
    </row>
    <row r="71" s="10" customFormat="true" ht="14.1" hidden="false" customHeight="true" outlineLevel="0" collapsed="false">
      <c r="A71" s="2"/>
      <c r="B71" s="2"/>
      <c r="C71" s="3"/>
      <c r="D71" s="3"/>
      <c r="E71" s="4"/>
      <c r="F71" s="3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8"/>
      <c r="U71" s="9"/>
      <c r="V71" s="2"/>
      <c r="Y71" s="263"/>
      <c r="Z71" s="12"/>
    </row>
    <row r="72" s="10" customFormat="true" ht="14.1" hidden="false" customHeight="true" outlineLevel="0" collapsed="false">
      <c r="A72" s="2"/>
      <c r="B72" s="2"/>
      <c r="C72" s="3"/>
      <c r="D72" s="3"/>
      <c r="E72" s="4"/>
      <c r="F72" s="3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8"/>
      <c r="U72" s="9"/>
      <c r="V72" s="2"/>
      <c r="Y72" s="263"/>
      <c r="Z72" s="12"/>
    </row>
    <row r="73" s="10" customFormat="true" ht="14.1" hidden="false" customHeight="true" outlineLevel="0" collapsed="false">
      <c r="A73" s="2"/>
      <c r="B73" s="2"/>
      <c r="C73" s="3"/>
      <c r="D73" s="3"/>
      <c r="E73" s="4"/>
      <c r="F73" s="3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  <c r="U73" s="9"/>
      <c r="V73" s="2"/>
      <c r="Y73" s="263"/>
      <c r="Z73" s="12"/>
    </row>
    <row r="74" s="10" customFormat="true" ht="14.1" hidden="false" customHeight="true" outlineLevel="0" collapsed="false">
      <c r="A74" s="2"/>
      <c r="B74" s="2"/>
      <c r="C74" s="3"/>
      <c r="D74" s="3"/>
      <c r="E74" s="4"/>
      <c r="F74" s="3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  <c r="U74" s="9"/>
      <c r="V74" s="2"/>
      <c r="Y74" s="263"/>
      <c r="Z74" s="12"/>
    </row>
    <row r="75" s="10" customFormat="true" ht="14.1" hidden="false" customHeight="true" outlineLevel="0" collapsed="false">
      <c r="A75" s="2"/>
      <c r="B75" s="2"/>
      <c r="C75" s="3"/>
      <c r="D75" s="3"/>
      <c r="E75" s="4"/>
      <c r="F75" s="3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8"/>
      <c r="U75" s="9"/>
      <c r="V75" s="2"/>
      <c r="Y75" s="263"/>
      <c r="Z75" s="12"/>
    </row>
    <row r="76" s="10" customFormat="true" ht="14.1" hidden="false" customHeight="true" outlineLevel="0" collapsed="false">
      <c r="A76" s="2"/>
      <c r="B76" s="2"/>
      <c r="C76" s="3"/>
      <c r="D76" s="3"/>
      <c r="E76" s="4"/>
      <c r="F76" s="3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/>
      <c r="U76" s="9"/>
      <c r="V76" s="2"/>
      <c r="Y76" s="263"/>
      <c r="Z76" s="12"/>
    </row>
    <row r="77" s="10" customFormat="true" ht="14.1" hidden="false" customHeight="true" outlineLevel="0" collapsed="false">
      <c r="A77" s="2"/>
      <c r="B77" s="2"/>
      <c r="C77" s="3"/>
      <c r="D77" s="3"/>
      <c r="E77" s="4"/>
      <c r="F77" s="3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/>
      <c r="U77" s="9"/>
      <c r="V77" s="2"/>
      <c r="Y77" s="263"/>
      <c r="Z77" s="12"/>
    </row>
    <row r="78" s="10" customFormat="true" ht="14.1" hidden="false" customHeight="true" outlineLevel="0" collapsed="false">
      <c r="A78" s="2"/>
      <c r="B78" s="2"/>
      <c r="C78" s="3"/>
      <c r="D78" s="3"/>
      <c r="E78" s="4"/>
      <c r="F78" s="3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9"/>
      <c r="V78" s="2"/>
      <c r="Y78" s="263"/>
      <c r="Z78" s="12"/>
    </row>
    <row r="79" s="10" customFormat="true" ht="14.1" hidden="false" customHeight="true" outlineLevel="0" collapsed="false">
      <c r="A79" s="2"/>
      <c r="B79" s="2"/>
      <c r="C79" s="3"/>
      <c r="D79" s="3"/>
      <c r="E79" s="4"/>
      <c r="F79" s="3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/>
      <c r="U79" s="9"/>
      <c r="V79" s="2"/>
      <c r="Y79" s="263"/>
      <c r="Z79" s="12"/>
    </row>
    <row r="80" s="10" customFormat="true" ht="14.1" hidden="false" customHeight="true" outlineLevel="0" collapsed="false">
      <c r="A80" s="2"/>
      <c r="B80" s="2"/>
      <c r="C80" s="3"/>
      <c r="D80" s="3"/>
      <c r="E80" s="4"/>
      <c r="F80" s="3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9"/>
      <c r="V80" s="2"/>
      <c r="Y80" s="263"/>
      <c r="Z80" s="12"/>
    </row>
    <row r="81" s="10" customFormat="true" ht="14.1" hidden="false" customHeight="true" outlineLevel="0" collapsed="false">
      <c r="A81" s="2"/>
      <c r="B81" s="2"/>
      <c r="C81" s="3"/>
      <c r="D81" s="3"/>
      <c r="E81" s="4"/>
      <c r="F81" s="3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/>
      <c r="U81" s="9"/>
      <c r="V81" s="2"/>
      <c r="Y81" s="263"/>
      <c r="Z81" s="12"/>
    </row>
    <row r="82" s="10" customFormat="true" ht="14.1" hidden="false" customHeight="true" outlineLevel="0" collapsed="false">
      <c r="A82" s="2"/>
      <c r="B82" s="2"/>
      <c r="C82" s="3"/>
      <c r="D82" s="3"/>
      <c r="E82" s="4"/>
      <c r="F82" s="3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8"/>
      <c r="U82" s="9"/>
      <c r="V82" s="2"/>
      <c r="Y82" s="263"/>
      <c r="Z82" s="12"/>
    </row>
    <row r="83" s="10" customFormat="true" ht="14.1" hidden="false" customHeight="true" outlineLevel="0" collapsed="false">
      <c r="A83" s="2"/>
      <c r="B83" s="2"/>
      <c r="C83" s="3"/>
      <c r="D83" s="3"/>
      <c r="E83" s="4"/>
      <c r="F83" s="3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8"/>
      <c r="U83" s="9"/>
      <c r="V83" s="2"/>
      <c r="Y83" s="263"/>
      <c r="Z83" s="12"/>
    </row>
    <row r="84" s="10" customFormat="true" ht="14.1" hidden="false" customHeight="true" outlineLevel="0" collapsed="false">
      <c r="A84" s="2"/>
      <c r="B84" s="2"/>
      <c r="C84" s="3"/>
      <c r="D84" s="3"/>
      <c r="E84" s="4"/>
      <c r="F84" s="3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8"/>
      <c r="U84" s="9"/>
      <c r="V84" s="2"/>
      <c r="Y84" s="263"/>
      <c r="Z84" s="12"/>
    </row>
    <row r="85" s="10" customFormat="true" ht="14.1" hidden="false" customHeight="true" outlineLevel="0" collapsed="false">
      <c r="A85" s="2"/>
      <c r="B85" s="2"/>
      <c r="C85" s="3"/>
      <c r="D85" s="3"/>
      <c r="E85" s="4"/>
      <c r="F85" s="3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8"/>
      <c r="U85" s="9"/>
      <c r="V85" s="2"/>
      <c r="Y85" s="263"/>
      <c r="Z85" s="12"/>
    </row>
    <row r="86" s="10" customFormat="true" ht="14.1" hidden="false" customHeight="true" outlineLevel="0" collapsed="false">
      <c r="A86" s="2"/>
      <c r="B86" s="2"/>
      <c r="C86" s="3"/>
      <c r="D86" s="3"/>
      <c r="E86" s="4"/>
      <c r="F86" s="3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8"/>
      <c r="U86" s="9"/>
      <c r="V86" s="2"/>
      <c r="Y86" s="263"/>
      <c r="Z86" s="12"/>
    </row>
    <row r="87" s="10" customFormat="true" ht="14.1" hidden="false" customHeight="true" outlineLevel="0" collapsed="false">
      <c r="A87" s="2"/>
      <c r="B87" s="2"/>
      <c r="C87" s="3"/>
      <c r="D87" s="3"/>
      <c r="E87" s="4"/>
      <c r="F87" s="3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9"/>
      <c r="V87" s="2"/>
      <c r="Y87" s="263"/>
      <c r="Z87" s="12"/>
    </row>
    <row r="88" s="10" customFormat="true" ht="14.1" hidden="false" customHeight="true" outlineLevel="0" collapsed="false">
      <c r="A88" s="2"/>
      <c r="B88" s="2"/>
      <c r="C88" s="3"/>
      <c r="D88" s="3"/>
      <c r="E88" s="4"/>
      <c r="F88" s="3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8"/>
      <c r="U88" s="9"/>
      <c r="V88" s="2"/>
      <c r="Y88" s="263"/>
      <c r="Z88" s="12"/>
    </row>
    <row r="89" s="10" customFormat="true" ht="14.1" hidden="false" customHeight="true" outlineLevel="0" collapsed="false">
      <c r="A89" s="2"/>
      <c r="B89" s="2"/>
      <c r="C89" s="3"/>
      <c r="D89" s="3"/>
      <c r="E89" s="4"/>
      <c r="F89" s="3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/>
      <c r="U89" s="9"/>
      <c r="V89" s="2"/>
      <c r="Y89" s="263"/>
      <c r="Z89" s="12"/>
    </row>
    <row r="90" s="10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9"/>
      <c r="V90" s="2"/>
      <c r="Y90" s="263"/>
      <c r="Z90" s="12"/>
    </row>
    <row r="91" s="10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9"/>
      <c r="V91" s="2"/>
      <c r="Y91" s="263"/>
      <c r="Z91" s="12"/>
    </row>
    <row r="92" s="10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9"/>
      <c r="V92" s="2"/>
      <c r="Y92" s="263"/>
      <c r="Z92" s="12"/>
    </row>
    <row r="93" s="10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9"/>
      <c r="V93" s="2"/>
      <c r="Y93" s="263"/>
      <c r="Z93" s="12"/>
    </row>
    <row r="94" s="10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9"/>
      <c r="V94" s="2"/>
      <c r="Y94" s="263"/>
      <c r="Z94" s="12"/>
    </row>
    <row r="95" s="10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9"/>
      <c r="V95" s="2"/>
      <c r="Y95" s="263"/>
      <c r="Z95" s="12"/>
    </row>
    <row r="96" s="10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9"/>
      <c r="V96" s="2"/>
      <c r="Y96" s="263"/>
      <c r="Z96" s="12"/>
    </row>
    <row r="97" s="10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9"/>
      <c r="V97" s="2"/>
      <c r="Y97" s="263"/>
      <c r="Z97" s="12"/>
    </row>
    <row r="98" s="10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9"/>
      <c r="V98" s="2"/>
      <c r="Y98" s="263"/>
      <c r="Z98" s="12"/>
    </row>
    <row r="99" s="10" customFormat="true" ht="14.1" hidden="false" customHeight="true" outlineLevel="0" collapsed="false">
      <c r="A99" s="2"/>
      <c r="B99" s="2"/>
      <c r="C99" s="3"/>
      <c r="D99" s="3"/>
      <c r="E99" s="4"/>
      <c r="F99" s="3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/>
      <c r="U99" s="9"/>
      <c r="V99" s="2"/>
      <c r="Y99" s="263"/>
      <c r="Z99" s="12"/>
    </row>
    <row r="100" s="10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9"/>
      <c r="V100" s="2"/>
      <c r="Y100" s="263"/>
      <c r="Z100" s="12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"/>
      <c r="Y101" s="263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63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63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63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63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63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63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63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63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63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63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63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63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63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63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63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63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63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63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63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63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63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63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63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63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63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63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63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63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63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63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63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63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63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63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63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63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63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63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63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63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63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63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63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63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63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63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63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63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63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63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63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63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63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63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63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63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63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63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63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63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63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63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63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63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63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63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63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63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63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63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63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63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63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63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63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63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63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63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63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63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63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63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63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63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63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63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63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63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63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63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63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63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63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63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63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63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63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63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63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63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63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63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63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63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63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63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63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63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63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63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63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63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63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63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63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63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63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63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63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63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63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63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63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63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63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63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63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63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63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63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63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63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63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63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63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63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63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63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63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63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63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63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63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63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63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63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63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63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63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63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63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63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63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63"/>
      <c r="Z255" s="12"/>
    </row>
    <row r="256" s="10" customFormat="true" ht="14.1" hidden="false" customHeight="true" outlineLevel="0" collapsed="false">
      <c r="A256" s="2"/>
      <c r="B256" s="2"/>
      <c r="C256" s="3"/>
      <c r="D256" s="3"/>
      <c r="E256" s="4"/>
      <c r="F256" s="3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9"/>
      <c r="V256" s="2"/>
      <c r="Y256" s="263"/>
      <c r="Z256" s="12"/>
    </row>
    <row r="257" s="10" customFormat="true" ht="14.1" hidden="false" customHeight="true" outlineLevel="0" collapsed="false">
      <c r="A257" s="2"/>
      <c r="B257" s="2"/>
      <c r="C257" s="3"/>
      <c r="D257" s="3"/>
      <c r="E257" s="4"/>
      <c r="F257" s="3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9"/>
      <c r="V257" s="2"/>
      <c r="Y257" s="263"/>
      <c r="Z257" s="12"/>
    </row>
    <row r="258" s="10" customFormat="true" ht="14.1" hidden="false" customHeight="true" outlineLevel="0" collapsed="false">
      <c r="A258" s="2"/>
      <c r="B258" s="2"/>
      <c r="C258" s="3"/>
      <c r="D258" s="3"/>
      <c r="E258" s="4"/>
      <c r="F258" s="3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9"/>
      <c r="V258" s="2"/>
      <c r="Y258" s="263"/>
      <c r="Z258" s="12"/>
    </row>
    <row r="259" s="10" customFormat="true" ht="14.1" hidden="false" customHeight="true" outlineLevel="0" collapsed="false">
      <c r="A259" s="2"/>
      <c r="B259" s="2"/>
      <c r="C259" s="264"/>
      <c r="D259" s="3"/>
      <c r="E259" s="4"/>
      <c r="F259" s="3"/>
      <c r="G259" s="5"/>
      <c r="H259" s="7"/>
      <c r="I259" s="7"/>
      <c r="J259" s="7"/>
      <c r="K259" s="268"/>
      <c r="L259" s="7"/>
      <c r="M259" s="7"/>
      <c r="N259" s="7"/>
      <c r="O259" s="7"/>
      <c r="P259" s="7"/>
      <c r="Q259" s="7"/>
      <c r="R259" s="7"/>
      <c r="S259" s="8"/>
      <c r="T259" s="8"/>
      <c r="V259" s="265"/>
      <c r="W259" s="266"/>
      <c r="X259" s="266"/>
      <c r="Y259" s="267"/>
      <c r="Z259" s="2"/>
    </row>
    <row r="260" s="261" customFormat="true" ht="26.25" hidden="false" customHeight="true" outlineLevel="0" collapsed="false">
      <c r="A260" s="269"/>
      <c r="B260" s="270"/>
      <c r="C260" s="270"/>
      <c r="D260" s="10"/>
      <c r="E260" s="10"/>
      <c r="F260" s="263"/>
      <c r="G260" s="10"/>
      <c r="H260" s="268"/>
      <c r="I260" s="268"/>
      <c r="J260" s="268"/>
      <c r="K260" s="7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140"/>
      <c r="W260" s="11"/>
      <c r="X260" s="11"/>
      <c r="Y260" s="3"/>
      <c r="Z260" s="2"/>
    </row>
    <row r="261" customFormat="false" ht="15" hidden="false" customHeight="true" outlineLevel="0" collapsed="false">
      <c r="V261" s="271"/>
      <c r="W261" s="2"/>
      <c r="X261" s="2"/>
    </row>
    <row r="269" s="2" customFormat="true" ht="9.75" hidden="false" customHeight="true" outlineLevel="0" collapsed="false">
      <c r="F269" s="3"/>
    </row>
    <row r="270" s="2" customFormat="true" ht="10.5" hidden="false" customHeight="true" outlineLevel="0" collapsed="false">
      <c r="F270" s="137"/>
    </row>
    <row r="271" s="2" customFormat="true" ht="9.75" hidden="false" customHeight="true" outlineLevel="0" collapsed="false">
      <c r="F271" s="3"/>
    </row>
    <row r="284" s="2" customFormat="true" ht="9.75" hidden="false" customHeight="true" outlineLevel="0" collapsed="false">
      <c r="J284" s="4"/>
    </row>
  </sheetData>
  <printOptions headings="false" gridLines="false" gridLinesSet="true" horizontalCentered="false" verticalCentered="false"/>
  <pageMargins left="0.179861111111111" right="0.129861111111111" top="0.209722222222222" bottom="0.1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C28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43" activePane="bottomLeft" state="frozen"/>
      <selection pane="topLeft" activeCell="A1" activeCellId="0" sqref="A1"/>
      <selection pane="bottomLeft" activeCell="A1" activeCellId="1" sqref="29:29 A1"/>
    </sheetView>
  </sheetViews>
  <sheetFormatPr defaultColWidth="6.8671875" defaultRowHeight="9.7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36" width="9.14"/>
    <col collapsed="false" customWidth="true" hidden="false" outlineLevel="0" max="5" min="5" style="4" width="5.01"/>
    <col collapsed="false" customWidth="true" hidden="false" outlineLevel="0" max="6" min="6" style="137" width="10.29"/>
    <col collapsed="false" customWidth="true" hidden="false" outlineLevel="0" max="7" min="7" style="138" width="5.57"/>
    <col collapsed="false" customWidth="true" hidden="false" outlineLevel="0" max="8" min="8" style="7" width="6.71"/>
    <col collapsed="false" customWidth="true" hidden="false" outlineLevel="0" max="9" min="9" style="7" width="5.14"/>
    <col collapsed="false" customWidth="true" hidden="false" outlineLevel="0" max="10" min="10" style="7" width="5.57"/>
    <col collapsed="false" customWidth="true" hidden="false" outlineLevel="0" max="11" min="11" style="7" width="5.14"/>
    <col collapsed="false" customWidth="true" hidden="false" outlineLevel="0" max="12" min="12" style="7" width="4.86"/>
    <col collapsed="false" customWidth="true" hidden="false" outlineLevel="0" max="13" min="13" style="7" width="6.15"/>
    <col collapsed="false" customWidth="true" hidden="false" outlineLevel="0" max="14" min="14" style="7" width="5.43"/>
    <col collapsed="false" customWidth="true" hidden="false" outlineLevel="0" max="15" min="15" style="7" width="6.28"/>
    <col collapsed="false" customWidth="true" hidden="false" outlineLevel="0" max="16" min="16" style="7" width="6.71"/>
    <col collapsed="false" customWidth="true" hidden="false" outlineLevel="0" max="17" min="17" style="8" width="5.7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9" width="6.28"/>
    <col collapsed="false" customWidth="true" hidden="false" outlineLevel="0" max="21" min="21" style="140" width="9.14"/>
    <col collapsed="false" customWidth="true" hidden="false" outlineLevel="0" max="22" min="22" style="11" width="9"/>
    <col collapsed="false" customWidth="true" hidden="false" outlineLevel="0" max="23" min="23" style="10" width="6.71"/>
    <col collapsed="false" customWidth="true" hidden="false" outlineLevel="0" max="24" min="24" style="10" width="3.57"/>
    <col collapsed="false" customWidth="true" hidden="false" outlineLevel="0" max="25" min="25" style="3" width="7.57"/>
    <col collapsed="false" customWidth="true" hidden="false" outlineLevel="0" max="26" min="26" style="2" width="8.57"/>
    <col collapsed="false" customWidth="true" hidden="false" outlineLevel="0" max="27" min="27" style="2" width="7.42"/>
    <col collapsed="false" customWidth="false" hidden="false" outlineLevel="0" max="1024" min="28" style="2" width="6.86"/>
  </cols>
  <sheetData>
    <row r="1" customFormat="false" ht="18.75" hidden="false" customHeight="true" outlineLevel="0" collapsed="false">
      <c r="A1" s="141"/>
      <c r="B1" s="142" t="n">
        <v>45135</v>
      </c>
      <c r="C1" s="143"/>
      <c r="D1" s="144"/>
      <c r="E1" s="145" t="s">
        <v>218</v>
      </c>
      <c r="F1" s="146"/>
      <c r="G1" s="146"/>
      <c r="H1" s="147" t="s">
        <v>219</v>
      </c>
      <c r="I1" s="148"/>
      <c r="K1" s="149" t="s">
        <v>220</v>
      </c>
      <c r="L1" s="149"/>
      <c r="M1" s="150"/>
      <c r="N1" s="149"/>
      <c r="O1" s="151" t="s">
        <v>221</v>
      </c>
      <c r="P1" s="152"/>
      <c r="Q1" s="153"/>
      <c r="R1" s="154"/>
      <c r="S1" s="155"/>
      <c r="T1" s="156"/>
      <c r="U1" s="157"/>
      <c r="V1" s="158"/>
      <c r="W1" s="11"/>
      <c r="X1" s="11"/>
    </row>
    <row r="2" s="10" customFormat="true" ht="12.75" hidden="false" customHeight="true" outlineLevel="0" collapsed="false">
      <c r="A2" s="29" t="s">
        <v>222</v>
      </c>
      <c r="B2" s="159" t="s">
        <v>1</v>
      </c>
      <c r="C2" s="159"/>
      <c r="D2" s="160" t="s">
        <v>3</v>
      </c>
      <c r="E2" s="161" t="s">
        <v>223</v>
      </c>
      <c r="F2" s="162" t="s">
        <v>5</v>
      </c>
      <c r="G2" s="163" t="s">
        <v>224</v>
      </c>
      <c r="H2" s="164" t="s">
        <v>225</v>
      </c>
      <c r="I2" s="164" t="s">
        <v>226</v>
      </c>
      <c r="J2" s="164" t="s">
        <v>227</v>
      </c>
      <c r="K2" s="164" t="s">
        <v>228</v>
      </c>
      <c r="L2" s="129" t="s">
        <v>12</v>
      </c>
      <c r="M2" s="165" t="s">
        <v>229</v>
      </c>
      <c r="N2" s="129" t="s">
        <v>230</v>
      </c>
      <c r="O2" s="164" t="s">
        <v>231</v>
      </c>
      <c r="P2" s="164" t="s">
        <v>232</v>
      </c>
      <c r="Q2" s="129" t="s">
        <v>233</v>
      </c>
      <c r="R2" s="164" t="s">
        <v>234</v>
      </c>
      <c r="S2" s="164" t="s">
        <v>19</v>
      </c>
      <c r="T2" s="166" t="s">
        <v>20</v>
      </c>
      <c r="U2" s="159" t="s">
        <v>21</v>
      </c>
      <c r="V2" s="140"/>
      <c r="W2" s="167"/>
      <c r="X2" s="167"/>
      <c r="Y2" s="168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9"/>
      <c r="X3" s="169"/>
      <c r="Y3" s="170"/>
      <c r="Z3" s="171"/>
    </row>
    <row r="4" s="10" customFormat="true" ht="14.1" hidden="false" customHeight="true" outlineLevel="0" collapsed="false">
      <c r="A4" s="206" t="s">
        <v>26</v>
      </c>
      <c r="B4" s="173" t="s">
        <v>252</v>
      </c>
      <c r="C4" s="174"/>
      <c r="D4" s="175" t="n">
        <v>4243107</v>
      </c>
      <c r="E4" s="176" t="n">
        <v>45040</v>
      </c>
      <c r="F4" s="177" t="s">
        <v>54</v>
      </c>
      <c r="G4" s="178" t="n">
        <v>45041</v>
      </c>
      <c r="H4" s="179"/>
      <c r="I4" s="180"/>
      <c r="J4" s="180"/>
      <c r="K4" s="180"/>
      <c r="L4" s="180"/>
      <c r="M4" s="179"/>
      <c r="N4" s="180"/>
      <c r="O4" s="179"/>
      <c r="P4" s="181"/>
      <c r="Q4" s="182"/>
      <c r="R4" s="179" t="n">
        <v>317</v>
      </c>
      <c r="S4" s="182" t="n">
        <v>62.5</v>
      </c>
      <c r="T4" s="183" t="n">
        <v>26.15</v>
      </c>
      <c r="U4" s="184" t="n">
        <f aca="false">SUM(H4:T4)</f>
        <v>405.65</v>
      </c>
      <c r="V4" s="185" t="s">
        <v>55</v>
      </c>
      <c r="W4" s="186" t="s">
        <v>135</v>
      </c>
      <c r="X4" s="110" t="s">
        <v>42</v>
      </c>
      <c r="Y4" s="187"/>
      <c r="Z4" s="51"/>
    </row>
    <row r="5" s="10" customFormat="true" ht="14.1" hidden="false" customHeight="true" outlineLevel="0" collapsed="false">
      <c r="A5" s="222" t="s">
        <v>37</v>
      </c>
      <c r="B5" s="223" t="s">
        <v>261</v>
      </c>
      <c r="C5" s="224"/>
      <c r="D5" s="225" t="n">
        <v>5153051</v>
      </c>
      <c r="E5" s="226" t="n">
        <v>45061</v>
      </c>
      <c r="F5" s="227" t="s">
        <v>262</v>
      </c>
      <c r="G5" s="228" t="n">
        <v>45061</v>
      </c>
      <c r="H5" s="229"/>
      <c r="I5" s="230" t="n">
        <v>249</v>
      </c>
      <c r="J5" s="230"/>
      <c r="K5" s="230"/>
      <c r="L5" s="230"/>
      <c r="M5" s="229"/>
      <c r="N5" s="230"/>
      <c r="O5" s="229"/>
      <c r="P5" s="231"/>
      <c r="Q5" s="232"/>
      <c r="R5" s="229"/>
      <c r="S5" s="232"/>
      <c r="T5" s="233" t="n">
        <v>20.7</v>
      </c>
      <c r="U5" s="234" t="n">
        <f aca="false">SUM(H5:T5)</f>
        <v>269.7</v>
      </c>
      <c r="V5" s="235" t="s">
        <v>41</v>
      </c>
      <c r="W5" s="236" t="s">
        <v>37</v>
      </c>
      <c r="X5" s="110" t="s">
        <v>42</v>
      </c>
      <c r="Y5" s="187"/>
      <c r="Z5" s="51"/>
    </row>
    <row r="6" s="10" customFormat="true" ht="14.1" hidden="false" customHeight="true" outlineLevel="0" collapsed="false">
      <c r="A6" s="237" t="s">
        <v>37</v>
      </c>
      <c r="B6" s="238" t="s">
        <v>261</v>
      </c>
      <c r="C6" s="239" t="s">
        <v>273</v>
      </c>
      <c r="D6" s="240" t="n">
        <v>6153054</v>
      </c>
      <c r="E6" s="241" t="n">
        <v>45092</v>
      </c>
      <c r="F6" s="242" t="s">
        <v>262</v>
      </c>
      <c r="G6" s="243" t="n">
        <v>45092</v>
      </c>
      <c r="H6" s="244"/>
      <c r="I6" s="245" t="n">
        <v>249</v>
      </c>
      <c r="J6" s="245"/>
      <c r="K6" s="245"/>
      <c r="L6" s="245"/>
      <c r="M6" s="244"/>
      <c r="N6" s="245"/>
      <c r="O6" s="244"/>
      <c r="P6" s="246"/>
      <c r="Q6" s="247"/>
      <c r="R6" s="244"/>
      <c r="S6" s="247"/>
      <c r="T6" s="248" t="n">
        <v>20.7</v>
      </c>
      <c r="U6" s="249" t="n">
        <f aca="false">SUM(H6:T6)</f>
        <v>269.7</v>
      </c>
      <c r="V6" s="250" t="s">
        <v>41</v>
      </c>
      <c r="W6" s="251" t="s">
        <v>37</v>
      </c>
      <c r="X6" s="110" t="s">
        <v>42</v>
      </c>
      <c r="Y6" s="253"/>
      <c r="Z6" s="254"/>
    </row>
    <row r="7" s="205" customFormat="true" ht="14.1" hidden="false" customHeight="true" outlineLevel="0" collapsed="false">
      <c r="A7" s="237" t="s">
        <v>37</v>
      </c>
      <c r="B7" s="238" t="s">
        <v>38</v>
      </c>
      <c r="C7" s="239"/>
      <c r="D7" s="240" t="n">
        <v>6013051</v>
      </c>
      <c r="E7" s="241" t="n">
        <v>45078</v>
      </c>
      <c r="F7" s="242" t="s">
        <v>262</v>
      </c>
      <c r="G7" s="243" t="n">
        <v>45078</v>
      </c>
      <c r="H7" s="244"/>
      <c r="I7" s="245"/>
      <c r="J7" s="245"/>
      <c r="K7" s="245"/>
      <c r="L7" s="245"/>
      <c r="M7" s="244" t="n">
        <v>49</v>
      </c>
      <c r="N7" s="245" t="n">
        <v>39</v>
      </c>
      <c r="O7" s="244"/>
      <c r="P7" s="246"/>
      <c r="Q7" s="247"/>
      <c r="R7" s="244"/>
      <c r="S7" s="247"/>
      <c r="T7" s="248"/>
      <c r="U7" s="249" t="n">
        <f aca="false">SUM(H7:T7)</f>
        <v>88</v>
      </c>
      <c r="V7" s="250" t="s">
        <v>41</v>
      </c>
      <c r="W7" s="251" t="s">
        <v>45</v>
      </c>
      <c r="X7" s="110" t="s">
        <v>42</v>
      </c>
      <c r="Y7" s="253"/>
      <c r="Z7" s="254"/>
      <c r="AA7" s="10"/>
      <c r="AB7" s="10"/>
      <c r="AC7" s="10"/>
    </row>
    <row r="8" s="10" customFormat="true" ht="14.1" hidden="false" customHeight="true" outlineLevel="0" collapsed="false">
      <c r="A8" s="237" t="s">
        <v>26</v>
      </c>
      <c r="B8" s="238" t="s">
        <v>277</v>
      </c>
      <c r="C8" s="239"/>
      <c r="D8" s="240" t="n">
        <v>6263101</v>
      </c>
      <c r="E8" s="241" t="n">
        <v>45103</v>
      </c>
      <c r="F8" s="242" t="s">
        <v>54</v>
      </c>
      <c r="G8" s="243" t="n">
        <v>45103</v>
      </c>
      <c r="H8" s="244"/>
      <c r="I8" s="245"/>
      <c r="J8" s="245"/>
      <c r="K8" s="245"/>
      <c r="L8" s="245"/>
      <c r="M8" s="244"/>
      <c r="N8" s="245"/>
      <c r="O8" s="244"/>
      <c r="P8" s="246"/>
      <c r="Q8" s="247"/>
      <c r="R8" s="244" t="n">
        <v>447</v>
      </c>
      <c r="S8" s="247" t="n">
        <v>87.5</v>
      </c>
      <c r="T8" s="248" t="n">
        <v>34.64</v>
      </c>
      <c r="U8" s="249" t="n">
        <f aca="false">SUM(H8:T8)</f>
        <v>569.14</v>
      </c>
      <c r="V8" s="250" t="s">
        <v>55</v>
      </c>
      <c r="W8" s="251" t="s">
        <v>26</v>
      </c>
      <c r="X8" s="110" t="s">
        <v>42</v>
      </c>
      <c r="Y8" s="253"/>
      <c r="Z8" s="254"/>
    </row>
    <row r="9" s="10" customFormat="true" ht="14.1" hidden="false" customHeight="true" outlineLevel="0" collapsed="false">
      <c r="A9" s="222" t="s">
        <v>26</v>
      </c>
      <c r="B9" s="223" t="s">
        <v>257</v>
      </c>
      <c r="C9" s="224"/>
      <c r="D9" s="225" t="n">
        <v>5023102</v>
      </c>
      <c r="E9" s="226" t="n">
        <v>45048</v>
      </c>
      <c r="F9" s="227" t="s">
        <v>54</v>
      </c>
      <c r="G9" s="228" t="n">
        <v>45050</v>
      </c>
      <c r="H9" s="229"/>
      <c r="I9" s="230"/>
      <c r="J9" s="230"/>
      <c r="K9" s="230"/>
      <c r="L9" s="230"/>
      <c r="M9" s="229"/>
      <c r="N9" s="230"/>
      <c r="O9" s="229"/>
      <c r="P9" s="231"/>
      <c r="Q9" s="232"/>
      <c r="R9" s="229" t="n">
        <v>2200</v>
      </c>
      <c r="S9" s="232" t="n">
        <v>180</v>
      </c>
      <c r="T9" s="233" t="n">
        <v>203.5</v>
      </c>
      <c r="U9" s="234" t="n">
        <f aca="false">SUM(H9:T9)</f>
        <v>2583.5</v>
      </c>
      <c r="V9" s="235" t="s">
        <v>30</v>
      </c>
      <c r="W9" s="236" t="s">
        <v>26</v>
      </c>
      <c r="X9" s="110" t="s">
        <v>42</v>
      </c>
      <c r="Y9" s="187"/>
      <c r="Z9" s="51"/>
    </row>
    <row r="10" s="10" customFormat="true" ht="14.1" hidden="false" customHeight="true" outlineLevel="0" collapsed="false">
      <c r="A10" s="222" t="s">
        <v>26</v>
      </c>
      <c r="B10" s="223" t="s">
        <v>265</v>
      </c>
      <c r="C10" s="224"/>
      <c r="D10" s="225" t="n">
        <v>5263107</v>
      </c>
      <c r="E10" s="226" t="n">
        <v>45072</v>
      </c>
      <c r="F10" s="227" t="s">
        <v>54</v>
      </c>
      <c r="G10" s="228" t="n">
        <v>45072</v>
      </c>
      <c r="H10" s="229"/>
      <c r="I10" s="230"/>
      <c r="J10" s="230"/>
      <c r="K10" s="230"/>
      <c r="L10" s="230"/>
      <c r="M10" s="229"/>
      <c r="N10" s="230"/>
      <c r="O10" s="229"/>
      <c r="P10" s="231"/>
      <c r="Q10" s="232"/>
      <c r="R10" s="229" t="n">
        <v>65</v>
      </c>
      <c r="S10" s="232" t="n">
        <v>12.5</v>
      </c>
      <c r="T10" s="233" t="n">
        <v>6.66</v>
      </c>
      <c r="U10" s="234" t="n">
        <f aca="false">SUM(H10:T10)</f>
        <v>84.16</v>
      </c>
      <c r="V10" s="235" t="s">
        <v>55</v>
      </c>
      <c r="W10" s="236" t="s">
        <v>26</v>
      </c>
      <c r="X10" s="110" t="s">
        <v>42</v>
      </c>
      <c r="Y10" s="187"/>
      <c r="Z10" s="51"/>
    </row>
    <row r="11" s="10" customFormat="true" ht="14.1" hidden="false" customHeight="true" outlineLevel="0" collapsed="false">
      <c r="A11" s="237" t="s">
        <v>26</v>
      </c>
      <c r="B11" s="238" t="s">
        <v>266</v>
      </c>
      <c r="C11" s="239"/>
      <c r="D11" s="240" t="n">
        <v>5303104</v>
      </c>
      <c r="E11" s="241" t="n">
        <v>45076</v>
      </c>
      <c r="F11" s="242" t="s">
        <v>54</v>
      </c>
      <c r="G11" s="243" t="n">
        <v>45076</v>
      </c>
      <c r="H11" s="244"/>
      <c r="I11" s="245"/>
      <c r="J11" s="245"/>
      <c r="K11" s="245"/>
      <c r="L11" s="245"/>
      <c r="M11" s="244"/>
      <c r="N11" s="245"/>
      <c r="O11" s="244"/>
      <c r="P11" s="246"/>
      <c r="Q11" s="247"/>
      <c r="R11" s="244" t="n">
        <v>29</v>
      </c>
      <c r="S11" s="247" t="n">
        <v>12.5</v>
      </c>
      <c r="T11" s="248" t="n">
        <v>2.5</v>
      </c>
      <c r="U11" s="249" t="n">
        <f aca="false">SUM(H11:T11)</f>
        <v>44</v>
      </c>
      <c r="V11" s="250" t="s">
        <v>55</v>
      </c>
      <c r="W11" s="251" t="s">
        <v>26</v>
      </c>
      <c r="X11" s="110" t="s">
        <v>42</v>
      </c>
      <c r="Y11" s="187"/>
      <c r="Z11" s="51"/>
    </row>
    <row r="12" s="10" customFormat="true" ht="14.1" hidden="false" customHeight="true" outlineLevel="0" collapsed="false">
      <c r="A12" s="237" t="s">
        <v>45</v>
      </c>
      <c r="B12" s="238" t="s">
        <v>117</v>
      </c>
      <c r="C12" s="239"/>
      <c r="D12" s="240" t="n">
        <v>6133062</v>
      </c>
      <c r="E12" s="241" t="n">
        <v>45090</v>
      </c>
      <c r="F12" s="242" t="s">
        <v>54</v>
      </c>
      <c r="G12" s="243" t="n">
        <v>45092</v>
      </c>
      <c r="H12" s="244"/>
      <c r="I12" s="245"/>
      <c r="J12" s="245"/>
      <c r="K12" s="245"/>
      <c r="L12" s="245"/>
      <c r="M12" s="244"/>
      <c r="N12" s="245"/>
      <c r="O12" s="244"/>
      <c r="P12" s="246"/>
      <c r="Q12" s="247"/>
      <c r="R12" s="244" t="n">
        <v>-98</v>
      </c>
      <c r="S12" s="247"/>
      <c r="T12" s="248"/>
      <c r="U12" s="249" t="n">
        <f aca="false">SUM(H12:T12)</f>
        <v>-98</v>
      </c>
      <c r="V12" s="250" t="s">
        <v>55</v>
      </c>
      <c r="W12" s="251" t="s">
        <v>45</v>
      </c>
      <c r="X12" s="110" t="s">
        <v>42</v>
      </c>
      <c r="Y12" s="253"/>
      <c r="Z12" s="254"/>
    </row>
    <row r="13" s="10" customFormat="true" ht="14.1" hidden="false" customHeight="true" outlineLevel="0" collapsed="false">
      <c r="A13" s="237" t="s">
        <v>45</v>
      </c>
      <c r="B13" s="238" t="s">
        <v>117</v>
      </c>
      <c r="C13" s="239"/>
      <c r="D13" s="240" t="n">
        <v>6273062</v>
      </c>
      <c r="E13" s="241" t="n">
        <v>45104</v>
      </c>
      <c r="F13" s="242" t="s">
        <v>54</v>
      </c>
      <c r="G13" s="243" t="n">
        <v>45104</v>
      </c>
      <c r="H13" s="244"/>
      <c r="I13" s="245"/>
      <c r="J13" s="245"/>
      <c r="K13" s="245"/>
      <c r="L13" s="245"/>
      <c r="M13" s="244"/>
      <c r="N13" s="245"/>
      <c r="O13" s="244"/>
      <c r="P13" s="246"/>
      <c r="Q13" s="247"/>
      <c r="R13" s="244" t="n">
        <v>1182</v>
      </c>
      <c r="S13" s="247"/>
      <c r="T13" s="248"/>
      <c r="U13" s="249" t="n">
        <f aca="false">SUM(H13:T13)</f>
        <v>1182</v>
      </c>
      <c r="V13" s="250" t="s">
        <v>55</v>
      </c>
      <c r="W13" s="251" t="s">
        <v>45</v>
      </c>
      <c r="X13" s="110" t="s">
        <v>42</v>
      </c>
      <c r="Y13" s="253"/>
      <c r="Z13" s="254"/>
    </row>
    <row r="14" s="10" customFormat="true" ht="14.1" hidden="false" customHeight="true" outlineLevel="0" collapsed="false">
      <c r="A14" s="237" t="s">
        <v>26</v>
      </c>
      <c r="B14" s="238" t="s">
        <v>214</v>
      </c>
      <c r="C14" s="239"/>
      <c r="D14" s="240" t="n">
        <v>6263104</v>
      </c>
      <c r="E14" s="241" t="n">
        <v>45103</v>
      </c>
      <c r="F14" s="242" t="s">
        <v>54</v>
      </c>
      <c r="G14" s="243" t="n">
        <v>45103</v>
      </c>
      <c r="H14" s="244"/>
      <c r="I14" s="245"/>
      <c r="J14" s="245"/>
      <c r="K14" s="245"/>
      <c r="L14" s="245"/>
      <c r="M14" s="244"/>
      <c r="N14" s="245"/>
      <c r="O14" s="244"/>
      <c r="P14" s="246"/>
      <c r="Q14" s="247"/>
      <c r="R14" s="244" t="n">
        <v>298</v>
      </c>
      <c r="S14" s="247" t="n">
        <v>62.5</v>
      </c>
      <c r="T14" s="248" t="n">
        <v>25.7</v>
      </c>
      <c r="U14" s="249" t="n">
        <f aca="false">SUM(H14:T14)</f>
        <v>386.2</v>
      </c>
      <c r="V14" s="250" t="s">
        <v>55</v>
      </c>
      <c r="W14" s="251" t="s">
        <v>45</v>
      </c>
      <c r="X14" s="110" t="s">
        <v>42</v>
      </c>
      <c r="Y14" s="253"/>
      <c r="Z14" s="254"/>
    </row>
    <row r="15" s="10" customFormat="true" ht="14.1" hidden="false" customHeight="true" outlineLevel="0" collapsed="false">
      <c r="A15" s="272" t="s">
        <v>26</v>
      </c>
      <c r="B15" s="273" t="s">
        <v>111</v>
      </c>
      <c r="C15" s="274"/>
      <c r="D15" s="274" t="n">
        <v>3133101</v>
      </c>
      <c r="E15" s="275" t="n">
        <v>44998</v>
      </c>
      <c r="F15" s="276" t="s">
        <v>54</v>
      </c>
      <c r="G15" s="277" t="n">
        <v>44998</v>
      </c>
      <c r="H15" s="278"/>
      <c r="I15" s="278"/>
      <c r="J15" s="279"/>
      <c r="K15" s="279"/>
      <c r="L15" s="279"/>
      <c r="M15" s="278"/>
      <c r="N15" s="278"/>
      <c r="O15" s="278"/>
      <c r="P15" s="280"/>
      <c r="Q15" s="281"/>
      <c r="R15" s="278" t="n">
        <v>298</v>
      </c>
      <c r="S15" s="281" t="n">
        <v>62.5</v>
      </c>
      <c r="T15" s="282" t="n">
        <v>24.59</v>
      </c>
      <c r="U15" s="283" t="n">
        <f aca="false">SUM(H15:T15)</f>
        <v>385.09</v>
      </c>
      <c r="V15" s="284" t="s">
        <v>55</v>
      </c>
      <c r="W15" s="285" t="s">
        <v>31</v>
      </c>
      <c r="X15" s="29" t="s">
        <v>42</v>
      </c>
      <c r="Y15" s="286"/>
      <c r="Z15" s="51"/>
    </row>
    <row r="16" s="10" customFormat="true" ht="13.15" hidden="false" customHeight="true" outlineLevel="0" collapsed="false">
      <c r="A16" s="206" t="s">
        <v>26</v>
      </c>
      <c r="B16" s="173" t="s">
        <v>111</v>
      </c>
      <c r="C16" s="174"/>
      <c r="D16" s="175" t="n">
        <v>4103101</v>
      </c>
      <c r="E16" s="176" t="n">
        <v>45026</v>
      </c>
      <c r="F16" s="177" t="s">
        <v>54</v>
      </c>
      <c r="G16" s="178" t="n">
        <v>45026</v>
      </c>
      <c r="H16" s="179"/>
      <c r="I16" s="180"/>
      <c r="J16" s="180"/>
      <c r="K16" s="180"/>
      <c r="L16" s="180"/>
      <c r="M16" s="179"/>
      <c r="N16" s="180"/>
      <c r="O16" s="179"/>
      <c r="P16" s="181"/>
      <c r="Q16" s="182"/>
      <c r="R16" s="179" t="n">
        <v>415</v>
      </c>
      <c r="S16" s="182" t="n">
        <v>62.5</v>
      </c>
      <c r="T16" s="183" t="n">
        <v>34.24</v>
      </c>
      <c r="U16" s="184" t="n">
        <f aca="false">SUM(H16:T16)</f>
        <v>511.74</v>
      </c>
      <c r="V16" s="185" t="s">
        <v>55</v>
      </c>
      <c r="W16" s="186" t="s">
        <v>135</v>
      </c>
      <c r="X16" s="110" t="s">
        <v>42</v>
      </c>
      <c r="Y16" s="187"/>
      <c r="Z16" s="51"/>
    </row>
    <row r="17" s="10" customFormat="true" ht="13.15" hidden="false" customHeight="true" outlineLevel="0" collapsed="false">
      <c r="A17" s="237" t="s">
        <v>26</v>
      </c>
      <c r="B17" s="238" t="s">
        <v>111</v>
      </c>
      <c r="C17" s="239"/>
      <c r="D17" s="240" t="n">
        <v>6063102</v>
      </c>
      <c r="E17" s="241" t="n">
        <v>45083</v>
      </c>
      <c r="F17" s="242" t="s">
        <v>54</v>
      </c>
      <c r="G17" s="243" t="n">
        <v>45083</v>
      </c>
      <c r="H17" s="244"/>
      <c r="I17" s="245"/>
      <c r="J17" s="245"/>
      <c r="K17" s="245"/>
      <c r="L17" s="245"/>
      <c r="M17" s="244"/>
      <c r="N17" s="245"/>
      <c r="O17" s="244"/>
      <c r="P17" s="246"/>
      <c r="Q17" s="247"/>
      <c r="R17" s="244" t="n">
        <v>415</v>
      </c>
      <c r="S17" s="247" t="n">
        <v>62.5</v>
      </c>
      <c r="T17" s="248" t="n">
        <v>34.24</v>
      </c>
      <c r="U17" s="249" t="n">
        <f aca="false">SUM(H17:T17)</f>
        <v>511.74</v>
      </c>
      <c r="V17" s="250" t="s">
        <v>55</v>
      </c>
      <c r="W17" s="251" t="s">
        <v>135</v>
      </c>
      <c r="X17" s="110" t="s">
        <v>42</v>
      </c>
      <c r="Y17" s="253"/>
      <c r="Z17" s="254"/>
    </row>
    <row r="18" s="10" customFormat="true" ht="13.15" hidden="false" customHeight="true" outlineLevel="0" collapsed="false">
      <c r="A18" s="172" t="s">
        <v>26</v>
      </c>
      <c r="B18" s="173" t="s">
        <v>239</v>
      </c>
      <c r="C18" s="174"/>
      <c r="D18" s="175" t="n">
        <v>2143103</v>
      </c>
      <c r="E18" s="176" t="n">
        <v>44971</v>
      </c>
      <c r="F18" s="177" t="s">
        <v>54</v>
      </c>
      <c r="G18" s="178" t="n">
        <v>44971</v>
      </c>
      <c r="H18" s="179"/>
      <c r="I18" s="180"/>
      <c r="J18" s="180"/>
      <c r="K18" s="180"/>
      <c r="L18" s="180"/>
      <c r="M18" s="179"/>
      <c r="N18" s="180"/>
      <c r="O18" s="179"/>
      <c r="P18" s="181"/>
      <c r="Q18" s="182"/>
      <c r="R18" s="179" t="n">
        <v>90</v>
      </c>
      <c r="S18" s="182" t="n">
        <v>10</v>
      </c>
      <c r="T18" s="183" t="n">
        <v>8.44</v>
      </c>
      <c r="U18" s="184" t="n">
        <f aca="false">SUM(H18:T18)</f>
        <v>108.44</v>
      </c>
      <c r="V18" s="185" t="s">
        <v>236</v>
      </c>
      <c r="W18" s="186" t="s">
        <v>26</v>
      </c>
      <c r="X18" s="110" t="s">
        <v>42</v>
      </c>
      <c r="Y18" s="187"/>
      <c r="Z18" s="51"/>
    </row>
    <row r="19" s="10" customFormat="true" ht="13.15" hidden="false" customHeight="true" outlineLevel="0" collapsed="false">
      <c r="A19" s="237" t="s">
        <v>26</v>
      </c>
      <c r="B19" s="238" t="s">
        <v>274</v>
      </c>
      <c r="C19" s="239"/>
      <c r="D19" s="240" t="n">
        <v>6203104</v>
      </c>
      <c r="E19" s="241" t="n">
        <v>45097</v>
      </c>
      <c r="F19" s="242" t="s">
        <v>54</v>
      </c>
      <c r="G19" s="243" t="n">
        <v>45097</v>
      </c>
      <c r="H19" s="244"/>
      <c r="I19" s="245"/>
      <c r="J19" s="245"/>
      <c r="K19" s="245"/>
      <c r="L19" s="245"/>
      <c r="M19" s="244"/>
      <c r="N19" s="245"/>
      <c r="O19" s="244"/>
      <c r="P19" s="246"/>
      <c r="Q19" s="247"/>
      <c r="R19" s="244" t="n">
        <v>130</v>
      </c>
      <c r="S19" s="247" t="n">
        <v>25</v>
      </c>
      <c r="T19" s="248" t="n">
        <v>11.21</v>
      </c>
      <c r="U19" s="249" t="n">
        <f aca="false">SUM(H19:T19)</f>
        <v>166.21</v>
      </c>
      <c r="V19" s="250" t="s">
        <v>55</v>
      </c>
      <c r="W19" s="251" t="s">
        <v>26</v>
      </c>
      <c r="X19" s="110" t="s">
        <v>42</v>
      </c>
      <c r="Y19" s="253"/>
      <c r="Z19" s="254"/>
    </row>
    <row r="20" s="10" customFormat="true" ht="14.1" hidden="false" customHeight="true" outlineLevel="0" collapsed="false">
      <c r="A20" s="206" t="s">
        <v>26</v>
      </c>
      <c r="B20" s="173" t="s">
        <v>246</v>
      </c>
      <c r="C20" s="174"/>
      <c r="D20" s="175" t="n">
        <v>3223103</v>
      </c>
      <c r="E20" s="176" t="n">
        <v>45007</v>
      </c>
      <c r="F20" s="177" t="s">
        <v>54</v>
      </c>
      <c r="G20" s="178" t="n">
        <v>45007</v>
      </c>
      <c r="H20" s="179"/>
      <c r="I20" s="180"/>
      <c r="J20" s="180"/>
      <c r="K20" s="180"/>
      <c r="L20" s="180"/>
      <c r="M20" s="179"/>
      <c r="N20" s="180"/>
      <c r="O20" s="179"/>
      <c r="P20" s="181"/>
      <c r="Q20" s="182"/>
      <c r="R20" s="179" t="n">
        <v>188</v>
      </c>
      <c r="S20" s="182" t="n">
        <v>50</v>
      </c>
      <c r="T20" s="183" t="n">
        <v>16.22</v>
      </c>
      <c r="U20" s="184" t="n">
        <f aca="false">SUM(H20:T20)</f>
        <v>254.22</v>
      </c>
      <c r="V20" s="185" t="s">
        <v>55</v>
      </c>
      <c r="W20" s="186" t="s">
        <v>135</v>
      </c>
      <c r="X20" s="110" t="s">
        <v>42</v>
      </c>
      <c r="Y20" s="187"/>
      <c r="Z20" s="51"/>
    </row>
    <row r="21" s="10" customFormat="true" ht="14.1" hidden="false" customHeight="true" outlineLevel="0" collapsed="false">
      <c r="A21" s="222" t="s">
        <v>26</v>
      </c>
      <c r="B21" s="223" t="s">
        <v>258</v>
      </c>
      <c r="C21" s="224"/>
      <c r="D21" s="225" t="n">
        <v>5043102</v>
      </c>
      <c r="E21" s="226" t="n">
        <v>45050</v>
      </c>
      <c r="F21" s="227" t="s">
        <v>54</v>
      </c>
      <c r="G21" s="228" t="n">
        <v>45050</v>
      </c>
      <c r="H21" s="229"/>
      <c r="I21" s="230"/>
      <c r="J21" s="230"/>
      <c r="K21" s="230"/>
      <c r="L21" s="230"/>
      <c r="M21" s="229"/>
      <c r="N21" s="230"/>
      <c r="O21" s="229"/>
      <c r="P21" s="231"/>
      <c r="Q21" s="232"/>
      <c r="R21" s="229" t="n">
        <v>39</v>
      </c>
      <c r="S21" s="232" t="n">
        <v>12.5</v>
      </c>
      <c r="T21" s="233" t="n">
        <v>3.36</v>
      </c>
      <c r="U21" s="234" t="n">
        <f aca="false">SUM(H21:T21)</f>
        <v>54.86</v>
      </c>
      <c r="V21" s="235" t="s">
        <v>30</v>
      </c>
      <c r="W21" s="236" t="s">
        <v>91</v>
      </c>
      <c r="X21" s="110" t="s">
        <v>42</v>
      </c>
      <c r="Y21" s="187"/>
      <c r="Z21" s="51"/>
    </row>
    <row r="22" s="10" customFormat="true" ht="14.1" hidden="false" customHeight="true" outlineLevel="0" collapsed="false">
      <c r="A22" s="206" t="s">
        <v>26</v>
      </c>
      <c r="B22" s="173" t="s">
        <v>242</v>
      </c>
      <c r="C22" s="174"/>
      <c r="D22" s="175" t="n">
        <v>3093104</v>
      </c>
      <c r="E22" s="176" t="n">
        <v>44994</v>
      </c>
      <c r="F22" s="177" t="s">
        <v>54</v>
      </c>
      <c r="G22" s="178" t="n">
        <v>44995</v>
      </c>
      <c r="H22" s="179"/>
      <c r="I22" s="180"/>
      <c r="J22" s="180"/>
      <c r="K22" s="180"/>
      <c r="L22" s="180"/>
      <c r="M22" s="179"/>
      <c r="N22" s="180"/>
      <c r="O22" s="179"/>
      <c r="P22" s="181"/>
      <c r="Q22" s="182"/>
      <c r="R22" s="179" t="n">
        <v>39</v>
      </c>
      <c r="S22" s="182" t="n">
        <v>12.5</v>
      </c>
      <c r="T22" s="183" t="n">
        <v>4</v>
      </c>
      <c r="U22" s="184" t="n">
        <f aca="false">SUM(H22:T22)</f>
        <v>55.5</v>
      </c>
      <c r="V22" s="185" t="s">
        <v>55</v>
      </c>
      <c r="W22" s="186" t="s">
        <v>135</v>
      </c>
      <c r="X22" s="110" t="s">
        <v>42</v>
      </c>
      <c r="Y22" s="187"/>
      <c r="Z22" s="51"/>
    </row>
    <row r="23" s="10" customFormat="true" ht="14.1" hidden="false" customHeight="true" outlineLevel="0" collapsed="false">
      <c r="A23" s="237" t="s">
        <v>26</v>
      </c>
      <c r="B23" s="238" t="s">
        <v>268</v>
      </c>
      <c r="C23" s="239"/>
      <c r="D23" s="240" t="n">
        <v>6063101</v>
      </c>
      <c r="E23" s="241" t="n">
        <v>45083</v>
      </c>
      <c r="F23" s="242" t="s">
        <v>269</v>
      </c>
      <c r="G23" s="243" t="n">
        <v>45083</v>
      </c>
      <c r="H23" s="244" t="n">
        <v>75</v>
      </c>
      <c r="I23" s="245"/>
      <c r="J23" s="245"/>
      <c r="K23" s="245"/>
      <c r="L23" s="245"/>
      <c r="M23" s="244"/>
      <c r="N23" s="245"/>
      <c r="O23" s="244"/>
      <c r="P23" s="246"/>
      <c r="Q23" s="247"/>
      <c r="R23" s="244"/>
      <c r="S23" s="247" t="n">
        <v>12.5</v>
      </c>
      <c r="T23" s="248" t="n">
        <v>6.47</v>
      </c>
      <c r="U23" s="249" t="n">
        <f aca="false">SUM(H23:T23)</f>
        <v>93.97</v>
      </c>
      <c r="V23" s="250" t="s">
        <v>55</v>
      </c>
      <c r="W23" s="251" t="s">
        <v>26</v>
      </c>
      <c r="X23" s="110" t="s">
        <v>42</v>
      </c>
      <c r="Y23" s="253"/>
      <c r="Z23" s="254"/>
    </row>
    <row r="24" s="10" customFormat="true" ht="14.1" hidden="false" customHeight="true" outlineLevel="0" collapsed="false">
      <c r="A24" s="206" t="s">
        <v>26</v>
      </c>
      <c r="B24" s="173" t="s">
        <v>247</v>
      </c>
      <c r="C24" s="174" t="s">
        <v>248</v>
      </c>
      <c r="D24" s="175" t="n">
        <v>4073101</v>
      </c>
      <c r="E24" s="176" t="n">
        <v>45023</v>
      </c>
      <c r="F24" s="177" t="s">
        <v>54</v>
      </c>
      <c r="G24" s="178" t="n">
        <v>45023</v>
      </c>
      <c r="H24" s="179"/>
      <c r="I24" s="180"/>
      <c r="J24" s="180"/>
      <c r="K24" s="180"/>
      <c r="L24" s="180"/>
      <c r="M24" s="179"/>
      <c r="N24" s="180"/>
      <c r="O24" s="179"/>
      <c r="P24" s="181"/>
      <c r="Q24" s="182"/>
      <c r="R24" s="179" t="n">
        <v>149</v>
      </c>
      <c r="S24" s="182" t="n">
        <v>37.5</v>
      </c>
      <c r="T24" s="183" t="n">
        <v>15.27</v>
      </c>
      <c r="U24" s="184" t="n">
        <f aca="false">SUM(H24:T24)</f>
        <v>201.77</v>
      </c>
      <c r="V24" s="185" t="s">
        <v>55</v>
      </c>
      <c r="W24" s="186" t="s">
        <v>135</v>
      </c>
      <c r="X24" s="110" t="s">
        <v>42</v>
      </c>
      <c r="Y24" s="187"/>
      <c r="Z24" s="51"/>
    </row>
    <row r="25" s="10" customFormat="true" ht="14.1" hidden="false" customHeight="true" outlineLevel="0" collapsed="false">
      <c r="A25" s="272" t="s">
        <v>26</v>
      </c>
      <c r="B25" s="273" t="s">
        <v>253</v>
      </c>
      <c r="C25" s="274"/>
      <c r="D25" s="274" t="n">
        <v>4253101</v>
      </c>
      <c r="E25" s="275" t="n">
        <v>45041</v>
      </c>
      <c r="F25" s="276" t="s">
        <v>54</v>
      </c>
      <c r="G25" s="277" t="n">
        <v>45043</v>
      </c>
      <c r="H25" s="278"/>
      <c r="I25" s="278"/>
      <c r="J25" s="279"/>
      <c r="K25" s="279"/>
      <c r="L25" s="279"/>
      <c r="M25" s="278"/>
      <c r="N25" s="278"/>
      <c r="O25" s="278"/>
      <c r="P25" s="280"/>
      <c r="Q25" s="281"/>
      <c r="R25" s="278" t="n">
        <v>55</v>
      </c>
      <c r="S25" s="281" t="n">
        <v>12.5</v>
      </c>
      <c r="T25" s="282" t="n">
        <v>4.68</v>
      </c>
      <c r="U25" s="283" t="n">
        <f aca="false">SUM(H25:T25)</f>
        <v>72.18</v>
      </c>
      <c r="V25" s="284" t="s">
        <v>55</v>
      </c>
      <c r="W25" s="285" t="s">
        <v>135</v>
      </c>
      <c r="X25" s="29" t="s">
        <v>42</v>
      </c>
      <c r="Y25" s="287"/>
      <c r="Z25" s="51"/>
    </row>
    <row r="26" s="10" customFormat="true" ht="14.1" hidden="false" customHeight="true" outlineLevel="0" collapsed="false">
      <c r="A26" s="222" t="s">
        <v>26</v>
      </c>
      <c r="B26" s="223" t="s">
        <v>87</v>
      </c>
      <c r="C26" s="224"/>
      <c r="D26" s="225" t="n">
        <v>5123065</v>
      </c>
      <c r="E26" s="226" t="n">
        <v>45058</v>
      </c>
      <c r="F26" s="227" t="s">
        <v>54</v>
      </c>
      <c r="G26" s="228" t="n">
        <v>45061</v>
      </c>
      <c r="H26" s="229"/>
      <c r="I26" s="230"/>
      <c r="J26" s="230"/>
      <c r="K26" s="230"/>
      <c r="L26" s="230"/>
      <c r="M26" s="229"/>
      <c r="N26" s="230"/>
      <c r="O26" s="229"/>
      <c r="P26" s="231"/>
      <c r="Q26" s="232"/>
      <c r="R26" s="229" t="n">
        <v>149</v>
      </c>
      <c r="S26" s="232" t="n">
        <v>37.5</v>
      </c>
      <c r="T26" s="233" t="n">
        <v>12.85</v>
      </c>
      <c r="U26" s="234" t="n">
        <f aca="false">SUM(H26:T26)</f>
        <v>199.35</v>
      </c>
      <c r="V26" s="235" t="s">
        <v>55</v>
      </c>
      <c r="W26" s="236" t="s">
        <v>135</v>
      </c>
      <c r="X26" s="110" t="s">
        <v>42</v>
      </c>
      <c r="Y26" s="187"/>
      <c r="Z26" s="51"/>
    </row>
    <row r="27" s="10" customFormat="true" ht="14.1" hidden="false" customHeight="true" outlineLevel="0" collapsed="false">
      <c r="A27" s="237" t="s">
        <v>26</v>
      </c>
      <c r="B27" s="238" t="s">
        <v>270</v>
      </c>
      <c r="C27" s="239"/>
      <c r="D27" s="240" t="n">
        <v>6083101</v>
      </c>
      <c r="E27" s="241" t="n">
        <v>45085</v>
      </c>
      <c r="F27" s="242" t="s">
        <v>54</v>
      </c>
      <c r="G27" s="243" t="n">
        <v>45085</v>
      </c>
      <c r="H27" s="244"/>
      <c r="I27" s="245"/>
      <c r="J27" s="245"/>
      <c r="K27" s="245"/>
      <c r="L27" s="245"/>
      <c r="M27" s="244"/>
      <c r="N27" s="245"/>
      <c r="O27" s="244"/>
      <c r="P27" s="246"/>
      <c r="Q27" s="247"/>
      <c r="R27" s="244" t="n">
        <v>650</v>
      </c>
      <c r="S27" s="247" t="n">
        <v>125</v>
      </c>
      <c r="T27" s="248" t="n">
        <v>60.13</v>
      </c>
      <c r="U27" s="249" t="n">
        <f aca="false">SUM(H27:T27)</f>
        <v>835.13</v>
      </c>
      <c r="V27" s="250" t="s">
        <v>55</v>
      </c>
      <c r="W27" s="251" t="s">
        <v>26</v>
      </c>
      <c r="X27" s="110" t="s">
        <v>42</v>
      </c>
      <c r="Y27" s="253"/>
      <c r="Z27" s="254"/>
    </row>
    <row r="28" s="10" customFormat="true" ht="14.1" hidden="false" customHeight="true" outlineLevel="0" collapsed="false">
      <c r="A28" s="100" t="s">
        <v>26</v>
      </c>
      <c r="B28" s="2" t="s">
        <v>279</v>
      </c>
      <c r="C28" s="3"/>
      <c r="D28" s="101" t="n">
        <v>6303105</v>
      </c>
      <c r="E28" s="102" t="n">
        <v>45107</v>
      </c>
      <c r="F28" s="103" t="s">
        <v>54</v>
      </c>
      <c r="G28" s="5" t="n">
        <v>45107</v>
      </c>
      <c r="H28" s="105"/>
      <c r="I28" s="106"/>
      <c r="J28" s="106"/>
      <c r="K28" s="106"/>
      <c r="L28" s="106"/>
      <c r="M28" s="105"/>
      <c r="N28" s="106"/>
      <c r="O28" s="105"/>
      <c r="P28" s="7"/>
      <c r="Q28" s="107"/>
      <c r="R28" s="105" t="n">
        <v>78</v>
      </c>
      <c r="S28" s="107" t="n">
        <v>25</v>
      </c>
      <c r="T28" s="108" t="n">
        <v>7.22</v>
      </c>
      <c r="U28" s="95" t="n">
        <f aca="false">SUM(H28:T28)</f>
        <v>110.22</v>
      </c>
      <c r="V28" s="109" t="s">
        <v>55</v>
      </c>
      <c r="W28" s="10" t="s">
        <v>45</v>
      </c>
      <c r="X28" s="110" t="s">
        <v>42</v>
      </c>
      <c r="Y28" s="253"/>
      <c r="Z28" s="254"/>
    </row>
    <row r="29" s="10" customFormat="true" ht="14.1" hidden="false" customHeight="true" outlineLevel="0" collapsed="false">
      <c r="A29" s="237" t="s">
        <v>26</v>
      </c>
      <c r="B29" s="238" t="s">
        <v>278</v>
      </c>
      <c r="C29" s="239"/>
      <c r="D29" s="240" t="n">
        <v>6263103</v>
      </c>
      <c r="E29" s="241" t="n">
        <v>45103</v>
      </c>
      <c r="F29" s="242" t="s">
        <v>54</v>
      </c>
      <c r="G29" s="243" t="n">
        <v>45103</v>
      </c>
      <c r="H29" s="244"/>
      <c r="I29" s="245"/>
      <c r="J29" s="245"/>
      <c r="K29" s="245"/>
      <c r="L29" s="245"/>
      <c r="M29" s="244"/>
      <c r="N29" s="245"/>
      <c r="O29" s="244"/>
      <c r="P29" s="246"/>
      <c r="Q29" s="247"/>
      <c r="R29" s="244" t="n">
        <v>204</v>
      </c>
      <c r="S29" s="247" t="n">
        <v>50</v>
      </c>
      <c r="T29" s="248" t="n">
        <v>18.36</v>
      </c>
      <c r="U29" s="249" t="n">
        <f aca="false">SUM(H29:T29)</f>
        <v>272.36</v>
      </c>
      <c r="V29" s="250" t="s">
        <v>55</v>
      </c>
      <c r="W29" s="251" t="s">
        <v>45</v>
      </c>
      <c r="X29" s="110" t="s">
        <v>42</v>
      </c>
      <c r="Y29" s="253"/>
      <c r="Z29" s="254"/>
    </row>
    <row r="30" s="10" customFormat="true" ht="14.1" hidden="false" customHeight="true" outlineLevel="0" collapsed="false">
      <c r="A30" s="237" t="s">
        <v>26</v>
      </c>
      <c r="B30" s="238" t="s">
        <v>267</v>
      </c>
      <c r="C30" s="239"/>
      <c r="D30" s="240" t="n">
        <v>6013103</v>
      </c>
      <c r="E30" s="241" t="n">
        <v>45078</v>
      </c>
      <c r="F30" s="242" t="s">
        <v>54</v>
      </c>
      <c r="G30" s="243" t="n">
        <v>45079</v>
      </c>
      <c r="H30" s="244"/>
      <c r="I30" s="245"/>
      <c r="J30" s="245"/>
      <c r="K30" s="245"/>
      <c r="L30" s="245"/>
      <c r="M30" s="244"/>
      <c r="N30" s="245"/>
      <c r="O30" s="244"/>
      <c r="P30" s="246"/>
      <c r="Q30" s="247"/>
      <c r="R30" s="244" t="n">
        <v>545</v>
      </c>
      <c r="S30" s="247" t="n">
        <v>112.5</v>
      </c>
      <c r="T30" s="248" t="n">
        <v>50.41</v>
      </c>
      <c r="U30" s="249" t="n">
        <f aca="false">SUM(H30:T30)</f>
        <v>707.91</v>
      </c>
      <c r="V30" s="250" t="s">
        <v>55</v>
      </c>
      <c r="W30" s="251" t="s">
        <v>135</v>
      </c>
      <c r="X30" s="110" t="s">
        <v>42</v>
      </c>
      <c r="Y30" s="253"/>
      <c r="Z30" s="254"/>
    </row>
    <row r="31" s="10" customFormat="true" ht="14.1" hidden="false" customHeight="true" outlineLevel="0" collapsed="false">
      <c r="A31" s="206" t="s">
        <v>26</v>
      </c>
      <c r="B31" s="173" t="s">
        <v>243</v>
      </c>
      <c r="C31" s="174" t="s">
        <v>244</v>
      </c>
      <c r="D31" s="175" t="n">
        <v>3213106</v>
      </c>
      <c r="E31" s="176" t="n">
        <v>45006</v>
      </c>
      <c r="F31" s="177" t="s">
        <v>54</v>
      </c>
      <c r="G31" s="178" t="n">
        <v>45006</v>
      </c>
      <c r="H31" s="179"/>
      <c r="I31" s="180"/>
      <c r="J31" s="180"/>
      <c r="K31" s="180"/>
      <c r="L31" s="180"/>
      <c r="M31" s="179"/>
      <c r="N31" s="180"/>
      <c r="O31" s="179"/>
      <c r="P31" s="181"/>
      <c r="Q31" s="182"/>
      <c r="R31" s="179" t="n">
        <v>45</v>
      </c>
      <c r="S31" s="182" t="n">
        <v>12.5</v>
      </c>
      <c r="T31" s="183" t="n">
        <v>3.94</v>
      </c>
      <c r="U31" s="184" t="n">
        <f aca="false">SUM(H31:T31)</f>
        <v>61.44</v>
      </c>
      <c r="V31" s="185" t="s">
        <v>55</v>
      </c>
      <c r="W31" s="186" t="s">
        <v>37</v>
      </c>
      <c r="X31" s="110" t="s">
        <v>42</v>
      </c>
      <c r="Y31" s="187"/>
      <c r="Z31" s="51"/>
    </row>
    <row r="32" s="10" customFormat="true" ht="14.1" hidden="false" customHeight="true" outlineLevel="0" collapsed="false">
      <c r="A32" s="206" t="s">
        <v>26</v>
      </c>
      <c r="B32" s="173" t="s">
        <v>243</v>
      </c>
      <c r="C32" s="174" t="s">
        <v>244</v>
      </c>
      <c r="D32" s="175" t="n">
        <v>3243105</v>
      </c>
      <c r="E32" s="176" t="n">
        <v>45009</v>
      </c>
      <c r="F32" s="177" t="s">
        <v>54</v>
      </c>
      <c r="G32" s="178" t="n">
        <v>45009</v>
      </c>
      <c r="H32" s="179"/>
      <c r="I32" s="180"/>
      <c r="J32" s="180"/>
      <c r="K32" s="180"/>
      <c r="L32" s="180"/>
      <c r="M32" s="179"/>
      <c r="N32" s="180"/>
      <c r="O32" s="179"/>
      <c r="P32" s="181"/>
      <c r="Q32" s="182"/>
      <c r="R32" s="179" t="n">
        <v>45</v>
      </c>
      <c r="S32" s="182" t="n">
        <v>12.5</v>
      </c>
      <c r="T32" s="183" t="n">
        <v>3.94</v>
      </c>
      <c r="U32" s="184" t="n">
        <f aca="false">SUM(H32:T32)</f>
        <v>61.44</v>
      </c>
      <c r="V32" s="185" t="s">
        <v>55</v>
      </c>
      <c r="W32" s="186" t="s">
        <v>135</v>
      </c>
      <c r="X32" s="110" t="s">
        <v>42</v>
      </c>
      <c r="Y32" s="187"/>
      <c r="Z32" s="51"/>
    </row>
    <row r="33" s="10" customFormat="true" ht="14.1" hidden="false" customHeight="true" outlineLevel="0" collapsed="false">
      <c r="A33" s="222" t="s">
        <v>26</v>
      </c>
      <c r="B33" s="223" t="s">
        <v>264</v>
      </c>
      <c r="C33" s="224"/>
      <c r="D33" s="225" t="n">
        <v>5263106</v>
      </c>
      <c r="E33" s="226" t="n">
        <v>45072</v>
      </c>
      <c r="F33" s="227" t="s">
        <v>54</v>
      </c>
      <c r="G33" s="228" t="n">
        <v>45072</v>
      </c>
      <c r="H33" s="229"/>
      <c r="I33" s="230"/>
      <c r="J33" s="230"/>
      <c r="K33" s="230"/>
      <c r="L33" s="230"/>
      <c r="M33" s="229"/>
      <c r="N33" s="230"/>
      <c r="O33" s="229"/>
      <c r="P33" s="231"/>
      <c r="Q33" s="232"/>
      <c r="R33" s="229" t="n">
        <v>214</v>
      </c>
      <c r="S33" s="232" t="n">
        <v>50</v>
      </c>
      <c r="T33" s="233" t="n">
        <v>20.33</v>
      </c>
      <c r="U33" s="234" t="n">
        <f aca="false">SUM(H33:T33)</f>
        <v>284.33</v>
      </c>
      <c r="V33" s="235" t="s">
        <v>55</v>
      </c>
      <c r="W33" s="236" t="s">
        <v>26</v>
      </c>
      <c r="X33" s="110" t="s">
        <v>42</v>
      </c>
      <c r="Y33" s="187"/>
      <c r="Z33" s="51"/>
    </row>
    <row r="34" s="10" customFormat="true" ht="14.1" hidden="false" customHeight="true" outlineLevel="0" collapsed="false">
      <c r="A34" s="222" t="s">
        <v>26</v>
      </c>
      <c r="B34" s="223" t="s">
        <v>201</v>
      </c>
      <c r="C34" s="224"/>
      <c r="D34" s="225" t="n">
        <v>5043101</v>
      </c>
      <c r="E34" s="226" t="n">
        <v>45050</v>
      </c>
      <c r="F34" s="227" t="s">
        <v>54</v>
      </c>
      <c r="G34" s="228" t="n">
        <v>45050</v>
      </c>
      <c r="H34" s="229"/>
      <c r="I34" s="230"/>
      <c r="J34" s="230"/>
      <c r="K34" s="230"/>
      <c r="L34" s="230"/>
      <c r="M34" s="229"/>
      <c r="N34" s="230"/>
      <c r="O34" s="229"/>
      <c r="P34" s="231"/>
      <c r="Q34" s="232"/>
      <c r="R34" s="229" t="n">
        <v>130</v>
      </c>
      <c r="S34" s="232" t="n">
        <v>25</v>
      </c>
      <c r="T34" s="233" t="n">
        <v>10.73</v>
      </c>
      <c r="U34" s="234" t="n">
        <f aca="false">SUM(H34:T34)</f>
        <v>165.73</v>
      </c>
      <c r="V34" s="235" t="s">
        <v>55</v>
      </c>
      <c r="W34" s="236" t="s">
        <v>135</v>
      </c>
      <c r="X34" s="110" t="s">
        <v>42</v>
      </c>
      <c r="Y34" s="187"/>
      <c r="Z34" s="51"/>
    </row>
    <row r="35" s="10" customFormat="true" ht="14.1" hidden="false" customHeight="true" outlineLevel="0" collapsed="false">
      <c r="A35" s="237" t="s">
        <v>26</v>
      </c>
      <c r="B35" s="238" t="s">
        <v>276</v>
      </c>
      <c r="C35" s="239"/>
      <c r="D35" s="240" t="n">
        <v>6233103</v>
      </c>
      <c r="E35" s="241" t="n">
        <v>45100</v>
      </c>
      <c r="F35" s="242" t="s">
        <v>54</v>
      </c>
      <c r="G35" s="243" t="n">
        <v>45100</v>
      </c>
      <c r="H35" s="244"/>
      <c r="I35" s="245"/>
      <c r="J35" s="245"/>
      <c r="K35" s="245"/>
      <c r="L35" s="245"/>
      <c r="M35" s="244"/>
      <c r="N35" s="245"/>
      <c r="O35" s="244"/>
      <c r="P35" s="246"/>
      <c r="Q35" s="247"/>
      <c r="R35" s="244" t="n">
        <v>110</v>
      </c>
      <c r="S35" s="247" t="n">
        <v>25</v>
      </c>
      <c r="T35" s="248" t="n">
        <v>9.35</v>
      </c>
      <c r="U35" s="249" t="n">
        <f aca="false">SUM(H35:T35)</f>
        <v>144.35</v>
      </c>
      <c r="V35" s="250" t="s">
        <v>55</v>
      </c>
      <c r="W35" s="251" t="s">
        <v>26</v>
      </c>
      <c r="X35" s="110" t="s">
        <v>42</v>
      </c>
      <c r="Y35" s="253"/>
      <c r="Z35" s="254"/>
    </row>
    <row r="36" s="10" customFormat="true" ht="14.1" hidden="false" customHeight="true" outlineLevel="0" collapsed="false">
      <c r="A36" s="237" t="s">
        <v>26</v>
      </c>
      <c r="B36" s="238" t="s">
        <v>275</v>
      </c>
      <c r="C36" s="239" t="s">
        <v>273</v>
      </c>
      <c r="D36" s="240" t="n">
        <v>6223102</v>
      </c>
      <c r="E36" s="241" t="n">
        <v>45099</v>
      </c>
      <c r="F36" s="242" t="s">
        <v>54</v>
      </c>
      <c r="G36" s="243" t="n">
        <v>45099</v>
      </c>
      <c r="H36" s="244"/>
      <c r="I36" s="245"/>
      <c r="J36" s="245"/>
      <c r="K36" s="245"/>
      <c r="L36" s="245"/>
      <c r="M36" s="244"/>
      <c r="N36" s="245"/>
      <c r="O36" s="244"/>
      <c r="P36" s="246"/>
      <c r="Q36" s="247"/>
      <c r="R36" s="244" t="n">
        <v>65</v>
      </c>
      <c r="S36" s="247" t="n">
        <v>12.5</v>
      </c>
      <c r="T36" s="248" t="n">
        <v>6.01</v>
      </c>
      <c r="U36" s="249" t="n">
        <f aca="false">SUM(H36:T36)</f>
        <v>83.51</v>
      </c>
      <c r="V36" s="250" t="s">
        <v>55</v>
      </c>
      <c r="W36" s="251" t="s">
        <v>45</v>
      </c>
      <c r="X36" s="110" t="s">
        <v>42</v>
      </c>
      <c r="Y36" s="253"/>
      <c r="Z36" s="254"/>
    </row>
    <row r="37" s="10" customFormat="true" ht="14.1" hidden="false" customHeight="true" outlineLevel="0" collapsed="false">
      <c r="A37" s="237" t="s">
        <v>26</v>
      </c>
      <c r="B37" s="238" t="s">
        <v>100</v>
      </c>
      <c r="C37" s="239"/>
      <c r="D37" s="240" t="n">
        <v>6203104</v>
      </c>
      <c r="E37" s="241" t="n">
        <v>45097</v>
      </c>
      <c r="F37" s="242" t="s">
        <v>54</v>
      </c>
      <c r="G37" s="243" t="n">
        <v>45097</v>
      </c>
      <c r="H37" s="244"/>
      <c r="I37" s="245"/>
      <c r="J37" s="245"/>
      <c r="K37" s="245"/>
      <c r="L37" s="245"/>
      <c r="M37" s="244"/>
      <c r="N37" s="245"/>
      <c r="O37" s="244"/>
      <c r="P37" s="246"/>
      <c r="Q37" s="247"/>
      <c r="R37" s="244" t="n">
        <v>175</v>
      </c>
      <c r="S37" s="247" t="n">
        <v>62.5</v>
      </c>
      <c r="T37" s="248" t="n">
        <v>16.19</v>
      </c>
      <c r="U37" s="249" t="n">
        <f aca="false">SUM(H37:T37)</f>
        <v>253.69</v>
      </c>
      <c r="V37" s="250" t="s">
        <v>55</v>
      </c>
      <c r="W37" s="251" t="s">
        <v>26</v>
      </c>
      <c r="X37" s="110" t="s">
        <v>42</v>
      </c>
      <c r="Y37" s="253"/>
      <c r="Z37" s="254"/>
    </row>
    <row r="38" s="10" customFormat="true" ht="14.1" hidden="false" customHeight="true" outlineLevel="0" collapsed="false">
      <c r="A38" s="272" t="s">
        <v>26</v>
      </c>
      <c r="B38" s="273" t="s">
        <v>254</v>
      </c>
      <c r="C38" s="274"/>
      <c r="D38" s="274" t="n">
        <v>4263104</v>
      </c>
      <c r="E38" s="275" t="n">
        <v>45042</v>
      </c>
      <c r="F38" s="276" t="s">
        <v>54</v>
      </c>
      <c r="G38" s="277" t="n">
        <v>45043</v>
      </c>
      <c r="H38" s="278"/>
      <c r="I38" s="278"/>
      <c r="J38" s="279"/>
      <c r="K38" s="279"/>
      <c r="L38" s="279"/>
      <c r="M38" s="278"/>
      <c r="N38" s="278"/>
      <c r="O38" s="278"/>
      <c r="P38" s="280"/>
      <c r="Q38" s="281"/>
      <c r="R38" s="278" t="n">
        <v>65</v>
      </c>
      <c r="S38" s="281" t="n">
        <v>12.5</v>
      </c>
      <c r="T38" s="282" t="n">
        <v>5.61</v>
      </c>
      <c r="U38" s="283" t="n">
        <f aca="false">SUM(H38:T38)</f>
        <v>83.11</v>
      </c>
      <c r="V38" s="284" t="s">
        <v>55</v>
      </c>
      <c r="W38" s="285" t="s">
        <v>135</v>
      </c>
      <c r="X38" s="29" t="s">
        <v>42</v>
      </c>
      <c r="Y38" s="287"/>
      <c r="Z38" s="51"/>
    </row>
    <row r="39" s="10" customFormat="true" ht="14.1" hidden="false" customHeight="true" outlineLevel="0" collapsed="false">
      <c r="A39" s="100" t="s">
        <v>26</v>
      </c>
      <c r="B39" s="2" t="s">
        <v>280</v>
      </c>
      <c r="C39" s="3"/>
      <c r="D39" s="101" t="n">
        <v>6303063</v>
      </c>
      <c r="E39" s="102" t="n">
        <v>45107</v>
      </c>
      <c r="F39" s="103" t="s">
        <v>54</v>
      </c>
      <c r="G39" s="5" t="n">
        <v>45107</v>
      </c>
      <c r="H39" s="105"/>
      <c r="I39" s="106"/>
      <c r="J39" s="106"/>
      <c r="K39" s="106"/>
      <c r="L39" s="106"/>
      <c r="M39" s="105"/>
      <c r="N39" s="106"/>
      <c r="O39" s="105"/>
      <c r="P39" s="7"/>
      <c r="Q39" s="107"/>
      <c r="R39" s="105" t="n">
        <v>39</v>
      </c>
      <c r="S39" s="107"/>
      <c r="T39" s="108" t="n">
        <v>3.61</v>
      </c>
      <c r="U39" s="95" t="n">
        <f aca="false">SUM(H39:T39)</f>
        <v>42.61</v>
      </c>
      <c r="V39" s="109" t="s">
        <v>30</v>
      </c>
      <c r="W39" s="10" t="s">
        <v>43</v>
      </c>
      <c r="X39" s="110" t="s">
        <v>42</v>
      </c>
      <c r="Y39" s="253"/>
      <c r="Z39" s="254"/>
    </row>
    <row r="40" s="10" customFormat="true" ht="14.1" hidden="false" customHeight="true" outlineLevel="0" collapsed="false">
      <c r="A40" s="222" t="s">
        <v>102</v>
      </c>
      <c r="B40" s="223" t="s">
        <v>255</v>
      </c>
      <c r="C40" s="224"/>
      <c r="D40" s="225" t="n">
        <v>5013262</v>
      </c>
      <c r="E40" s="226" t="n">
        <v>45047</v>
      </c>
      <c r="F40" s="227" t="s">
        <v>256</v>
      </c>
      <c r="G40" s="228" t="n">
        <v>45047</v>
      </c>
      <c r="H40" s="229"/>
      <c r="I40" s="230"/>
      <c r="J40" s="230"/>
      <c r="K40" s="230"/>
      <c r="L40" s="230"/>
      <c r="M40" s="229"/>
      <c r="N40" s="230"/>
      <c r="O40" s="229" t="n">
        <v>37.5</v>
      </c>
      <c r="P40" s="231"/>
      <c r="Q40" s="232"/>
      <c r="R40" s="229"/>
      <c r="S40" s="232" t="n">
        <v>12.5</v>
      </c>
      <c r="T40" s="233" t="n">
        <v>3.52</v>
      </c>
      <c r="U40" s="234" t="n">
        <f aca="false">SUM(H40:T40)</f>
        <v>53.52</v>
      </c>
      <c r="V40" s="235" t="s">
        <v>30</v>
      </c>
      <c r="W40" s="236" t="s">
        <v>102</v>
      </c>
      <c r="X40" s="110" t="s">
        <v>42</v>
      </c>
      <c r="Y40" s="187"/>
      <c r="Z40" s="51"/>
    </row>
    <row r="41" s="10" customFormat="true" ht="14.1" hidden="false" customHeight="true" outlineLevel="0" collapsed="false">
      <c r="A41" s="237" t="s">
        <v>102</v>
      </c>
      <c r="B41" s="238" t="s">
        <v>255</v>
      </c>
      <c r="C41" s="239"/>
      <c r="D41" s="240" t="n">
        <v>6203051</v>
      </c>
      <c r="E41" s="241" t="n">
        <v>45097</v>
      </c>
      <c r="F41" s="242" t="s">
        <v>262</v>
      </c>
      <c r="G41" s="243" t="n">
        <v>45103</v>
      </c>
      <c r="H41" s="244"/>
      <c r="I41" s="245" t="n">
        <v>762</v>
      </c>
      <c r="J41" s="245"/>
      <c r="K41" s="245"/>
      <c r="L41" s="245"/>
      <c r="M41" s="244"/>
      <c r="N41" s="245"/>
      <c r="O41" s="244"/>
      <c r="P41" s="246"/>
      <c r="Q41" s="247"/>
      <c r="R41" s="244"/>
      <c r="S41" s="247"/>
      <c r="T41" s="248"/>
      <c r="U41" s="249" t="n">
        <f aca="false">SUM(H41:T41)</f>
        <v>762</v>
      </c>
      <c r="V41" s="250" t="s">
        <v>41</v>
      </c>
      <c r="W41" s="251" t="s">
        <v>102</v>
      </c>
      <c r="X41" s="110" t="s">
        <v>42</v>
      </c>
      <c r="Y41" s="253"/>
      <c r="Z41" s="254"/>
    </row>
    <row r="42" s="10" customFormat="true" ht="14.1" hidden="false" customHeight="true" outlineLevel="0" collapsed="false">
      <c r="A42" s="172" t="s">
        <v>45</v>
      </c>
      <c r="B42" s="173" t="s">
        <v>237</v>
      </c>
      <c r="C42" s="174"/>
      <c r="D42" s="175" t="n">
        <v>2072064</v>
      </c>
      <c r="E42" s="176" t="n">
        <v>44964</v>
      </c>
      <c r="F42" s="177" t="s">
        <v>54</v>
      </c>
      <c r="G42" s="178" t="n">
        <v>44964</v>
      </c>
      <c r="H42" s="179"/>
      <c r="I42" s="180"/>
      <c r="J42" s="180"/>
      <c r="K42" s="180"/>
      <c r="L42" s="180"/>
      <c r="M42" s="179"/>
      <c r="N42" s="180"/>
      <c r="O42" s="179"/>
      <c r="P42" s="181"/>
      <c r="Q42" s="182"/>
      <c r="R42" s="179" t="n">
        <v>79</v>
      </c>
      <c r="S42" s="182"/>
      <c r="T42" s="183"/>
      <c r="U42" s="184" t="n">
        <f aca="false">SUM(H42:T42)</f>
        <v>79</v>
      </c>
      <c r="V42" s="185" t="s">
        <v>75</v>
      </c>
      <c r="W42" s="186" t="s">
        <v>238</v>
      </c>
      <c r="X42" s="110" t="s">
        <v>42</v>
      </c>
      <c r="Y42" s="187"/>
      <c r="Z42" s="51"/>
    </row>
    <row r="43" s="10" customFormat="true" ht="14.1" hidden="false" customHeight="true" outlineLevel="0" collapsed="false">
      <c r="A43" s="206" t="s">
        <v>26</v>
      </c>
      <c r="B43" s="173" t="s">
        <v>206</v>
      </c>
      <c r="C43" s="174" t="s">
        <v>216</v>
      </c>
      <c r="D43" s="175" t="n">
        <v>4253102</v>
      </c>
      <c r="E43" s="176" t="n">
        <v>45041</v>
      </c>
      <c r="F43" s="177" t="s">
        <v>54</v>
      </c>
      <c r="G43" s="178" t="n">
        <v>45041</v>
      </c>
      <c r="H43" s="179"/>
      <c r="I43" s="180"/>
      <c r="J43" s="180"/>
      <c r="K43" s="180"/>
      <c r="L43" s="180"/>
      <c r="M43" s="179"/>
      <c r="N43" s="180"/>
      <c r="O43" s="179"/>
      <c r="P43" s="181"/>
      <c r="Q43" s="182"/>
      <c r="R43" s="179" t="n">
        <v>90</v>
      </c>
      <c r="S43" s="182" t="n">
        <v>50</v>
      </c>
      <c r="T43" s="183"/>
      <c r="U43" s="184" t="n">
        <f aca="false">SUM(H43:T43)</f>
        <v>140</v>
      </c>
      <c r="V43" s="185" t="s">
        <v>55</v>
      </c>
      <c r="W43" s="186" t="s">
        <v>135</v>
      </c>
      <c r="X43" s="110" t="s">
        <v>32</v>
      </c>
      <c r="Y43" s="187" t="n">
        <v>70</v>
      </c>
      <c r="Z43" s="51"/>
    </row>
    <row r="44" s="10" customFormat="true" ht="14.1" hidden="false" customHeight="true" outlineLevel="0" collapsed="false">
      <c r="A44" s="222" t="s">
        <v>26</v>
      </c>
      <c r="B44" s="223" t="s">
        <v>263</v>
      </c>
      <c r="C44" s="224"/>
      <c r="D44" s="225" t="n">
        <v>5223106</v>
      </c>
      <c r="E44" s="226" t="n">
        <v>45068</v>
      </c>
      <c r="F44" s="227" t="s">
        <v>54</v>
      </c>
      <c r="G44" s="228" t="n">
        <v>45068</v>
      </c>
      <c r="H44" s="229"/>
      <c r="I44" s="230"/>
      <c r="J44" s="230"/>
      <c r="K44" s="230"/>
      <c r="L44" s="230"/>
      <c r="M44" s="229"/>
      <c r="N44" s="230"/>
      <c r="O44" s="229"/>
      <c r="P44" s="231"/>
      <c r="Q44" s="232"/>
      <c r="R44" s="229" t="n">
        <v>78</v>
      </c>
      <c r="S44" s="232" t="n">
        <v>25</v>
      </c>
      <c r="T44" s="233" t="n">
        <v>6.44</v>
      </c>
      <c r="U44" s="234" t="n">
        <f aca="false">SUM(H44:T44)</f>
        <v>109.44</v>
      </c>
      <c r="V44" s="235" t="s">
        <v>55</v>
      </c>
      <c r="W44" s="236" t="s">
        <v>135</v>
      </c>
      <c r="X44" s="110" t="s">
        <v>42</v>
      </c>
      <c r="Y44" s="187"/>
      <c r="Z44" s="51"/>
    </row>
    <row r="45" s="10" customFormat="true" ht="14.1" hidden="false" customHeight="true" outlineLevel="0" collapsed="false">
      <c r="A45" s="222" t="s">
        <v>26</v>
      </c>
      <c r="B45" s="223" t="s">
        <v>260</v>
      </c>
      <c r="C45" s="224"/>
      <c r="D45" s="225" t="n">
        <v>5153105</v>
      </c>
      <c r="E45" s="226" t="n">
        <v>45061</v>
      </c>
      <c r="F45" s="227" t="s">
        <v>54</v>
      </c>
      <c r="G45" s="228" t="n">
        <v>45061</v>
      </c>
      <c r="H45" s="229"/>
      <c r="I45" s="230"/>
      <c r="J45" s="230"/>
      <c r="K45" s="230"/>
      <c r="L45" s="230"/>
      <c r="M45" s="229"/>
      <c r="N45" s="230"/>
      <c r="O45" s="229"/>
      <c r="P45" s="231"/>
      <c r="Q45" s="232"/>
      <c r="R45" s="229" t="n">
        <v>168</v>
      </c>
      <c r="S45" s="232" t="n">
        <v>37.5</v>
      </c>
      <c r="T45" s="233" t="n">
        <v>17.22</v>
      </c>
      <c r="U45" s="234" t="n">
        <f aca="false">SUM(H45:T45)</f>
        <v>222.72</v>
      </c>
      <c r="V45" s="235" t="s">
        <v>55</v>
      </c>
      <c r="W45" s="236" t="s">
        <v>135</v>
      </c>
      <c r="X45" s="110" t="s">
        <v>42</v>
      </c>
      <c r="Y45" s="187"/>
      <c r="Z45" s="51"/>
    </row>
    <row r="46" s="10" customFormat="true" ht="14.1" hidden="false" customHeight="true" outlineLevel="0" collapsed="false">
      <c r="A46" s="206" t="s">
        <v>26</v>
      </c>
      <c r="B46" s="173" t="s">
        <v>241</v>
      </c>
      <c r="C46" s="174"/>
      <c r="D46" s="175" t="n">
        <v>3023108</v>
      </c>
      <c r="E46" s="176" t="n">
        <v>44987</v>
      </c>
      <c r="F46" s="177" t="s">
        <v>54</v>
      </c>
      <c r="G46" s="178" t="n">
        <v>44987</v>
      </c>
      <c r="H46" s="179"/>
      <c r="I46" s="180"/>
      <c r="J46" s="180"/>
      <c r="K46" s="180"/>
      <c r="L46" s="180"/>
      <c r="M46" s="179"/>
      <c r="N46" s="180"/>
      <c r="O46" s="179"/>
      <c r="P46" s="181"/>
      <c r="Q46" s="182"/>
      <c r="R46" s="179" t="n">
        <v>213</v>
      </c>
      <c r="S46" s="182" t="n">
        <v>50</v>
      </c>
      <c r="T46" s="183" t="n">
        <v>21.83</v>
      </c>
      <c r="U46" s="184" t="n">
        <f aca="false">SUM(H46:T46)</f>
        <v>284.83</v>
      </c>
      <c r="V46" s="185" t="s">
        <v>236</v>
      </c>
      <c r="W46" s="186" t="s">
        <v>135</v>
      </c>
      <c r="X46" s="110" t="s">
        <v>42</v>
      </c>
      <c r="Y46" s="187"/>
      <c r="Z46" s="51"/>
    </row>
    <row r="47" s="10" customFormat="true" ht="14.1" hidden="false" customHeight="true" outlineLevel="0" collapsed="false">
      <c r="A47" s="188" t="s">
        <v>26</v>
      </c>
      <c r="B47" s="189" t="s">
        <v>240</v>
      </c>
      <c r="C47" s="190"/>
      <c r="D47" s="191" t="n">
        <v>2273108</v>
      </c>
      <c r="E47" s="192" t="n">
        <v>44984</v>
      </c>
      <c r="F47" s="193" t="s">
        <v>54</v>
      </c>
      <c r="G47" s="178" t="n">
        <v>44985</v>
      </c>
      <c r="H47" s="194"/>
      <c r="I47" s="195"/>
      <c r="J47" s="195"/>
      <c r="K47" s="195"/>
      <c r="L47" s="195"/>
      <c r="M47" s="194"/>
      <c r="N47" s="195"/>
      <c r="O47" s="194"/>
      <c r="P47" s="196"/>
      <c r="Q47" s="197"/>
      <c r="R47" s="194" t="n">
        <v>120</v>
      </c>
      <c r="S47" s="197" t="n">
        <v>25</v>
      </c>
      <c r="T47" s="198" t="n">
        <v>10.2</v>
      </c>
      <c r="U47" s="199" t="n">
        <f aca="false">SUM(H47:T47)</f>
        <v>155.2</v>
      </c>
      <c r="V47" s="200" t="s">
        <v>236</v>
      </c>
      <c r="W47" s="201" t="s">
        <v>135</v>
      </c>
      <c r="X47" s="202" t="s">
        <v>42</v>
      </c>
      <c r="Y47" s="203"/>
      <c r="Z47" s="204"/>
      <c r="AA47" s="205"/>
      <c r="AB47" s="205"/>
      <c r="AC47" s="205"/>
    </row>
    <row r="48" s="10" customFormat="true" ht="14.1" hidden="false" customHeight="true" outlineLevel="0" collapsed="false">
      <c r="A48" s="222" t="s">
        <v>26</v>
      </c>
      <c r="B48" s="223" t="s">
        <v>136</v>
      </c>
      <c r="C48" s="224" t="s">
        <v>259</v>
      </c>
      <c r="D48" s="225" t="n">
        <v>5123101</v>
      </c>
      <c r="E48" s="226" t="n">
        <v>45058</v>
      </c>
      <c r="F48" s="227" t="s">
        <v>54</v>
      </c>
      <c r="G48" s="228" t="n">
        <v>45058</v>
      </c>
      <c r="H48" s="229"/>
      <c r="I48" s="230"/>
      <c r="J48" s="230"/>
      <c r="K48" s="230"/>
      <c r="L48" s="230"/>
      <c r="M48" s="229"/>
      <c r="N48" s="230"/>
      <c r="O48" s="229"/>
      <c r="P48" s="231"/>
      <c r="Q48" s="232"/>
      <c r="R48" s="229" t="n">
        <v>45</v>
      </c>
      <c r="S48" s="232" t="n">
        <v>12.5</v>
      </c>
      <c r="T48" s="233" t="n">
        <v>3.49</v>
      </c>
      <c r="U48" s="234" t="n">
        <f aca="false">SUM(H48:T48)</f>
        <v>60.99</v>
      </c>
      <c r="V48" s="235" t="s">
        <v>55</v>
      </c>
      <c r="W48" s="236" t="s">
        <v>135</v>
      </c>
      <c r="X48" s="110" t="s">
        <v>42</v>
      </c>
      <c r="Y48" s="187"/>
      <c r="Z48" s="51"/>
    </row>
    <row r="49" s="10" customFormat="true" ht="14.1" hidden="false" customHeight="true" outlineLevel="0" collapsed="false">
      <c r="A49" s="206" t="s">
        <v>26</v>
      </c>
      <c r="B49" s="173" t="s">
        <v>245</v>
      </c>
      <c r="C49" s="174"/>
      <c r="D49" s="175" t="n">
        <v>3223101</v>
      </c>
      <c r="E49" s="176" t="n">
        <v>45007</v>
      </c>
      <c r="F49" s="177" t="s">
        <v>54</v>
      </c>
      <c r="G49" s="178" t="n">
        <v>45007</v>
      </c>
      <c r="H49" s="179"/>
      <c r="I49" s="180"/>
      <c r="J49" s="180"/>
      <c r="K49" s="180"/>
      <c r="L49" s="180"/>
      <c r="M49" s="179"/>
      <c r="N49" s="180"/>
      <c r="O49" s="179"/>
      <c r="P49" s="181"/>
      <c r="Q49" s="182"/>
      <c r="R49" s="179" t="n">
        <v>247</v>
      </c>
      <c r="S49" s="182" t="n">
        <v>62.5</v>
      </c>
      <c r="T49" s="183" t="n">
        <v>21</v>
      </c>
      <c r="U49" s="184" t="n">
        <f aca="false">SUM(H49:T49)</f>
        <v>330.5</v>
      </c>
      <c r="V49" s="185" t="s">
        <v>55</v>
      </c>
      <c r="W49" s="186" t="s">
        <v>135</v>
      </c>
      <c r="X49" s="110" t="s">
        <v>42</v>
      </c>
      <c r="Y49" s="187"/>
      <c r="Z49" s="51"/>
    </row>
    <row r="50" s="10" customFormat="true" ht="14.1" hidden="false" customHeight="true" outlineLevel="0" collapsed="false">
      <c r="A50" s="206" t="s">
        <v>45</v>
      </c>
      <c r="B50" s="173" t="s">
        <v>250</v>
      </c>
      <c r="C50" s="174"/>
      <c r="D50" s="175" t="n">
        <v>4143062</v>
      </c>
      <c r="E50" s="176" t="n">
        <v>45030</v>
      </c>
      <c r="F50" s="177" t="s">
        <v>54</v>
      </c>
      <c r="G50" s="178" t="n">
        <v>45030</v>
      </c>
      <c r="H50" s="179"/>
      <c r="I50" s="180"/>
      <c r="J50" s="180"/>
      <c r="K50" s="180"/>
      <c r="L50" s="180"/>
      <c r="M50" s="179"/>
      <c r="N50" s="180"/>
      <c r="O50" s="179"/>
      <c r="P50" s="181"/>
      <c r="Q50" s="182"/>
      <c r="R50" s="179" t="n">
        <v>130</v>
      </c>
      <c r="S50" s="182" t="n">
        <v>25</v>
      </c>
      <c r="T50" s="183" t="n">
        <v>11.21</v>
      </c>
      <c r="U50" s="184" t="n">
        <f aca="false">SUM(H50:T50)</f>
        <v>166.21</v>
      </c>
      <c r="V50" s="185" t="s">
        <v>55</v>
      </c>
      <c r="W50" s="186" t="s">
        <v>45</v>
      </c>
      <c r="X50" s="110" t="s">
        <v>42</v>
      </c>
      <c r="Y50" s="187"/>
      <c r="Z50" s="51"/>
    </row>
    <row r="51" s="10" customFormat="true" ht="14.1" hidden="false" customHeight="true" outlineLevel="0" collapsed="false">
      <c r="A51" s="172" t="s">
        <v>26</v>
      </c>
      <c r="B51" s="173" t="s">
        <v>235</v>
      </c>
      <c r="C51" s="174"/>
      <c r="D51" s="175" t="n">
        <v>12222102</v>
      </c>
      <c r="E51" s="176" t="n">
        <v>44917</v>
      </c>
      <c r="F51" s="177" t="s">
        <v>54</v>
      </c>
      <c r="G51" s="178" t="n">
        <v>44917</v>
      </c>
      <c r="H51" s="179"/>
      <c r="I51" s="180"/>
      <c r="J51" s="180"/>
      <c r="K51" s="180"/>
      <c r="L51" s="180"/>
      <c r="M51" s="179"/>
      <c r="N51" s="180"/>
      <c r="O51" s="179"/>
      <c r="P51" s="181"/>
      <c r="Q51" s="182"/>
      <c r="R51" s="179" t="n">
        <v>323</v>
      </c>
      <c r="S51" s="182" t="n">
        <v>70</v>
      </c>
      <c r="T51" s="183" t="n">
        <v>30.28</v>
      </c>
      <c r="U51" s="184" t="n">
        <f aca="false">SUM(H51:T51)</f>
        <v>423.28</v>
      </c>
      <c r="V51" s="185" t="s">
        <v>236</v>
      </c>
      <c r="W51" s="186" t="s">
        <v>135</v>
      </c>
      <c r="X51" s="110" t="s">
        <v>42</v>
      </c>
      <c r="Y51" s="187"/>
      <c r="Z51" s="51"/>
    </row>
    <row r="52" s="10" customFormat="true" ht="14.1" hidden="false" customHeight="true" outlineLevel="0" collapsed="false">
      <c r="A52" s="206" t="s">
        <v>26</v>
      </c>
      <c r="B52" s="173" t="s">
        <v>249</v>
      </c>
      <c r="C52" s="174"/>
      <c r="D52" s="175" t="n">
        <v>4113106</v>
      </c>
      <c r="E52" s="176" t="n">
        <v>45027</v>
      </c>
      <c r="F52" s="177" t="s">
        <v>54</v>
      </c>
      <c r="G52" s="178" t="n">
        <v>45027</v>
      </c>
      <c r="H52" s="179"/>
      <c r="I52" s="180"/>
      <c r="J52" s="180"/>
      <c r="K52" s="180"/>
      <c r="L52" s="180"/>
      <c r="M52" s="179"/>
      <c r="N52" s="180"/>
      <c r="O52" s="179"/>
      <c r="P52" s="181"/>
      <c r="Q52" s="182"/>
      <c r="R52" s="179" t="n">
        <v>65</v>
      </c>
      <c r="S52" s="182" t="n">
        <v>12.5</v>
      </c>
      <c r="T52" s="183" t="n">
        <v>6.09</v>
      </c>
      <c r="U52" s="184" t="n">
        <f aca="false">SUM(H52:T52)</f>
        <v>83.59</v>
      </c>
      <c r="V52" s="185" t="s">
        <v>55</v>
      </c>
      <c r="W52" s="186" t="s">
        <v>26</v>
      </c>
      <c r="X52" s="110" t="s">
        <v>42</v>
      </c>
      <c r="Y52" s="187"/>
      <c r="Z52" s="51"/>
    </row>
    <row r="53" s="10" customFormat="true" ht="14.1" hidden="false" customHeight="true" outlineLevel="0" collapsed="false">
      <c r="A53" s="206" t="s">
        <v>26</v>
      </c>
      <c r="B53" s="173" t="s">
        <v>251</v>
      </c>
      <c r="C53" s="174"/>
      <c r="D53" s="175" t="n">
        <v>4173104</v>
      </c>
      <c r="E53" s="176" t="n">
        <v>45033</v>
      </c>
      <c r="F53" s="177" t="s">
        <v>54</v>
      </c>
      <c r="G53" s="178" t="n">
        <v>45033</v>
      </c>
      <c r="H53" s="179"/>
      <c r="I53" s="180"/>
      <c r="J53" s="180"/>
      <c r="K53" s="180"/>
      <c r="L53" s="180"/>
      <c r="M53" s="179"/>
      <c r="N53" s="180"/>
      <c r="O53" s="179"/>
      <c r="P53" s="181"/>
      <c r="Q53" s="182"/>
      <c r="R53" s="179" t="n">
        <v>435</v>
      </c>
      <c r="S53" s="182" t="n">
        <v>87.5</v>
      </c>
      <c r="T53" s="183" t="n">
        <v>33.71</v>
      </c>
      <c r="U53" s="184" t="n">
        <f aca="false">SUM(H53:T53)</f>
        <v>556.21</v>
      </c>
      <c r="V53" s="185" t="s">
        <v>55</v>
      </c>
      <c r="W53" s="186" t="s">
        <v>135</v>
      </c>
      <c r="X53" s="110" t="s">
        <v>42</v>
      </c>
      <c r="Y53" s="187"/>
      <c r="Z53" s="51"/>
    </row>
    <row r="54" s="10" customFormat="true" ht="14.1" hidden="false" customHeight="true" outlineLevel="0" collapsed="false">
      <c r="A54" s="237" t="s">
        <v>26</v>
      </c>
      <c r="B54" s="238" t="s">
        <v>271</v>
      </c>
      <c r="C54" s="239"/>
      <c r="D54" s="240" t="n">
        <v>6143062</v>
      </c>
      <c r="E54" s="241" t="n">
        <v>45091</v>
      </c>
      <c r="F54" s="242" t="s">
        <v>54</v>
      </c>
      <c r="G54" s="243" t="n">
        <v>45091</v>
      </c>
      <c r="H54" s="244"/>
      <c r="I54" s="245"/>
      <c r="J54" s="245"/>
      <c r="K54" s="245"/>
      <c r="L54" s="245"/>
      <c r="M54" s="244"/>
      <c r="N54" s="245"/>
      <c r="O54" s="244"/>
      <c r="P54" s="246"/>
      <c r="Q54" s="247"/>
      <c r="R54" s="244" t="n">
        <v>1490</v>
      </c>
      <c r="S54" s="247"/>
      <c r="T54" s="248"/>
      <c r="U54" s="249" t="n">
        <f aca="false">SUM(H54:T54)</f>
        <v>1490</v>
      </c>
      <c r="V54" s="250" t="s">
        <v>75</v>
      </c>
      <c r="W54" s="251" t="s">
        <v>272</v>
      </c>
      <c r="X54" s="110" t="s">
        <v>42</v>
      </c>
      <c r="Y54" s="253"/>
      <c r="Z54" s="254"/>
    </row>
    <row r="55" s="10" customFormat="true" ht="14.1" hidden="false" customHeight="true" outlineLevel="0" collapsed="false">
      <c r="A55" s="207"/>
      <c r="B55" s="208"/>
      <c r="C55" s="209"/>
      <c r="D55" s="209"/>
      <c r="E55" s="210"/>
      <c r="F55" s="211"/>
      <c r="G55" s="212"/>
      <c r="H55" s="213"/>
      <c r="I55" s="213"/>
      <c r="J55" s="214"/>
      <c r="K55" s="214"/>
      <c r="L55" s="214"/>
      <c r="M55" s="213"/>
      <c r="N55" s="213"/>
      <c r="O55" s="213"/>
      <c r="P55" s="128"/>
      <c r="Q55" s="215"/>
      <c r="R55" s="213"/>
      <c r="S55" s="215"/>
      <c r="T55" s="216"/>
      <c r="U55" s="217"/>
      <c r="V55" s="218"/>
      <c r="W55" s="29"/>
      <c r="X55" s="29"/>
      <c r="Y55" s="255" t="n">
        <f aca="false">SUM(U39:U54)</f>
        <v>4960.1</v>
      </c>
      <c r="Z55" s="220" t="n">
        <f aca="false">Y55/V57</f>
        <v>0.302031853975414</v>
      </c>
      <c r="AA55" s="51"/>
    </row>
    <row r="56" s="10" customFormat="true" ht="19.5" hidden="false" customHeight="true" outlineLevel="0" collapsed="false">
      <c r="A56" s="256"/>
      <c r="B56" s="257"/>
      <c r="C56" s="257"/>
      <c r="D56" s="49"/>
      <c r="E56" s="49"/>
      <c r="F56" s="258"/>
      <c r="G56" s="49"/>
      <c r="H56" s="259" t="n">
        <f aca="false">SUM(H4:H54)</f>
        <v>75</v>
      </c>
      <c r="I56" s="259" t="n">
        <f aca="false">SUM(I4:I54)</f>
        <v>1260</v>
      </c>
      <c r="J56" s="259" t="n">
        <f aca="false">SUM(J4:J54)</f>
        <v>0</v>
      </c>
      <c r="K56" s="259" t="n">
        <f aca="false">SUM(K4:K54)</f>
        <v>0</v>
      </c>
      <c r="L56" s="259" t="n">
        <f aca="false">SUM(L4:L54)</f>
        <v>0</v>
      </c>
      <c r="M56" s="259" t="n">
        <f aca="false">SUM(M4:M54)</f>
        <v>49</v>
      </c>
      <c r="N56" s="259" t="n">
        <f aca="false">SUM(N4:N54)</f>
        <v>39</v>
      </c>
      <c r="O56" s="259" t="n">
        <f aca="false">SUM(O4:O54)</f>
        <v>37.5</v>
      </c>
      <c r="P56" s="259" t="n">
        <f aca="false">SUM(P4:P54)</f>
        <v>0</v>
      </c>
      <c r="Q56" s="259" t="n">
        <f aca="false">SUM(Q4:Q54)</f>
        <v>0</v>
      </c>
      <c r="R56" s="259" t="n">
        <f aca="false">SUM(R4:R54)</f>
        <v>12255</v>
      </c>
      <c r="S56" s="259" t="n">
        <f aca="false">SUM(S4:S54)</f>
        <v>1810</v>
      </c>
      <c r="T56" s="259" t="n">
        <f aca="false">SUM(T4:T54)</f>
        <v>896.940000000001</v>
      </c>
      <c r="U56" s="259" t="n">
        <f aca="false">SUM(U4:U54)</f>
        <v>16422.44</v>
      </c>
      <c r="V56" s="260"/>
      <c r="W56" s="11"/>
      <c r="X56" s="11"/>
      <c r="Y56" s="3"/>
      <c r="Z56" s="2"/>
      <c r="AA56" s="261"/>
      <c r="AB56" s="261"/>
      <c r="AC56" s="261"/>
    </row>
    <row r="57" s="10" customFormat="true" ht="14.1" hidden="false" customHeight="true" outlineLevel="0" collapsed="false">
      <c r="A57" s="2"/>
      <c r="B57" s="2"/>
      <c r="C57" s="3"/>
      <c r="D57" s="3"/>
      <c r="E57" s="4"/>
      <c r="F57" s="3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/>
      <c r="U57" s="9"/>
      <c r="V57" s="262" t="n">
        <f aca="false">SUM(H56:T56)</f>
        <v>16422.44</v>
      </c>
      <c r="Y57" s="263"/>
      <c r="Z57" s="12"/>
    </row>
    <row r="58" s="10" customFormat="true" ht="14.1" hidden="false" customHeight="true" outlineLevel="0" collapsed="false">
      <c r="A58" s="2"/>
      <c r="B58" s="2"/>
      <c r="C58" s="3"/>
      <c r="D58" s="3"/>
      <c r="E58" s="4"/>
      <c r="F58" s="3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8"/>
      <c r="U58" s="9"/>
      <c r="V58" s="2"/>
      <c r="Y58" s="263"/>
      <c r="Z58" s="12"/>
    </row>
    <row r="59" s="10" customFormat="true" ht="14.1" hidden="false" customHeight="true" outlineLevel="0" collapsed="false">
      <c r="A59" s="2"/>
      <c r="B59" s="2"/>
      <c r="C59" s="3"/>
      <c r="D59" s="3"/>
      <c r="E59" s="4"/>
      <c r="F59" s="3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8"/>
      <c r="U59" s="9"/>
      <c r="V59" s="2"/>
      <c r="Y59" s="263"/>
      <c r="Z59" s="12"/>
    </row>
    <row r="60" s="10" customFormat="true" ht="14.1" hidden="false" customHeight="true" outlineLevel="0" collapsed="false">
      <c r="A60" s="2"/>
      <c r="B60" s="2"/>
      <c r="C60" s="3"/>
      <c r="D60" s="3"/>
      <c r="E60" s="4"/>
      <c r="F60" s="3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9"/>
      <c r="V60" s="2"/>
      <c r="Y60" s="263"/>
      <c r="Z60" s="12"/>
    </row>
    <row r="61" s="10" customFormat="true" ht="14.1" hidden="false" customHeight="true" outlineLevel="0" collapsed="false">
      <c r="A61" s="2"/>
      <c r="B61" s="2"/>
      <c r="C61" s="3"/>
      <c r="D61" s="3"/>
      <c r="E61" s="4"/>
      <c r="F61" s="3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9"/>
      <c r="V61" s="2"/>
      <c r="Y61" s="263"/>
      <c r="Z61" s="12"/>
    </row>
    <row r="62" s="10" customFormat="true" ht="14.1" hidden="false" customHeight="true" outlineLevel="0" collapsed="false">
      <c r="A62" s="2"/>
      <c r="B62" s="2"/>
      <c r="C62" s="3"/>
      <c r="D62" s="3"/>
      <c r="E62" s="4"/>
      <c r="F62" s="3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8"/>
      <c r="U62" s="9"/>
      <c r="V62" s="2"/>
      <c r="Y62" s="263"/>
      <c r="Z62" s="12"/>
    </row>
    <row r="63" s="10" customFormat="true" ht="14.1" hidden="false" customHeight="true" outlineLevel="0" collapsed="false">
      <c r="A63" s="2"/>
      <c r="B63" s="2"/>
      <c r="C63" s="3"/>
      <c r="D63" s="3"/>
      <c r="E63" s="4"/>
      <c r="F63" s="3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8"/>
      <c r="U63" s="9"/>
      <c r="V63" s="2"/>
      <c r="Y63" s="263"/>
      <c r="Z63" s="12"/>
    </row>
    <row r="64" s="10" customFormat="true" ht="14.1" hidden="false" customHeight="true" outlineLevel="0" collapsed="false">
      <c r="A64" s="2"/>
      <c r="B64" s="2"/>
      <c r="C64" s="3"/>
      <c r="D64" s="3"/>
      <c r="E64" s="4"/>
      <c r="F64" s="3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8"/>
      <c r="U64" s="9"/>
      <c r="V64" s="2"/>
      <c r="Y64" s="263"/>
      <c r="Z64" s="12"/>
    </row>
    <row r="65" s="10" customFormat="true" ht="14.1" hidden="false" customHeight="true" outlineLevel="0" collapsed="false">
      <c r="A65" s="2"/>
      <c r="B65" s="2"/>
      <c r="C65" s="3"/>
      <c r="D65" s="3"/>
      <c r="E65" s="4"/>
      <c r="F65" s="3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8"/>
      <c r="U65" s="9"/>
      <c r="V65" s="2"/>
      <c r="Y65" s="263"/>
      <c r="Z65" s="12"/>
    </row>
    <row r="66" s="10" customFormat="true" ht="14.1" hidden="false" customHeight="true" outlineLevel="0" collapsed="false">
      <c r="A66" s="2"/>
      <c r="B66" s="2"/>
      <c r="C66" s="264"/>
      <c r="D66" s="3"/>
      <c r="E66" s="4"/>
      <c r="F66" s="3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8"/>
      <c r="T66" s="8"/>
      <c r="V66" s="265"/>
      <c r="W66" s="266"/>
      <c r="X66" s="266"/>
      <c r="Y66" s="267"/>
      <c r="Z66" s="2"/>
    </row>
    <row r="67" s="10" customFormat="true" ht="14.1" hidden="false" customHeight="true" outlineLevel="0" collapsed="false">
      <c r="A67" s="2"/>
      <c r="B67" s="2"/>
      <c r="C67" s="3"/>
      <c r="D67" s="3"/>
      <c r="E67" s="4"/>
      <c r="F67" s="3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8"/>
      <c r="U67" s="9"/>
      <c r="V67" s="2"/>
      <c r="Y67" s="263"/>
      <c r="Z67" s="12"/>
    </row>
    <row r="68" s="10" customFormat="true" ht="14.1" hidden="false" customHeight="true" outlineLevel="0" collapsed="false">
      <c r="A68" s="2"/>
      <c r="B68" s="2"/>
      <c r="C68" s="3"/>
      <c r="D68" s="3"/>
      <c r="E68" s="4"/>
      <c r="F68" s="3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9"/>
      <c r="V68" s="2"/>
      <c r="Y68" s="263"/>
      <c r="Z68" s="12"/>
    </row>
    <row r="69" s="10" customFormat="true" ht="14.1" hidden="false" customHeight="true" outlineLevel="0" collapsed="false">
      <c r="A69" s="2"/>
      <c r="B69" s="2"/>
      <c r="C69" s="3"/>
      <c r="D69" s="3"/>
      <c r="E69" s="4"/>
      <c r="F69" s="3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8"/>
      <c r="U69" s="9"/>
      <c r="V69" s="2"/>
      <c r="Y69" s="263"/>
      <c r="Z69" s="12"/>
    </row>
    <row r="70" s="10" customFormat="true" ht="14.1" hidden="false" customHeight="true" outlineLevel="0" collapsed="false">
      <c r="A70" s="2"/>
      <c r="B70" s="2"/>
      <c r="C70" s="3"/>
      <c r="D70" s="3"/>
      <c r="E70" s="4"/>
      <c r="F70" s="3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  <c r="U70" s="9"/>
      <c r="V70" s="2"/>
      <c r="Y70" s="263"/>
      <c r="Z70" s="12"/>
    </row>
    <row r="71" s="10" customFormat="true" ht="14.1" hidden="false" customHeight="true" outlineLevel="0" collapsed="false">
      <c r="A71" s="2"/>
      <c r="B71" s="2"/>
      <c r="C71" s="3"/>
      <c r="D71" s="3"/>
      <c r="E71" s="4"/>
      <c r="F71" s="3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8"/>
      <c r="U71" s="9"/>
      <c r="V71" s="2"/>
      <c r="Y71" s="263"/>
      <c r="Z71" s="12"/>
    </row>
    <row r="72" s="10" customFormat="true" ht="14.1" hidden="false" customHeight="true" outlineLevel="0" collapsed="false">
      <c r="A72" s="2"/>
      <c r="B72" s="2"/>
      <c r="C72" s="3"/>
      <c r="D72" s="3"/>
      <c r="E72" s="4"/>
      <c r="F72" s="3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8"/>
      <c r="U72" s="9"/>
      <c r="V72" s="2"/>
      <c r="Y72" s="263"/>
      <c r="Z72" s="12"/>
    </row>
    <row r="73" s="10" customFormat="true" ht="14.1" hidden="false" customHeight="true" outlineLevel="0" collapsed="false">
      <c r="A73" s="2"/>
      <c r="B73" s="2"/>
      <c r="C73" s="3"/>
      <c r="D73" s="3"/>
      <c r="E73" s="4"/>
      <c r="F73" s="3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  <c r="U73" s="9"/>
      <c r="V73" s="2"/>
      <c r="Y73" s="263"/>
      <c r="Z73" s="12"/>
    </row>
    <row r="74" s="10" customFormat="true" ht="14.1" hidden="false" customHeight="true" outlineLevel="0" collapsed="false">
      <c r="A74" s="2"/>
      <c r="B74" s="2"/>
      <c r="C74" s="3"/>
      <c r="D74" s="3"/>
      <c r="E74" s="4"/>
      <c r="F74" s="3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  <c r="U74" s="9"/>
      <c r="V74" s="2"/>
      <c r="Y74" s="263"/>
      <c r="Z74" s="12"/>
    </row>
    <row r="75" s="10" customFormat="true" ht="14.1" hidden="false" customHeight="true" outlineLevel="0" collapsed="false">
      <c r="A75" s="2"/>
      <c r="B75" s="2"/>
      <c r="C75" s="3"/>
      <c r="D75" s="3"/>
      <c r="E75" s="4"/>
      <c r="F75" s="3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8"/>
      <c r="U75" s="9"/>
      <c r="V75" s="2"/>
      <c r="Y75" s="263"/>
      <c r="Z75" s="12"/>
    </row>
    <row r="76" s="10" customFormat="true" ht="14.1" hidden="false" customHeight="true" outlineLevel="0" collapsed="false">
      <c r="A76" s="2"/>
      <c r="B76" s="2"/>
      <c r="C76" s="3"/>
      <c r="D76" s="3"/>
      <c r="E76" s="4"/>
      <c r="F76" s="3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/>
      <c r="U76" s="9"/>
      <c r="V76" s="2"/>
      <c r="Y76" s="263"/>
      <c r="Z76" s="12"/>
    </row>
    <row r="77" s="10" customFormat="true" ht="14.1" hidden="false" customHeight="true" outlineLevel="0" collapsed="false">
      <c r="A77" s="2"/>
      <c r="B77" s="2"/>
      <c r="C77" s="3"/>
      <c r="D77" s="3"/>
      <c r="E77" s="4"/>
      <c r="F77" s="3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/>
      <c r="U77" s="9"/>
      <c r="V77" s="2"/>
      <c r="Y77" s="263"/>
      <c r="Z77" s="12"/>
    </row>
    <row r="78" s="10" customFormat="true" ht="14.1" hidden="false" customHeight="true" outlineLevel="0" collapsed="false">
      <c r="A78" s="2"/>
      <c r="B78" s="2"/>
      <c r="C78" s="3"/>
      <c r="D78" s="3"/>
      <c r="E78" s="4"/>
      <c r="F78" s="3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9"/>
      <c r="V78" s="2"/>
      <c r="Y78" s="263"/>
      <c r="Z78" s="12"/>
    </row>
    <row r="79" s="10" customFormat="true" ht="14.1" hidden="false" customHeight="true" outlineLevel="0" collapsed="false">
      <c r="A79" s="2"/>
      <c r="B79" s="2"/>
      <c r="C79" s="3"/>
      <c r="D79" s="3"/>
      <c r="E79" s="4"/>
      <c r="F79" s="3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/>
      <c r="U79" s="9"/>
      <c r="V79" s="2"/>
      <c r="Y79" s="263"/>
      <c r="Z79" s="12"/>
    </row>
    <row r="80" s="10" customFormat="true" ht="14.1" hidden="false" customHeight="true" outlineLevel="0" collapsed="false">
      <c r="A80" s="2"/>
      <c r="B80" s="2"/>
      <c r="C80" s="3"/>
      <c r="D80" s="3"/>
      <c r="E80" s="4"/>
      <c r="F80" s="3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9"/>
      <c r="V80" s="2"/>
      <c r="Y80" s="263"/>
      <c r="Z80" s="12"/>
    </row>
    <row r="81" s="10" customFormat="true" ht="14.1" hidden="false" customHeight="true" outlineLevel="0" collapsed="false">
      <c r="A81" s="2"/>
      <c r="B81" s="2"/>
      <c r="C81" s="3"/>
      <c r="D81" s="3"/>
      <c r="E81" s="4"/>
      <c r="F81" s="3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/>
      <c r="U81" s="9"/>
      <c r="V81" s="2"/>
      <c r="Y81" s="263"/>
      <c r="Z81" s="12"/>
    </row>
    <row r="82" s="10" customFormat="true" ht="14.1" hidden="false" customHeight="true" outlineLevel="0" collapsed="false">
      <c r="A82" s="2"/>
      <c r="B82" s="2"/>
      <c r="C82" s="3"/>
      <c r="D82" s="3"/>
      <c r="E82" s="4"/>
      <c r="F82" s="3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8"/>
      <c r="U82" s="9"/>
      <c r="V82" s="2"/>
      <c r="Y82" s="263"/>
      <c r="Z82" s="12"/>
    </row>
    <row r="83" s="10" customFormat="true" ht="14.1" hidden="false" customHeight="true" outlineLevel="0" collapsed="false">
      <c r="A83" s="2"/>
      <c r="B83" s="2"/>
      <c r="C83" s="3"/>
      <c r="D83" s="3"/>
      <c r="E83" s="4"/>
      <c r="F83" s="3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8"/>
      <c r="U83" s="9"/>
      <c r="V83" s="2"/>
      <c r="Y83" s="263"/>
      <c r="Z83" s="12"/>
    </row>
    <row r="84" s="10" customFormat="true" ht="14.1" hidden="false" customHeight="true" outlineLevel="0" collapsed="false">
      <c r="A84" s="2"/>
      <c r="B84" s="2"/>
      <c r="C84" s="3"/>
      <c r="D84" s="3"/>
      <c r="E84" s="4"/>
      <c r="F84" s="3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8"/>
      <c r="U84" s="9"/>
      <c r="V84" s="2"/>
      <c r="Y84" s="263"/>
      <c r="Z84" s="12"/>
    </row>
    <row r="85" s="10" customFormat="true" ht="14.1" hidden="false" customHeight="true" outlineLevel="0" collapsed="false">
      <c r="A85" s="2"/>
      <c r="B85" s="2"/>
      <c r="C85" s="3"/>
      <c r="D85" s="3"/>
      <c r="E85" s="4"/>
      <c r="F85" s="3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8"/>
      <c r="U85" s="9"/>
      <c r="V85" s="2"/>
      <c r="Y85" s="263"/>
      <c r="Z85" s="12"/>
    </row>
    <row r="86" s="10" customFormat="true" ht="14.1" hidden="false" customHeight="true" outlineLevel="0" collapsed="false">
      <c r="A86" s="2"/>
      <c r="B86" s="2"/>
      <c r="C86" s="3"/>
      <c r="D86" s="3"/>
      <c r="E86" s="4"/>
      <c r="F86" s="3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8"/>
      <c r="U86" s="9"/>
      <c r="V86" s="2"/>
      <c r="Y86" s="263"/>
      <c r="Z86" s="12"/>
    </row>
    <row r="87" s="10" customFormat="true" ht="14.1" hidden="false" customHeight="true" outlineLevel="0" collapsed="false">
      <c r="A87" s="2"/>
      <c r="B87" s="2"/>
      <c r="C87" s="3"/>
      <c r="D87" s="3"/>
      <c r="E87" s="4"/>
      <c r="F87" s="3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9"/>
      <c r="V87" s="2"/>
      <c r="Y87" s="263"/>
      <c r="Z87" s="12"/>
    </row>
    <row r="88" s="10" customFormat="true" ht="14.1" hidden="false" customHeight="true" outlineLevel="0" collapsed="false">
      <c r="A88" s="2"/>
      <c r="B88" s="2"/>
      <c r="C88" s="3"/>
      <c r="D88" s="3"/>
      <c r="E88" s="4"/>
      <c r="F88" s="3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8"/>
      <c r="U88" s="9"/>
      <c r="V88" s="2"/>
      <c r="Y88" s="263"/>
      <c r="Z88" s="12"/>
    </row>
    <row r="89" s="10" customFormat="true" ht="14.1" hidden="false" customHeight="true" outlineLevel="0" collapsed="false">
      <c r="A89" s="2"/>
      <c r="B89" s="2"/>
      <c r="C89" s="3"/>
      <c r="D89" s="3"/>
      <c r="E89" s="4"/>
      <c r="F89" s="3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/>
      <c r="U89" s="9"/>
      <c r="V89" s="2"/>
      <c r="Y89" s="263"/>
      <c r="Z89" s="12"/>
    </row>
    <row r="90" s="10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9"/>
      <c r="V90" s="2"/>
      <c r="Y90" s="263"/>
      <c r="Z90" s="12"/>
    </row>
    <row r="91" s="10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9"/>
      <c r="V91" s="2"/>
      <c r="Y91" s="263"/>
      <c r="Z91" s="12"/>
    </row>
    <row r="92" s="10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9"/>
      <c r="V92" s="2"/>
      <c r="Y92" s="263"/>
      <c r="Z92" s="12"/>
    </row>
    <row r="93" s="10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9"/>
      <c r="V93" s="2"/>
      <c r="Y93" s="263"/>
      <c r="Z93" s="12"/>
    </row>
    <row r="94" s="10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9"/>
      <c r="V94" s="2"/>
      <c r="Y94" s="263"/>
      <c r="Z94" s="12"/>
    </row>
    <row r="95" s="10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9"/>
      <c r="V95" s="2"/>
      <c r="Y95" s="263"/>
      <c r="Z95" s="12"/>
    </row>
    <row r="96" s="10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9"/>
      <c r="V96" s="2"/>
      <c r="Y96" s="263"/>
      <c r="Z96" s="12"/>
    </row>
    <row r="97" s="10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9"/>
      <c r="V97" s="2"/>
      <c r="Y97" s="263"/>
      <c r="Z97" s="12"/>
    </row>
    <row r="98" s="10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9"/>
      <c r="V98" s="2"/>
      <c r="Y98" s="263"/>
      <c r="Z98" s="12"/>
    </row>
    <row r="99" s="10" customFormat="true" ht="14.1" hidden="false" customHeight="true" outlineLevel="0" collapsed="false">
      <c r="A99" s="2"/>
      <c r="B99" s="2"/>
      <c r="C99" s="3"/>
      <c r="D99" s="3"/>
      <c r="E99" s="4"/>
      <c r="F99" s="3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/>
      <c r="U99" s="9"/>
      <c r="V99" s="2"/>
      <c r="Y99" s="263"/>
      <c r="Z99" s="12"/>
    </row>
    <row r="100" s="10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9"/>
      <c r="V100" s="2"/>
      <c r="Y100" s="263"/>
      <c r="Z100" s="12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"/>
      <c r="Y101" s="263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63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63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63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63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63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63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63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63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63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63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63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63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63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63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63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63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63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63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63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63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63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63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63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63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63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63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63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63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63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63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63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63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63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63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63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63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63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63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63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63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63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63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63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63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63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63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63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63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63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63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63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63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63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63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63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63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63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63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63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63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63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63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63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63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63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63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63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63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63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63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63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63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63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63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63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63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63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63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63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63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63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63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63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63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63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63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63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63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63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63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63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63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63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63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63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63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63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63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63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63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63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63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63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63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63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63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63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63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63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63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63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63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63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63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63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63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63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63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63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63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63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63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63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63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63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63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63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63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63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63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63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63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63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63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63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63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63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63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63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63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63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63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63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63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63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63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63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63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63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63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63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63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63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63"/>
      <c r="Z255" s="12"/>
    </row>
    <row r="256" s="10" customFormat="true" ht="14.1" hidden="false" customHeight="true" outlineLevel="0" collapsed="false">
      <c r="A256" s="2"/>
      <c r="B256" s="2"/>
      <c r="C256" s="264"/>
      <c r="D256" s="3"/>
      <c r="E256" s="4"/>
      <c r="F256" s="3"/>
      <c r="G256" s="5"/>
      <c r="H256" s="7"/>
      <c r="I256" s="7"/>
      <c r="J256" s="7"/>
      <c r="K256" s="268"/>
      <c r="L256" s="7"/>
      <c r="M256" s="7"/>
      <c r="N256" s="7"/>
      <c r="O256" s="7"/>
      <c r="P256" s="7"/>
      <c r="Q256" s="7"/>
      <c r="R256" s="7"/>
      <c r="S256" s="8"/>
      <c r="T256" s="8"/>
      <c r="V256" s="265"/>
      <c r="W256" s="266"/>
      <c r="X256" s="266"/>
      <c r="Y256" s="267"/>
      <c r="Z256" s="2"/>
    </row>
    <row r="257" s="261" customFormat="true" ht="26.25" hidden="false" customHeight="true" outlineLevel="0" collapsed="false">
      <c r="A257" s="269"/>
      <c r="B257" s="270"/>
      <c r="C257" s="270"/>
      <c r="D257" s="10"/>
      <c r="E257" s="10"/>
      <c r="F257" s="263"/>
      <c r="G257" s="10"/>
      <c r="H257" s="268"/>
      <c r="I257" s="268"/>
      <c r="J257" s="268"/>
      <c r="K257" s="7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140"/>
      <c r="W257" s="11"/>
      <c r="X257" s="11"/>
      <c r="Y257" s="3"/>
      <c r="Z257" s="2"/>
    </row>
    <row r="258" customFormat="false" ht="15" hidden="false" customHeight="true" outlineLevel="0" collapsed="false">
      <c r="V258" s="271"/>
      <c r="W258" s="2"/>
      <c r="X258" s="2"/>
    </row>
    <row r="266" s="2" customFormat="true" ht="9.75" hidden="false" customHeight="true" outlineLevel="0" collapsed="false">
      <c r="F266" s="3"/>
    </row>
    <row r="267" s="2" customFormat="true" ht="10.5" hidden="false" customHeight="true" outlineLevel="0" collapsed="false">
      <c r="F267" s="137"/>
    </row>
    <row r="268" s="2" customFormat="true" ht="9.75" hidden="false" customHeight="true" outlineLevel="0" collapsed="false">
      <c r="F268" s="3"/>
    </row>
    <row r="281" s="2" customFormat="true" ht="9.75" hidden="false" customHeight="true" outlineLevel="0" collapsed="false">
      <c r="J281" s="4"/>
    </row>
  </sheetData>
  <printOptions headings="false" gridLines="true" gridLinesSet="true" horizontalCentered="false" verticalCentered="false"/>
  <pageMargins left="0.2" right="0.209722222222222" top="0.170138888888889" bottom="0.170138888888889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7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40" activePane="bottomLeft" state="frozen"/>
      <selection pane="topLeft" activeCell="A1" activeCellId="0" sqref="A1"/>
      <selection pane="bottomLeft" activeCell="K63" activeCellId="1" sqref="29:29 K63"/>
    </sheetView>
  </sheetViews>
  <sheetFormatPr defaultColWidth="6.8671875" defaultRowHeight="14.2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36" width="9.14"/>
    <col collapsed="false" customWidth="true" hidden="false" outlineLevel="0" max="5" min="5" style="4" width="5.01"/>
    <col collapsed="false" customWidth="true" hidden="false" outlineLevel="0" max="6" min="6" style="137" width="10.29"/>
    <col collapsed="false" customWidth="true" hidden="false" outlineLevel="0" max="7" min="7" style="138" width="5.57"/>
    <col collapsed="false" customWidth="true" hidden="false" outlineLevel="0" max="8" min="8" style="7" width="6.71"/>
    <col collapsed="false" customWidth="true" hidden="false" outlineLevel="0" max="9" min="9" style="7" width="5.14"/>
    <col collapsed="false" customWidth="true" hidden="false" outlineLevel="0" max="10" min="10" style="7" width="5.57"/>
    <col collapsed="false" customWidth="true" hidden="false" outlineLevel="0" max="11" min="11" style="7" width="5.14"/>
    <col collapsed="false" customWidth="true" hidden="false" outlineLevel="0" max="12" min="12" style="7" width="4.86"/>
    <col collapsed="false" customWidth="true" hidden="false" outlineLevel="0" max="13" min="13" style="7" width="6.15"/>
    <col collapsed="false" customWidth="true" hidden="false" outlineLevel="0" max="14" min="14" style="7" width="5.43"/>
    <col collapsed="false" customWidth="true" hidden="false" outlineLevel="0" max="15" min="15" style="7" width="6.28"/>
    <col collapsed="false" customWidth="true" hidden="false" outlineLevel="0" max="16" min="16" style="7" width="6.71"/>
    <col collapsed="false" customWidth="true" hidden="false" outlineLevel="0" max="17" min="17" style="8" width="5.7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9" width="6.28"/>
    <col collapsed="false" customWidth="true" hidden="false" outlineLevel="0" max="21" min="21" style="140" width="9.14"/>
    <col collapsed="false" customWidth="true" hidden="false" outlineLevel="0" max="22" min="22" style="11" width="9"/>
    <col collapsed="false" customWidth="true" hidden="false" outlineLevel="0" max="23" min="23" style="10" width="6.71"/>
    <col collapsed="false" customWidth="true" hidden="false" outlineLevel="0" max="24" min="24" style="10" width="3.57"/>
    <col collapsed="false" customWidth="true" hidden="false" outlineLevel="0" max="25" min="25" style="3" width="7.57"/>
    <col collapsed="false" customWidth="true" hidden="false" outlineLevel="0" max="26" min="26" style="2" width="8.57"/>
    <col collapsed="false" customWidth="true" hidden="false" outlineLevel="0" max="27" min="27" style="2" width="7.42"/>
    <col collapsed="false" customWidth="false" hidden="false" outlineLevel="0" max="1024" min="28" style="2" width="6.86"/>
  </cols>
  <sheetData>
    <row r="1" customFormat="false" ht="18.75" hidden="false" customHeight="true" outlineLevel="0" collapsed="false">
      <c r="A1" s="141"/>
      <c r="B1" s="142" t="n">
        <v>45135</v>
      </c>
      <c r="C1" s="143"/>
      <c r="D1" s="144"/>
      <c r="E1" s="145" t="s">
        <v>218</v>
      </c>
      <c r="F1" s="146"/>
      <c r="G1" s="146"/>
      <c r="H1" s="147" t="s">
        <v>219</v>
      </c>
      <c r="I1" s="148"/>
      <c r="K1" s="149" t="s">
        <v>220</v>
      </c>
      <c r="L1" s="149"/>
      <c r="M1" s="150"/>
      <c r="N1" s="149"/>
      <c r="O1" s="151" t="s">
        <v>221</v>
      </c>
      <c r="P1" s="152"/>
      <c r="Q1" s="153"/>
      <c r="R1" s="154"/>
      <c r="S1" s="155"/>
      <c r="T1" s="156"/>
      <c r="U1" s="157"/>
      <c r="V1" s="158"/>
      <c r="W1" s="11"/>
      <c r="X1" s="11"/>
    </row>
    <row r="2" s="10" customFormat="true" ht="12.75" hidden="false" customHeight="true" outlineLevel="0" collapsed="false">
      <c r="A2" s="29" t="s">
        <v>222</v>
      </c>
      <c r="B2" s="159" t="s">
        <v>1</v>
      </c>
      <c r="C2" s="159"/>
      <c r="D2" s="160" t="s">
        <v>3</v>
      </c>
      <c r="E2" s="161" t="s">
        <v>223</v>
      </c>
      <c r="F2" s="162" t="s">
        <v>5</v>
      </c>
      <c r="G2" s="163" t="s">
        <v>224</v>
      </c>
      <c r="H2" s="164" t="s">
        <v>225</v>
      </c>
      <c r="I2" s="164" t="s">
        <v>226</v>
      </c>
      <c r="J2" s="164" t="s">
        <v>227</v>
      </c>
      <c r="K2" s="164" t="s">
        <v>228</v>
      </c>
      <c r="L2" s="129" t="s">
        <v>12</v>
      </c>
      <c r="M2" s="165" t="s">
        <v>229</v>
      </c>
      <c r="N2" s="129" t="s">
        <v>230</v>
      </c>
      <c r="O2" s="164" t="s">
        <v>231</v>
      </c>
      <c r="P2" s="164" t="s">
        <v>232</v>
      </c>
      <c r="Q2" s="129" t="s">
        <v>233</v>
      </c>
      <c r="R2" s="164" t="s">
        <v>234</v>
      </c>
      <c r="S2" s="164" t="s">
        <v>19</v>
      </c>
      <c r="T2" s="166" t="s">
        <v>20</v>
      </c>
      <c r="U2" s="159" t="s">
        <v>21</v>
      </c>
      <c r="V2" s="140"/>
      <c r="W2" s="167"/>
      <c r="X2" s="167"/>
      <c r="Y2" s="168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9"/>
      <c r="X3" s="169"/>
      <c r="Y3" s="170"/>
      <c r="Z3" s="171"/>
    </row>
    <row r="4" s="10" customFormat="true" ht="14.1" hidden="false" customHeight="true" outlineLevel="0" collapsed="false">
      <c r="A4" s="206" t="s">
        <v>26</v>
      </c>
      <c r="B4" s="173" t="s">
        <v>252</v>
      </c>
      <c r="C4" s="174"/>
      <c r="D4" s="175" t="n">
        <v>4243107</v>
      </c>
      <c r="E4" s="176" t="n">
        <v>45040</v>
      </c>
      <c r="F4" s="177" t="s">
        <v>54</v>
      </c>
      <c r="G4" s="178" t="n">
        <v>45041</v>
      </c>
      <c r="H4" s="179"/>
      <c r="I4" s="180"/>
      <c r="J4" s="180"/>
      <c r="K4" s="180"/>
      <c r="L4" s="180"/>
      <c r="M4" s="179"/>
      <c r="N4" s="180"/>
      <c r="O4" s="179"/>
      <c r="P4" s="181"/>
      <c r="Q4" s="182"/>
      <c r="R4" s="179" t="n">
        <v>317</v>
      </c>
      <c r="S4" s="182" t="n">
        <v>62.5</v>
      </c>
      <c r="T4" s="183" t="n">
        <v>26.15</v>
      </c>
      <c r="U4" s="184" t="n">
        <f aca="false">SUM(H4:T4)</f>
        <v>405.65</v>
      </c>
      <c r="V4" s="185" t="s">
        <v>55</v>
      </c>
      <c r="W4" s="186" t="s">
        <v>135</v>
      </c>
      <c r="X4" s="110" t="s">
        <v>42</v>
      </c>
      <c r="Y4" s="187"/>
      <c r="Z4" s="51"/>
    </row>
    <row r="5" s="10" customFormat="true" ht="14.1" hidden="false" customHeight="true" outlineLevel="0" collapsed="false">
      <c r="A5" s="237" t="s">
        <v>26</v>
      </c>
      <c r="B5" s="238" t="s">
        <v>277</v>
      </c>
      <c r="C5" s="239"/>
      <c r="D5" s="240" t="n">
        <v>6263101</v>
      </c>
      <c r="E5" s="241" t="n">
        <v>45103</v>
      </c>
      <c r="F5" s="242" t="s">
        <v>54</v>
      </c>
      <c r="G5" s="243" t="n">
        <v>45103</v>
      </c>
      <c r="H5" s="244"/>
      <c r="I5" s="245"/>
      <c r="J5" s="245"/>
      <c r="K5" s="245"/>
      <c r="L5" s="245"/>
      <c r="M5" s="244"/>
      <c r="N5" s="245"/>
      <c r="O5" s="244"/>
      <c r="P5" s="246"/>
      <c r="Q5" s="247"/>
      <c r="R5" s="244" t="n">
        <v>447</v>
      </c>
      <c r="S5" s="247" t="n">
        <v>87.5</v>
      </c>
      <c r="T5" s="248" t="n">
        <v>34.64</v>
      </c>
      <c r="U5" s="249" t="n">
        <f aca="false">SUM(H5:T5)</f>
        <v>569.14</v>
      </c>
      <c r="V5" s="250" t="s">
        <v>55</v>
      </c>
      <c r="W5" s="251" t="s">
        <v>26</v>
      </c>
      <c r="X5" s="110" t="s">
        <v>42</v>
      </c>
      <c r="Y5" s="253"/>
      <c r="Z5" s="254"/>
    </row>
    <row r="6" s="10" customFormat="true" ht="14.1" hidden="false" customHeight="true" outlineLevel="0" collapsed="false">
      <c r="A6" s="222" t="s">
        <v>26</v>
      </c>
      <c r="B6" s="223" t="s">
        <v>257</v>
      </c>
      <c r="C6" s="224"/>
      <c r="D6" s="225" t="n">
        <v>5023102</v>
      </c>
      <c r="E6" s="226" t="n">
        <v>45048</v>
      </c>
      <c r="F6" s="227" t="s">
        <v>54</v>
      </c>
      <c r="G6" s="228" t="n">
        <v>45050</v>
      </c>
      <c r="H6" s="229"/>
      <c r="I6" s="230"/>
      <c r="J6" s="230"/>
      <c r="K6" s="230"/>
      <c r="L6" s="230"/>
      <c r="M6" s="229"/>
      <c r="N6" s="230"/>
      <c r="O6" s="229"/>
      <c r="P6" s="231"/>
      <c r="Q6" s="232"/>
      <c r="R6" s="229" t="n">
        <v>2200</v>
      </c>
      <c r="S6" s="232" t="n">
        <v>180</v>
      </c>
      <c r="T6" s="233" t="n">
        <v>203.5</v>
      </c>
      <c r="U6" s="234" t="n">
        <f aca="false">SUM(H6:T6)</f>
        <v>2583.5</v>
      </c>
      <c r="V6" s="235" t="s">
        <v>30</v>
      </c>
      <c r="W6" s="236" t="s">
        <v>26</v>
      </c>
      <c r="X6" s="110" t="s">
        <v>42</v>
      </c>
      <c r="Y6" s="187"/>
      <c r="Z6" s="51"/>
    </row>
    <row r="7" s="205" customFormat="true" ht="14.1" hidden="false" customHeight="true" outlineLevel="0" collapsed="false">
      <c r="A7" s="222" t="s">
        <v>26</v>
      </c>
      <c r="B7" s="223" t="s">
        <v>265</v>
      </c>
      <c r="C7" s="224"/>
      <c r="D7" s="225" t="n">
        <v>5263107</v>
      </c>
      <c r="E7" s="226" t="n">
        <v>45072</v>
      </c>
      <c r="F7" s="227" t="s">
        <v>54</v>
      </c>
      <c r="G7" s="228" t="n">
        <v>45072</v>
      </c>
      <c r="H7" s="229"/>
      <c r="I7" s="230"/>
      <c r="J7" s="230"/>
      <c r="K7" s="230"/>
      <c r="L7" s="230"/>
      <c r="M7" s="229"/>
      <c r="N7" s="230"/>
      <c r="O7" s="229"/>
      <c r="P7" s="231"/>
      <c r="Q7" s="232"/>
      <c r="R7" s="229" t="n">
        <v>65</v>
      </c>
      <c r="S7" s="232" t="n">
        <v>12.5</v>
      </c>
      <c r="T7" s="233" t="n">
        <v>6.66</v>
      </c>
      <c r="U7" s="234" t="n">
        <f aca="false">SUM(H7:T7)</f>
        <v>84.16</v>
      </c>
      <c r="V7" s="235" t="s">
        <v>55</v>
      </c>
      <c r="W7" s="236" t="s">
        <v>26</v>
      </c>
      <c r="X7" s="110" t="s">
        <v>42</v>
      </c>
      <c r="Y7" s="187"/>
      <c r="Z7" s="51"/>
      <c r="AA7" s="10"/>
      <c r="AB7" s="10"/>
      <c r="AC7" s="10"/>
    </row>
    <row r="8" s="10" customFormat="true" ht="14.1" hidden="false" customHeight="true" outlineLevel="0" collapsed="false">
      <c r="A8" s="237" t="s">
        <v>26</v>
      </c>
      <c r="B8" s="238" t="s">
        <v>266</v>
      </c>
      <c r="C8" s="239"/>
      <c r="D8" s="240" t="n">
        <v>5303104</v>
      </c>
      <c r="E8" s="241" t="n">
        <v>45076</v>
      </c>
      <c r="F8" s="242" t="s">
        <v>54</v>
      </c>
      <c r="G8" s="243" t="n">
        <v>45076</v>
      </c>
      <c r="H8" s="244"/>
      <c r="I8" s="245"/>
      <c r="J8" s="245"/>
      <c r="K8" s="245"/>
      <c r="L8" s="245"/>
      <c r="M8" s="244"/>
      <c r="N8" s="245"/>
      <c r="O8" s="244"/>
      <c r="P8" s="246"/>
      <c r="Q8" s="247"/>
      <c r="R8" s="244" t="n">
        <v>29</v>
      </c>
      <c r="S8" s="247" t="n">
        <v>12.5</v>
      </c>
      <c r="T8" s="248" t="n">
        <v>2.5</v>
      </c>
      <c r="U8" s="249" t="n">
        <f aca="false">SUM(H8:T8)</f>
        <v>44</v>
      </c>
      <c r="V8" s="250" t="s">
        <v>55</v>
      </c>
      <c r="W8" s="251" t="s">
        <v>26</v>
      </c>
      <c r="X8" s="110" t="s">
        <v>42</v>
      </c>
      <c r="Y8" s="187"/>
      <c r="Z8" s="51"/>
    </row>
    <row r="9" s="10" customFormat="true" ht="14.1" hidden="false" customHeight="true" outlineLevel="0" collapsed="false">
      <c r="A9" s="237" t="s">
        <v>26</v>
      </c>
      <c r="B9" s="238" t="s">
        <v>214</v>
      </c>
      <c r="C9" s="239"/>
      <c r="D9" s="240" t="n">
        <v>6263104</v>
      </c>
      <c r="E9" s="241" t="n">
        <v>45103</v>
      </c>
      <c r="F9" s="242" t="s">
        <v>54</v>
      </c>
      <c r="G9" s="243" t="n">
        <v>45103</v>
      </c>
      <c r="H9" s="244"/>
      <c r="I9" s="245"/>
      <c r="J9" s="245"/>
      <c r="K9" s="245"/>
      <c r="L9" s="245"/>
      <c r="M9" s="244"/>
      <c r="N9" s="245"/>
      <c r="O9" s="244"/>
      <c r="P9" s="246"/>
      <c r="Q9" s="247"/>
      <c r="R9" s="244" t="n">
        <v>298</v>
      </c>
      <c r="S9" s="247" t="n">
        <v>62.5</v>
      </c>
      <c r="T9" s="248" t="n">
        <v>25.7</v>
      </c>
      <c r="U9" s="249" t="n">
        <f aca="false">SUM(H9:T9)</f>
        <v>386.2</v>
      </c>
      <c r="V9" s="250" t="s">
        <v>55</v>
      </c>
      <c r="W9" s="251" t="s">
        <v>45</v>
      </c>
      <c r="X9" s="110" t="s">
        <v>42</v>
      </c>
      <c r="Y9" s="253"/>
      <c r="Z9" s="254"/>
    </row>
    <row r="10" s="10" customFormat="true" ht="14.1" hidden="false" customHeight="true" outlineLevel="0" collapsed="false">
      <c r="A10" s="206" t="s">
        <v>26</v>
      </c>
      <c r="B10" s="288" t="s">
        <v>111</v>
      </c>
      <c r="C10" s="289"/>
      <c r="D10" s="175" t="n">
        <v>3133101</v>
      </c>
      <c r="E10" s="176" t="n">
        <v>44998</v>
      </c>
      <c r="F10" s="177" t="s">
        <v>54</v>
      </c>
      <c r="G10" s="290" t="n">
        <v>44998</v>
      </c>
      <c r="H10" s="179"/>
      <c r="I10" s="180"/>
      <c r="J10" s="180"/>
      <c r="K10" s="180"/>
      <c r="L10" s="180"/>
      <c r="M10" s="179"/>
      <c r="N10" s="180"/>
      <c r="O10" s="179"/>
      <c r="P10" s="291"/>
      <c r="Q10" s="182"/>
      <c r="R10" s="179" t="n">
        <v>298</v>
      </c>
      <c r="S10" s="182" t="n">
        <v>62.5</v>
      </c>
      <c r="T10" s="183" t="n">
        <v>24.59</v>
      </c>
      <c r="U10" s="184" t="n">
        <f aca="false">SUM(H10:T10)</f>
        <v>385.09</v>
      </c>
      <c r="V10" s="185" t="s">
        <v>55</v>
      </c>
      <c r="W10" s="292" t="s">
        <v>31</v>
      </c>
      <c r="X10" s="110" t="s">
        <v>42</v>
      </c>
      <c r="Y10" s="253"/>
      <c r="Z10" s="51"/>
    </row>
    <row r="11" s="10" customFormat="true" ht="14.1" hidden="false" customHeight="true" outlineLevel="0" collapsed="false">
      <c r="A11" s="206" t="s">
        <v>26</v>
      </c>
      <c r="B11" s="173" t="s">
        <v>111</v>
      </c>
      <c r="C11" s="174"/>
      <c r="D11" s="175" t="n">
        <v>4103101</v>
      </c>
      <c r="E11" s="176" t="n">
        <v>45026</v>
      </c>
      <c r="F11" s="177" t="s">
        <v>54</v>
      </c>
      <c r="G11" s="178" t="n">
        <v>45026</v>
      </c>
      <c r="H11" s="179"/>
      <c r="I11" s="180"/>
      <c r="J11" s="180"/>
      <c r="K11" s="180"/>
      <c r="L11" s="180"/>
      <c r="M11" s="179"/>
      <c r="N11" s="180"/>
      <c r="O11" s="179"/>
      <c r="P11" s="181"/>
      <c r="Q11" s="182"/>
      <c r="R11" s="179" t="n">
        <v>415</v>
      </c>
      <c r="S11" s="182" t="n">
        <v>62.5</v>
      </c>
      <c r="T11" s="183" t="n">
        <v>34.24</v>
      </c>
      <c r="U11" s="184" t="n">
        <f aca="false">SUM(H11:T11)</f>
        <v>511.74</v>
      </c>
      <c r="V11" s="185" t="s">
        <v>55</v>
      </c>
      <c r="W11" s="186" t="s">
        <v>135</v>
      </c>
      <c r="X11" s="110" t="s">
        <v>42</v>
      </c>
      <c r="Y11" s="187"/>
      <c r="Z11" s="51"/>
    </row>
    <row r="12" s="10" customFormat="true" ht="14.1" hidden="false" customHeight="true" outlineLevel="0" collapsed="false">
      <c r="A12" s="237" t="s">
        <v>26</v>
      </c>
      <c r="B12" s="238" t="s">
        <v>111</v>
      </c>
      <c r="C12" s="239"/>
      <c r="D12" s="240" t="n">
        <v>6063102</v>
      </c>
      <c r="E12" s="241" t="n">
        <v>45083</v>
      </c>
      <c r="F12" s="242" t="s">
        <v>54</v>
      </c>
      <c r="G12" s="243" t="n">
        <v>45083</v>
      </c>
      <c r="H12" s="244"/>
      <c r="I12" s="245"/>
      <c r="J12" s="245"/>
      <c r="K12" s="245"/>
      <c r="L12" s="245"/>
      <c r="M12" s="244"/>
      <c r="N12" s="245"/>
      <c r="O12" s="244"/>
      <c r="P12" s="246"/>
      <c r="Q12" s="247"/>
      <c r="R12" s="244" t="n">
        <v>415</v>
      </c>
      <c r="S12" s="247" t="n">
        <v>62.5</v>
      </c>
      <c r="T12" s="248" t="n">
        <v>34.24</v>
      </c>
      <c r="U12" s="249" t="n">
        <f aca="false">SUM(H12:T12)</f>
        <v>511.74</v>
      </c>
      <c r="V12" s="250" t="s">
        <v>55</v>
      </c>
      <c r="W12" s="251" t="s">
        <v>135</v>
      </c>
      <c r="X12" s="110" t="s">
        <v>42</v>
      </c>
      <c r="Y12" s="253"/>
      <c r="Z12" s="254"/>
    </row>
    <row r="13" s="10" customFormat="true" ht="14.1" hidden="false" customHeight="true" outlineLevel="0" collapsed="false">
      <c r="A13" s="172" t="s">
        <v>26</v>
      </c>
      <c r="B13" s="173" t="s">
        <v>239</v>
      </c>
      <c r="C13" s="174"/>
      <c r="D13" s="175" t="n">
        <v>2143103</v>
      </c>
      <c r="E13" s="176" t="n">
        <v>44971</v>
      </c>
      <c r="F13" s="177" t="s">
        <v>54</v>
      </c>
      <c r="G13" s="178" t="n">
        <v>44971</v>
      </c>
      <c r="H13" s="179"/>
      <c r="I13" s="180"/>
      <c r="J13" s="180"/>
      <c r="K13" s="180"/>
      <c r="L13" s="180"/>
      <c r="M13" s="179"/>
      <c r="N13" s="180"/>
      <c r="O13" s="179"/>
      <c r="P13" s="181"/>
      <c r="Q13" s="182"/>
      <c r="R13" s="179" t="n">
        <v>90</v>
      </c>
      <c r="S13" s="182" t="n">
        <v>10</v>
      </c>
      <c r="T13" s="183" t="n">
        <v>8.44</v>
      </c>
      <c r="U13" s="184" t="n">
        <f aca="false">SUM(H13:T13)</f>
        <v>108.44</v>
      </c>
      <c r="V13" s="185" t="s">
        <v>236</v>
      </c>
      <c r="W13" s="186" t="s">
        <v>26</v>
      </c>
      <c r="X13" s="110" t="s">
        <v>42</v>
      </c>
      <c r="Y13" s="187"/>
      <c r="Z13" s="51"/>
    </row>
    <row r="14" s="10" customFormat="true" ht="14.1" hidden="false" customHeight="true" outlineLevel="0" collapsed="false">
      <c r="A14" s="237" t="s">
        <v>26</v>
      </c>
      <c r="B14" s="238" t="s">
        <v>274</v>
      </c>
      <c r="C14" s="239"/>
      <c r="D14" s="240" t="n">
        <v>6203104</v>
      </c>
      <c r="E14" s="241" t="n">
        <v>45097</v>
      </c>
      <c r="F14" s="242" t="s">
        <v>54</v>
      </c>
      <c r="G14" s="243" t="n">
        <v>45097</v>
      </c>
      <c r="H14" s="244"/>
      <c r="I14" s="245"/>
      <c r="J14" s="245"/>
      <c r="K14" s="245"/>
      <c r="L14" s="245"/>
      <c r="M14" s="244"/>
      <c r="N14" s="245"/>
      <c r="O14" s="244"/>
      <c r="P14" s="246"/>
      <c r="Q14" s="247"/>
      <c r="R14" s="244" t="n">
        <v>130</v>
      </c>
      <c r="S14" s="247" t="n">
        <v>25</v>
      </c>
      <c r="T14" s="248" t="n">
        <v>11.21</v>
      </c>
      <c r="U14" s="249" t="n">
        <f aca="false">SUM(H14:T14)</f>
        <v>166.21</v>
      </c>
      <c r="V14" s="250" t="s">
        <v>55</v>
      </c>
      <c r="W14" s="251" t="s">
        <v>26</v>
      </c>
      <c r="X14" s="110" t="s">
        <v>42</v>
      </c>
      <c r="Y14" s="253"/>
      <c r="Z14" s="254"/>
    </row>
    <row r="15" s="10" customFormat="true" ht="14.1" hidden="false" customHeight="true" outlineLevel="0" collapsed="false">
      <c r="A15" s="272" t="s">
        <v>26</v>
      </c>
      <c r="B15" s="273" t="s">
        <v>246</v>
      </c>
      <c r="C15" s="274"/>
      <c r="D15" s="274" t="n">
        <v>3223103</v>
      </c>
      <c r="E15" s="275" t="n">
        <v>45007</v>
      </c>
      <c r="F15" s="276" t="s">
        <v>54</v>
      </c>
      <c r="G15" s="277" t="n">
        <v>45007</v>
      </c>
      <c r="H15" s="278"/>
      <c r="I15" s="278"/>
      <c r="J15" s="279"/>
      <c r="K15" s="279"/>
      <c r="L15" s="279"/>
      <c r="M15" s="278"/>
      <c r="N15" s="278"/>
      <c r="O15" s="278"/>
      <c r="P15" s="280"/>
      <c r="Q15" s="281"/>
      <c r="R15" s="278" t="n">
        <v>188</v>
      </c>
      <c r="S15" s="281" t="n">
        <v>50</v>
      </c>
      <c r="T15" s="282" t="n">
        <v>16.22</v>
      </c>
      <c r="U15" s="283" t="n">
        <f aca="false">SUM(H15:T15)</f>
        <v>254.22</v>
      </c>
      <c r="V15" s="284" t="s">
        <v>55</v>
      </c>
      <c r="W15" s="285" t="s">
        <v>135</v>
      </c>
      <c r="X15" s="29" t="s">
        <v>42</v>
      </c>
      <c r="Y15" s="286"/>
      <c r="Z15" s="51"/>
    </row>
    <row r="16" s="10" customFormat="true" ht="13.15" hidden="false" customHeight="true" outlineLevel="0" collapsed="false">
      <c r="A16" s="222" t="s">
        <v>26</v>
      </c>
      <c r="B16" s="223" t="s">
        <v>258</v>
      </c>
      <c r="C16" s="224"/>
      <c r="D16" s="225" t="n">
        <v>5043102</v>
      </c>
      <c r="E16" s="226" t="n">
        <v>45050</v>
      </c>
      <c r="F16" s="227" t="s">
        <v>54</v>
      </c>
      <c r="G16" s="228" t="n">
        <v>45050</v>
      </c>
      <c r="H16" s="229"/>
      <c r="I16" s="230"/>
      <c r="J16" s="230"/>
      <c r="K16" s="230"/>
      <c r="L16" s="230"/>
      <c r="M16" s="229"/>
      <c r="N16" s="230"/>
      <c r="O16" s="229"/>
      <c r="P16" s="231"/>
      <c r="Q16" s="232"/>
      <c r="R16" s="229" t="n">
        <v>39</v>
      </c>
      <c r="S16" s="232" t="n">
        <v>12.5</v>
      </c>
      <c r="T16" s="233" t="n">
        <v>3.36</v>
      </c>
      <c r="U16" s="234" t="n">
        <f aca="false">SUM(H16:T16)</f>
        <v>54.86</v>
      </c>
      <c r="V16" s="235" t="s">
        <v>30</v>
      </c>
      <c r="W16" s="236" t="s">
        <v>91</v>
      </c>
      <c r="X16" s="110" t="s">
        <v>42</v>
      </c>
      <c r="Y16" s="187"/>
      <c r="Z16" s="51"/>
    </row>
    <row r="17" s="10" customFormat="true" ht="13.15" hidden="false" customHeight="true" outlineLevel="0" collapsed="false">
      <c r="A17" s="206" t="s">
        <v>26</v>
      </c>
      <c r="B17" s="173" t="s">
        <v>242</v>
      </c>
      <c r="C17" s="174"/>
      <c r="D17" s="175" t="n">
        <v>3093104</v>
      </c>
      <c r="E17" s="176" t="n">
        <v>44994</v>
      </c>
      <c r="F17" s="177" t="s">
        <v>54</v>
      </c>
      <c r="G17" s="178" t="n">
        <v>44995</v>
      </c>
      <c r="H17" s="179"/>
      <c r="I17" s="180"/>
      <c r="J17" s="180"/>
      <c r="K17" s="180"/>
      <c r="L17" s="180"/>
      <c r="M17" s="179"/>
      <c r="N17" s="180"/>
      <c r="O17" s="179"/>
      <c r="P17" s="181"/>
      <c r="Q17" s="182"/>
      <c r="R17" s="179" t="n">
        <v>39</v>
      </c>
      <c r="S17" s="182" t="n">
        <v>12.5</v>
      </c>
      <c r="T17" s="183" t="n">
        <v>4</v>
      </c>
      <c r="U17" s="184" t="n">
        <f aca="false">SUM(H17:T17)</f>
        <v>55.5</v>
      </c>
      <c r="V17" s="185" t="s">
        <v>55</v>
      </c>
      <c r="W17" s="186" t="s">
        <v>135</v>
      </c>
      <c r="X17" s="110" t="s">
        <v>42</v>
      </c>
      <c r="Y17" s="187"/>
      <c r="Z17" s="51"/>
    </row>
    <row r="18" s="10" customFormat="true" ht="13.15" hidden="false" customHeight="true" outlineLevel="0" collapsed="false">
      <c r="A18" s="237" t="s">
        <v>26</v>
      </c>
      <c r="B18" s="238" t="s">
        <v>268</v>
      </c>
      <c r="C18" s="239"/>
      <c r="D18" s="240" t="n">
        <v>6063101</v>
      </c>
      <c r="E18" s="241" t="n">
        <v>45083</v>
      </c>
      <c r="F18" s="242" t="s">
        <v>269</v>
      </c>
      <c r="G18" s="243" t="n">
        <v>45083</v>
      </c>
      <c r="H18" s="244" t="n">
        <v>75</v>
      </c>
      <c r="I18" s="245"/>
      <c r="J18" s="245"/>
      <c r="K18" s="245"/>
      <c r="L18" s="245"/>
      <c r="M18" s="244"/>
      <c r="N18" s="245"/>
      <c r="O18" s="244"/>
      <c r="P18" s="246"/>
      <c r="Q18" s="247"/>
      <c r="R18" s="244"/>
      <c r="S18" s="247" t="n">
        <v>12.5</v>
      </c>
      <c r="T18" s="248" t="n">
        <v>6.47</v>
      </c>
      <c r="U18" s="249" t="n">
        <f aca="false">SUM(H18:T18)</f>
        <v>93.97</v>
      </c>
      <c r="V18" s="250" t="s">
        <v>55</v>
      </c>
      <c r="W18" s="251" t="s">
        <v>26</v>
      </c>
      <c r="X18" s="110" t="s">
        <v>42</v>
      </c>
      <c r="Y18" s="253"/>
      <c r="Z18" s="254"/>
    </row>
    <row r="19" s="10" customFormat="true" ht="13.15" hidden="false" customHeight="true" outlineLevel="0" collapsed="false">
      <c r="A19" s="206" t="s">
        <v>26</v>
      </c>
      <c r="B19" s="173" t="s">
        <v>247</v>
      </c>
      <c r="C19" s="174" t="s">
        <v>248</v>
      </c>
      <c r="D19" s="175" t="n">
        <v>4073101</v>
      </c>
      <c r="E19" s="176" t="n">
        <v>45023</v>
      </c>
      <c r="F19" s="177" t="s">
        <v>54</v>
      </c>
      <c r="G19" s="178" t="n">
        <v>45023</v>
      </c>
      <c r="H19" s="179"/>
      <c r="I19" s="180"/>
      <c r="J19" s="180"/>
      <c r="K19" s="180"/>
      <c r="L19" s="180"/>
      <c r="M19" s="179"/>
      <c r="N19" s="180"/>
      <c r="O19" s="179"/>
      <c r="P19" s="181"/>
      <c r="Q19" s="182"/>
      <c r="R19" s="179" t="n">
        <v>149</v>
      </c>
      <c r="S19" s="182" t="n">
        <v>37.5</v>
      </c>
      <c r="T19" s="183" t="n">
        <v>15.27</v>
      </c>
      <c r="U19" s="184" t="n">
        <f aca="false">SUM(H19:T19)</f>
        <v>201.77</v>
      </c>
      <c r="V19" s="185" t="s">
        <v>55</v>
      </c>
      <c r="W19" s="186" t="s">
        <v>135</v>
      </c>
      <c r="X19" s="110" t="s">
        <v>42</v>
      </c>
      <c r="Y19" s="187"/>
      <c r="Z19" s="51"/>
    </row>
    <row r="20" s="10" customFormat="true" ht="14.1" hidden="false" customHeight="true" outlineLevel="0" collapsed="false">
      <c r="A20" s="206" t="s">
        <v>26</v>
      </c>
      <c r="B20" s="288" t="s">
        <v>253</v>
      </c>
      <c r="C20" s="289"/>
      <c r="D20" s="175" t="n">
        <v>4253101</v>
      </c>
      <c r="E20" s="176" t="n">
        <v>45041</v>
      </c>
      <c r="F20" s="177" t="s">
        <v>54</v>
      </c>
      <c r="G20" s="290" t="n">
        <v>45043</v>
      </c>
      <c r="H20" s="179"/>
      <c r="I20" s="180"/>
      <c r="J20" s="180"/>
      <c r="K20" s="180"/>
      <c r="L20" s="180"/>
      <c r="M20" s="179"/>
      <c r="N20" s="180"/>
      <c r="O20" s="179"/>
      <c r="P20" s="291"/>
      <c r="Q20" s="182"/>
      <c r="R20" s="179" t="n">
        <v>55</v>
      </c>
      <c r="S20" s="182" t="n">
        <v>12.5</v>
      </c>
      <c r="T20" s="183" t="n">
        <v>4.68</v>
      </c>
      <c r="U20" s="184" t="n">
        <f aca="false">SUM(H20:T20)</f>
        <v>72.18</v>
      </c>
      <c r="V20" s="185" t="s">
        <v>55</v>
      </c>
      <c r="W20" s="292" t="s">
        <v>135</v>
      </c>
      <c r="X20" s="110" t="s">
        <v>42</v>
      </c>
      <c r="Y20" s="253"/>
      <c r="Z20" s="51"/>
    </row>
    <row r="21" s="10" customFormat="true" ht="14.1" hidden="false" customHeight="true" outlineLevel="0" collapsed="false">
      <c r="A21" s="222" t="s">
        <v>26</v>
      </c>
      <c r="B21" s="223" t="s">
        <v>87</v>
      </c>
      <c r="C21" s="224"/>
      <c r="D21" s="225" t="n">
        <v>5123065</v>
      </c>
      <c r="E21" s="226" t="n">
        <v>45058</v>
      </c>
      <c r="F21" s="227" t="s">
        <v>54</v>
      </c>
      <c r="G21" s="228" t="n">
        <v>45061</v>
      </c>
      <c r="H21" s="229"/>
      <c r="I21" s="230"/>
      <c r="J21" s="230"/>
      <c r="K21" s="230"/>
      <c r="L21" s="230"/>
      <c r="M21" s="229"/>
      <c r="N21" s="230"/>
      <c r="O21" s="229"/>
      <c r="P21" s="231"/>
      <c r="Q21" s="232"/>
      <c r="R21" s="229" t="n">
        <v>149</v>
      </c>
      <c r="S21" s="232" t="n">
        <v>37.5</v>
      </c>
      <c r="T21" s="233" t="n">
        <v>12.85</v>
      </c>
      <c r="U21" s="234" t="n">
        <f aca="false">SUM(H21:T21)</f>
        <v>199.35</v>
      </c>
      <c r="V21" s="235" t="s">
        <v>55</v>
      </c>
      <c r="W21" s="236" t="s">
        <v>135</v>
      </c>
      <c r="X21" s="110" t="s">
        <v>42</v>
      </c>
      <c r="Y21" s="187"/>
      <c r="Z21" s="51"/>
    </row>
    <row r="22" s="10" customFormat="true" ht="14.1" hidden="false" customHeight="true" outlineLevel="0" collapsed="false">
      <c r="A22" s="237" t="s">
        <v>26</v>
      </c>
      <c r="B22" s="238" t="s">
        <v>270</v>
      </c>
      <c r="C22" s="239"/>
      <c r="D22" s="240" t="n">
        <v>6083101</v>
      </c>
      <c r="E22" s="241" t="n">
        <v>45085</v>
      </c>
      <c r="F22" s="242" t="s">
        <v>54</v>
      </c>
      <c r="G22" s="243" t="n">
        <v>45085</v>
      </c>
      <c r="H22" s="244"/>
      <c r="I22" s="245"/>
      <c r="J22" s="245"/>
      <c r="K22" s="245"/>
      <c r="L22" s="245"/>
      <c r="M22" s="244"/>
      <c r="N22" s="245"/>
      <c r="O22" s="244"/>
      <c r="P22" s="246"/>
      <c r="Q22" s="247"/>
      <c r="R22" s="244" t="n">
        <v>650</v>
      </c>
      <c r="S22" s="247" t="n">
        <v>125</v>
      </c>
      <c r="T22" s="248" t="n">
        <v>60.13</v>
      </c>
      <c r="U22" s="249" t="n">
        <f aca="false">SUM(H22:T22)</f>
        <v>835.13</v>
      </c>
      <c r="V22" s="250" t="s">
        <v>55</v>
      </c>
      <c r="W22" s="251" t="s">
        <v>26</v>
      </c>
      <c r="X22" s="110" t="s">
        <v>42</v>
      </c>
      <c r="Y22" s="253"/>
      <c r="Z22" s="254"/>
    </row>
    <row r="23" s="10" customFormat="true" ht="14.1" hidden="false" customHeight="true" outlineLevel="0" collapsed="false">
      <c r="A23" s="100" t="s">
        <v>26</v>
      </c>
      <c r="B23" s="2" t="s">
        <v>279</v>
      </c>
      <c r="C23" s="3"/>
      <c r="D23" s="101" t="n">
        <v>6303105</v>
      </c>
      <c r="E23" s="102" t="n">
        <v>45107</v>
      </c>
      <c r="F23" s="103" t="s">
        <v>54</v>
      </c>
      <c r="G23" s="5" t="n">
        <v>45107</v>
      </c>
      <c r="H23" s="105"/>
      <c r="I23" s="106"/>
      <c r="J23" s="106"/>
      <c r="K23" s="106"/>
      <c r="L23" s="106"/>
      <c r="M23" s="105"/>
      <c r="N23" s="106"/>
      <c r="O23" s="105"/>
      <c r="P23" s="7"/>
      <c r="Q23" s="107"/>
      <c r="R23" s="105" t="n">
        <v>78</v>
      </c>
      <c r="S23" s="107" t="n">
        <v>25</v>
      </c>
      <c r="T23" s="108" t="n">
        <v>7.22</v>
      </c>
      <c r="U23" s="95" t="n">
        <f aca="false">SUM(H23:T23)</f>
        <v>110.22</v>
      </c>
      <c r="V23" s="109" t="s">
        <v>55</v>
      </c>
      <c r="W23" s="10" t="s">
        <v>45</v>
      </c>
      <c r="X23" s="110" t="s">
        <v>42</v>
      </c>
      <c r="Y23" s="253"/>
      <c r="Z23" s="254"/>
    </row>
    <row r="24" s="10" customFormat="true" ht="14.1" hidden="false" customHeight="true" outlineLevel="0" collapsed="false">
      <c r="A24" s="237" t="s">
        <v>26</v>
      </c>
      <c r="B24" s="238" t="s">
        <v>278</v>
      </c>
      <c r="C24" s="239"/>
      <c r="D24" s="240" t="n">
        <v>6263103</v>
      </c>
      <c r="E24" s="241" t="n">
        <v>45103</v>
      </c>
      <c r="F24" s="242" t="s">
        <v>54</v>
      </c>
      <c r="G24" s="243" t="n">
        <v>45103</v>
      </c>
      <c r="H24" s="244"/>
      <c r="I24" s="245"/>
      <c r="J24" s="245"/>
      <c r="K24" s="245"/>
      <c r="L24" s="245"/>
      <c r="M24" s="244"/>
      <c r="N24" s="245"/>
      <c r="O24" s="244"/>
      <c r="P24" s="246"/>
      <c r="Q24" s="247"/>
      <c r="R24" s="244" t="n">
        <v>204</v>
      </c>
      <c r="S24" s="247" t="n">
        <v>50</v>
      </c>
      <c r="T24" s="248" t="n">
        <v>18.36</v>
      </c>
      <c r="U24" s="249" t="n">
        <f aca="false">SUM(H24:T24)</f>
        <v>272.36</v>
      </c>
      <c r="V24" s="250" t="s">
        <v>55</v>
      </c>
      <c r="W24" s="251" t="s">
        <v>45</v>
      </c>
      <c r="X24" s="110" t="s">
        <v>42</v>
      </c>
      <c r="Y24" s="253"/>
      <c r="Z24" s="254"/>
    </row>
    <row r="25" s="10" customFormat="true" ht="14.1" hidden="false" customHeight="true" outlineLevel="0" collapsed="false">
      <c r="A25" s="293" t="s">
        <v>26</v>
      </c>
      <c r="B25" s="294" t="s">
        <v>267</v>
      </c>
      <c r="C25" s="295"/>
      <c r="D25" s="295" t="n">
        <v>6013103</v>
      </c>
      <c r="E25" s="296" t="n">
        <v>45078</v>
      </c>
      <c r="F25" s="297" t="s">
        <v>54</v>
      </c>
      <c r="G25" s="298" t="n">
        <v>45079</v>
      </c>
      <c r="H25" s="299"/>
      <c r="I25" s="299"/>
      <c r="J25" s="300"/>
      <c r="K25" s="300"/>
      <c r="L25" s="300"/>
      <c r="M25" s="299"/>
      <c r="N25" s="299"/>
      <c r="O25" s="299"/>
      <c r="P25" s="301"/>
      <c r="Q25" s="302"/>
      <c r="R25" s="299" t="n">
        <v>545</v>
      </c>
      <c r="S25" s="302" t="n">
        <v>112.5</v>
      </c>
      <c r="T25" s="303" t="n">
        <v>50.41</v>
      </c>
      <c r="U25" s="304" t="n">
        <f aca="false">SUM(H25:T25)</f>
        <v>707.91</v>
      </c>
      <c r="V25" s="305" t="s">
        <v>55</v>
      </c>
      <c r="W25" s="306" t="s">
        <v>135</v>
      </c>
      <c r="X25" s="29" t="s">
        <v>42</v>
      </c>
      <c r="Y25" s="287"/>
      <c r="Z25" s="254"/>
    </row>
    <row r="26" s="10" customFormat="true" ht="14.1" hidden="false" customHeight="true" outlineLevel="0" collapsed="false">
      <c r="A26" s="206" t="s">
        <v>26</v>
      </c>
      <c r="B26" s="173" t="s">
        <v>243</v>
      </c>
      <c r="C26" s="174" t="s">
        <v>244</v>
      </c>
      <c r="D26" s="175" t="n">
        <v>3213106</v>
      </c>
      <c r="E26" s="176" t="n">
        <v>45006</v>
      </c>
      <c r="F26" s="177" t="s">
        <v>54</v>
      </c>
      <c r="G26" s="178" t="n">
        <v>45006</v>
      </c>
      <c r="H26" s="179"/>
      <c r="I26" s="180"/>
      <c r="J26" s="180"/>
      <c r="K26" s="180"/>
      <c r="L26" s="180"/>
      <c r="M26" s="179"/>
      <c r="N26" s="180"/>
      <c r="O26" s="179"/>
      <c r="P26" s="181"/>
      <c r="Q26" s="182"/>
      <c r="R26" s="179" t="n">
        <v>45</v>
      </c>
      <c r="S26" s="182" t="n">
        <v>12.5</v>
      </c>
      <c r="T26" s="183" t="n">
        <v>3.94</v>
      </c>
      <c r="U26" s="184" t="n">
        <f aca="false">SUM(H26:T26)</f>
        <v>61.44</v>
      </c>
      <c r="V26" s="185" t="s">
        <v>55</v>
      </c>
      <c r="W26" s="186" t="s">
        <v>37</v>
      </c>
      <c r="X26" s="110" t="s">
        <v>42</v>
      </c>
      <c r="Y26" s="187"/>
      <c r="Z26" s="51"/>
    </row>
    <row r="27" s="10" customFormat="true" ht="14.1" hidden="false" customHeight="true" outlineLevel="0" collapsed="false">
      <c r="A27" s="206" t="s">
        <v>26</v>
      </c>
      <c r="B27" s="173" t="s">
        <v>243</v>
      </c>
      <c r="C27" s="174" t="s">
        <v>244</v>
      </c>
      <c r="D27" s="175" t="n">
        <v>3243105</v>
      </c>
      <c r="E27" s="176" t="n">
        <v>45009</v>
      </c>
      <c r="F27" s="177" t="s">
        <v>54</v>
      </c>
      <c r="G27" s="178" t="n">
        <v>45009</v>
      </c>
      <c r="H27" s="179"/>
      <c r="I27" s="180"/>
      <c r="J27" s="180"/>
      <c r="K27" s="180"/>
      <c r="L27" s="180"/>
      <c r="M27" s="179"/>
      <c r="N27" s="180"/>
      <c r="O27" s="179"/>
      <c r="P27" s="181"/>
      <c r="Q27" s="182"/>
      <c r="R27" s="179" t="n">
        <v>45</v>
      </c>
      <c r="S27" s="182" t="n">
        <v>12.5</v>
      </c>
      <c r="T27" s="183" t="n">
        <v>3.94</v>
      </c>
      <c r="U27" s="184" t="n">
        <f aca="false">SUM(H27:T27)</f>
        <v>61.44</v>
      </c>
      <c r="V27" s="185" t="s">
        <v>55</v>
      </c>
      <c r="W27" s="186" t="s">
        <v>135</v>
      </c>
      <c r="X27" s="110" t="s">
        <v>42</v>
      </c>
      <c r="Y27" s="187"/>
      <c r="Z27" s="51"/>
    </row>
    <row r="28" s="10" customFormat="true" ht="14.1" hidden="false" customHeight="true" outlineLevel="0" collapsed="false">
      <c r="A28" s="222" t="s">
        <v>26</v>
      </c>
      <c r="B28" s="223" t="s">
        <v>264</v>
      </c>
      <c r="C28" s="224"/>
      <c r="D28" s="225" t="n">
        <v>5263106</v>
      </c>
      <c r="E28" s="226" t="n">
        <v>45072</v>
      </c>
      <c r="F28" s="227" t="s">
        <v>54</v>
      </c>
      <c r="G28" s="228" t="n">
        <v>45072</v>
      </c>
      <c r="H28" s="229"/>
      <c r="I28" s="230"/>
      <c r="J28" s="230"/>
      <c r="K28" s="230"/>
      <c r="L28" s="230"/>
      <c r="M28" s="229"/>
      <c r="N28" s="230"/>
      <c r="O28" s="229"/>
      <c r="P28" s="231"/>
      <c r="Q28" s="232"/>
      <c r="R28" s="229" t="n">
        <v>214</v>
      </c>
      <c r="S28" s="232" t="n">
        <v>50</v>
      </c>
      <c r="T28" s="233" t="n">
        <v>20.33</v>
      </c>
      <c r="U28" s="234" t="n">
        <f aca="false">SUM(H28:T28)</f>
        <v>284.33</v>
      </c>
      <c r="V28" s="235" t="s">
        <v>55</v>
      </c>
      <c r="W28" s="236" t="s">
        <v>26</v>
      </c>
      <c r="X28" s="110" t="s">
        <v>42</v>
      </c>
      <c r="Y28" s="187"/>
      <c r="Z28" s="51"/>
    </row>
    <row r="29" s="10" customFormat="true" ht="14.1" hidden="false" customHeight="true" outlineLevel="0" collapsed="false">
      <c r="A29" s="222" t="s">
        <v>26</v>
      </c>
      <c r="B29" s="223" t="s">
        <v>201</v>
      </c>
      <c r="C29" s="224"/>
      <c r="D29" s="225" t="n">
        <v>5043101</v>
      </c>
      <c r="E29" s="226" t="n">
        <v>45050</v>
      </c>
      <c r="F29" s="227" t="s">
        <v>54</v>
      </c>
      <c r="G29" s="228" t="n">
        <v>45050</v>
      </c>
      <c r="H29" s="229"/>
      <c r="I29" s="230"/>
      <c r="J29" s="230"/>
      <c r="K29" s="230"/>
      <c r="L29" s="230"/>
      <c r="M29" s="229"/>
      <c r="N29" s="230"/>
      <c r="O29" s="229"/>
      <c r="P29" s="231"/>
      <c r="Q29" s="232"/>
      <c r="R29" s="229" t="n">
        <v>130</v>
      </c>
      <c r="S29" s="232" t="n">
        <v>25</v>
      </c>
      <c r="T29" s="233" t="n">
        <v>10.73</v>
      </c>
      <c r="U29" s="234" t="n">
        <f aca="false">SUM(H29:T29)</f>
        <v>165.73</v>
      </c>
      <c r="V29" s="235" t="s">
        <v>55</v>
      </c>
      <c r="W29" s="236" t="s">
        <v>135</v>
      </c>
      <c r="X29" s="110" t="s">
        <v>42</v>
      </c>
      <c r="Y29" s="187"/>
      <c r="Z29" s="51"/>
    </row>
    <row r="30" s="10" customFormat="true" ht="14.1" hidden="false" customHeight="true" outlineLevel="0" collapsed="false">
      <c r="A30" s="237" t="s">
        <v>26</v>
      </c>
      <c r="B30" s="238" t="s">
        <v>276</v>
      </c>
      <c r="C30" s="239"/>
      <c r="D30" s="240" t="n">
        <v>6233103</v>
      </c>
      <c r="E30" s="241" t="n">
        <v>45100</v>
      </c>
      <c r="F30" s="242" t="s">
        <v>54</v>
      </c>
      <c r="G30" s="243" t="n">
        <v>45100</v>
      </c>
      <c r="H30" s="244"/>
      <c r="I30" s="245"/>
      <c r="J30" s="245"/>
      <c r="K30" s="245"/>
      <c r="L30" s="245"/>
      <c r="M30" s="244"/>
      <c r="N30" s="245"/>
      <c r="O30" s="244"/>
      <c r="P30" s="246"/>
      <c r="Q30" s="247"/>
      <c r="R30" s="244" t="n">
        <v>110</v>
      </c>
      <c r="S30" s="247" t="n">
        <v>25</v>
      </c>
      <c r="T30" s="248" t="n">
        <v>9.35</v>
      </c>
      <c r="U30" s="249" t="n">
        <f aca="false">SUM(H30:T30)</f>
        <v>144.35</v>
      </c>
      <c r="V30" s="250" t="s">
        <v>55</v>
      </c>
      <c r="W30" s="251" t="s">
        <v>26</v>
      </c>
      <c r="X30" s="110" t="s">
        <v>42</v>
      </c>
      <c r="Y30" s="253"/>
      <c r="Z30" s="254"/>
    </row>
    <row r="31" s="10" customFormat="true" ht="14.1" hidden="false" customHeight="true" outlineLevel="0" collapsed="false">
      <c r="A31" s="237" t="s">
        <v>26</v>
      </c>
      <c r="B31" s="238" t="s">
        <v>275</v>
      </c>
      <c r="C31" s="239" t="s">
        <v>273</v>
      </c>
      <c r="D31" s="240" t="n">
        <v>6223102</v>
      </c>
      <c r="E31" s="241" t="n">
        <v>45099</v>
      </c>
      <c r="F31" s="242" t="s">
        <v>54</v>
      </c>
      <c r="G31" s="243" t="n">
        <v>45099</v>
      </c>
      <c r="H31" s="244"/>
      <c r="I31" s="245"/>
      <c r="J31" s="245"/>
      <c r="K31" s="245"/>
      <c r="L31" s="245"/>
      <c r="M31" s="244"/>
      <c r="N31" s="245"/>
      <c r="O31" s="244"/>
      <c r="P31" s="246"/>
      <c r="Q31" s="247"/>
      <c r="R31" s="244" t="n">
        <v>65</v>
      </c>
      <c r="S31" s="247" t="n">
        <v>12.5</v>
      </c>
      <c r="T31" s="248" t="n">
        <v>6.01</v>
      </c>
      <c r="U31" s="249" t="n">
        <f aca="false">SUM(H31:T31)</f>
        <v>83.51</v>
      </c>
      <c r="V31" s="250" t="s">
        <v>55</v>
      </c>
      <c r="W31" s="251" t="s">
        <v>45</v>
      </c>
      <c r="X31" s="110" t="s">
        <v>42</v>
      </c>
      <c r="Y31" s="253"/>
      <c r="Z31" s="254"/>
    </row>
    <row r="32" s="10" customFormat="true" ht="14.1" hidden="false" customHeight="true" outlineLevel="0" collapsed="false">
      <c r="A32" s="237" t="s">
        <v>26</v>
      </c>
      <c r="B32" s="238" t="s">
        <v>100</v>
      </c>
      <c r="C32" s="239"/>
      <c r="D32" s="240" t="n">
        <v>6203104</v>
      </c>
      <c r="E32" s="241" t="n">
        <v>45097</v>
      </c>
      <c r="F32" s="242" t="s">
        <v>54</v>
      </c>
      <c r="G32" s="243" t="n">
        <v>45097</v>
      </c>
      <c r="H32" s="244"/>
      <c r="I32" s="245"/>
      <c r="J32" s="245"/>
      <c r="K32" s="245"/>
      <c r="L32" s="245"/>
      <c r="M32" s="244"/>
      <c r="N32" s="245"/>
      <c r="O32" s="244"/>
      <c r="P32" s="246"/>
      <c r="Q32" s="247"/>
      <c r="R32" s="244" t="n">
        <v>175</v>
      </c>
      <c r="S32" s="247" t="n">
        <v>62.5</v>
      </c>
      <c r="T32" s="248" t="n">
        <v>16.19</v>
      </c>
      <c r="U32" s="249" t="n">
        <f aca="false">SUM(H32:T32)</f>
        <v>253.69</v>
      </c>
      <c r="V32" s="250" t="s">
        <v>55</v>
      </c>
      <c r="W32" s="251" t="s">
        <v>26</v>
      </c>
      <c r="X32" s="110" t="s">
        <v>42</v>
      </c>
      <c r="Y32" s="253"/>
      <c r="Z32" s="254"/>
    </row>
    <row r="33" s="10" customFormat="true" ht="14.1" hidden="false" customHeight="true" outlineLevel="0" collapsed="false">
      <c r="A33" s="206" t="s">
        <v>26</v>
      </c>
      <c r="B33" s="288" t="s">
        <v>254</v>
      </c>
      <c r="C33" s="289"/>
      <c r="D33" s="175" t="n">
        <v>4263104</v>
      </c>
      <c r="E33" s="176" t="n">
        <v>45042</v>
      </c>
      <c r="F33" s="177" t="s">
        <v>54</v>
      </c>
      <c r="G33" s="290" t="n">
        <v>45043</v>
      </c>
      <c r="H33" s="179"/>
      <c r="I33" s="180"/>
      <c r="J33" s="180"/>
      <c r="K33" s="180"/>
      <c r="L33" s="180"/>
      <c r="M33" s="179"/>
      <c r="N33" s="180"/>
      <c r="O33" s="179"/>
      <c r="P33" s="291"/>
      <c r="Q33" s="182"/>
      <c r="R33" s="179" t="n">
        <v>65</v>
      </c>
      <c r="S33" s="182" t="n">
        <v>12.5</v>
      </c>
      <c r="T33" s="183" t="n">
        <v>5.61</v>
      </c>
      <c r="U33" s="184" t="n">
        <f aca="false">SUM(H33:T33)</f>
        <v>83.11</v>
      </c>
      <c r="V33" s="185" t="s">
        <v>55</v>
      </c>
      <c r="W33" s="292" t="s">
        <v>135</v>
      </c>
      <c r="X33" s="110" t="s">
        <v>42</v>
      </c>
      <c r="Y33" s="253"/>
      <c r="Z33" s="51"/>
    </row>
    <row r="34" s="10" customFormat="true" ht="14.1" hidden="false" customHeight="true" outlineLevel="0" collapsed="false">
      <c r="A34" s="100" t="s">
        <v>26</v>
      </c>
      <c r="B34" s="2" t="s">
        <v>280</v>
      </c>
      <c r="C34" s="3"/>
      <c r="D34" s="101" t="n">
        <v>6303063</v>
      </c>
      <c r="E34" s="102" t="n">
        <v>45107</v>
      </c>
      <c r="F34" s="103" t="s">
        <v>54</v>
      </c>
      <c r="G34" s="5" t="n">
        <v>45107</v>
      </c>
      <c r="H34" s="105"/>
      <c r="I34" s="106"/>
      <c r="J34" s="106"/>
      <c r="K34" s="106"/>
      <c r="L34" s="106"/>
      <c r="M34" s="105"/>
      <c r="N34" s="106"/>
      <c r="O34" s="105"/>
      <c r="P34" s="7"/>
      <c r="Q34" s="107"/>
      <c r="R34" s="105" t="n">
        <v>39</v>
      </c>
      <c r="S34" s="107"/>
      <c r="T34" s="108" t="n">
        <v>3.61</v>
      </c>
      <c r="U34" s="95" t="n">
        <f aca="false">SUM(H34:T34)</f>
        <v>42.61</v>
      </c>
      <c r="V34" s="109" t="s">
        <v>30</v>
      </c>
      <c r="W34" s="10" t="s">
        <v>43</v>
      </c>
      <c r="X34" s="110" t="s">
        <v>42</v>
      </c>
      <c r="Y34" s="253"/>
      <c r="Z34" s="254"/>
    </row>
    <row r="35" s="10" customFormat="true" ht="14.1" hidden="false" customHeight="true" outlineLevel="0" collapsed="false">
      <c r="A35" s="206" t="s">
        <v>26</v>
      </c>
      <c r="B35" s="173" t="s">
        <v>206</v>
      </c>
      <c r="C35" s="174" t="s">
        <v>216</v>
      </c>
      <c r="D35" s="175" t="n">
        <v>4253102</v>
      </c>
      <c r="E35" s="176" t="n">
        <v>45041</v>
      </c>
      <c r="F35" s="177" t="s">
        <v>54</v>
      </c>
      <c r="G35" s="178" t="n">
        <v>45041</v>
      </c>
      <c r="H35" s="179"/>
      <c r="I35" s="180"/>
      <c r="J35" s="180"/>
      <c r="K35" s="180"/>
      <c r="L35" s="180"/>
      <c r="M35" s="179"/>
      <c r="N35" s="180"/>
      <c r="O35" s="179"/>
      <c r="P35" s="181"/>
      <c r="Q35" s="182"/>
      <c r="R35" s="179" t="n">
        <v>90</v>
      </c>
      <c r="S35" s="182" t="n">
        <v>50</v>
      </c>
      <c r="T35" s="183"/>
      <c r="U35" s="184" t="n">
        <f aca="false">SUM(H35:T35)</f>
        <v>140</v>
      </c>
      <c r="V35" s="185" t="s">
        <v>55</v>
      </c>
      <c r="W35" s="186" t="s">
        <v>135</v>
      </c>
      <c r="X35" s="110" t="s">
        <v>32</v>
      </c>
      <c r="Y35" s="187" t="n">
        <v>70</v>
      </c>
      <c r="Z35" s="51"/>
    </row>
    <row r="36" s="10" customFormat="true" ht="14.1" hidden="false" customHeight="true" outlineLevel="0" collapsed="false">
      <c r="A36" s="222" t="s">
        <v>26</v>
      </c>
      <c r="B36" s="223" t="s">
        <v>263</v>
      </c>
      <c r="C36" s="224"/>
      <c r="D36" s="225" t="n">
        <v>5223106</v>
      </c>
      <c r="E36" s="226" t="n">
        <v>45068</v>
      </c>
      <c r="F36" s="227" t="s">
        <v>54</v>
      </c>
      <c r="G36" s="228" t="n">
        <v>45068</v>
      </c>
      <c r="H36" s="229"/>
      <c r="I36" s="230"/>
      <c r="J36" s="230"/>
      <c r="K36" s="230"/>
      <c r="L36" s="230"/>
      <c r="M36" s="229"/>
      <c r="N36" s="230"/>
      <c r="O36" s="229"/>
      <c r="P36" s="231"/>
      <c r="Q36" s="232"/>
      <c r="R36" s="229" t="n">
        <v>78</v>
      </c>
      <c r="S36" s="232" t="n">
        <v>25</v>
      </c>
      <c r="T36" s="233" t="n">
        <v>6.44</v>
      </c>
      <c r="U36" s="234" t="n">
        <f aca="false">SUM(H36:T36)</f>
        <v>109.44</v>
      </c>
      <c r="V36" s="235" t="s">
        <v>55</v>
      </c>
      <c r="W36" s="236" t="s">
        <v>135</v>
      </c>
      <c r="X36" s="110" t="s">
        <v>42</v>
      </c>
      <c r="Y36" s="187"/>
      <c r="Z36" s="51"/>
    </row>
    <row r="37" s="10" customFormat="true" ht="14.1" hidden="false" customHeight="true" outlineLevel="0" collapsed="false">
      <c r="A37" s="222" t="s">
        <v>26</v>
      </c>
      <c r="B37" s="223" t="s">
        <v>260</v>
      </c>
      <c r="C37" s="224"/>
      <c r="D37" s="225" t="n">
        <v>5153105</v>
      </c>
      <c r="E37" s="226" t="n">
        <v>45061</v>
      </c>
      <c r="F37" s="227" t="s">
        <v>54</v>
      </c>
      <c r="G37" s="228" t="n">
        <v>45061</v>
      </c>
      <c r="H37" s="229"/>
      <c r="I37" s="230"/>
      <c r="J37" s="230"/>
      <c r="K37" s="230"/>
      <c r="L37" s="230"/>
      <c r="M37" s="229"/>
      <c r="N37" s="230"/>
      <c r="O37" s="229"/>
      <c r="P37" s="231"/>
      <c r="Q37" s="232"/>
      <c r="R37" s="229" t="n">
        <v>168</v>
      </c>
      <c r="S37" s="232" t="n">
        <v>37.5</v>
      </c>
      <c r="T37" s="233" t="n">
        <v>17.22</v>
      </c>
      <c r="U37" s="234" t="n">
        <f aca="false">SUM(H37:T37)</f>
        <v>222.72</v>
      </c>
      <c r="V37" s="235" t="s">
        <v>55</v>
      </c>
      <c r="W37" s="236" t="s">
        <v>135</v>
      </c>
      <c r="X37" s="110" t="s">
        <v>42</v>
      </c>
      <c r="Y37" s="187"/>
      <c r="Z37" s="51"/>
    </row>
    <row r="38" s="10" customFormat="true" ht="14.1" hidden="false" customHeight="true" outlineLevel="0" collapsed="false">
      <c r="A38" s="272" t="s">
        <v>26</v>
      </c>
      <c r="B38" s="273" t="s">
        <v>241</v>
      </c>
      <c r="C38" s="274"/>
      <c r="D38" s="274" t="n">
        <v>3023108</v>
      </c>
      <c r="E38" s="275" t="n">
        <v>44987</v>
      </c>
      <c r="F38" s="276" t="s">
        <v>54</v>
      </c>
      <c r="G38" s="277" t="n">
        <v>44987</v>
      </c>
      <c r="H38" s="278"/>
      <c r="I38" s="278"/>
      <c r="J38" s="279"/>
      <c r="K38" s="279"/>
      <c r="L38" s="279"/>
      <c r="M38" s="278"/>
      <c r="N38" s="278"/>
      <c r="O38" s="278"/>
      <c r="P38" s="280"/>
      <c r="Q38" s="281"/>
      <c r="R38" s="278" t="n">
        <v>213</v>
      </c>
      <c r="S38" s="281" t="n">
        <v>50</v>
      </c>
      <c r="T38" s="282" t="n">
        <v>21.83</v>
      </c>
      <c r="U38" s="283" t="n">
        <f aca="false">SUM(H38:T38)</f>
        <v>284.83</v>
      </c>
      <c r="V38" s="284" t="s">
        <v>236</v>
      </c>
      <c r="W38" s="285" t="s">
        <v>135</v>
      </c>
      <c r="X38" s="29" t="s">
        <v>42</v>
      </c>
      <c r="Y38" s="287"/>
      <c r="Z38" s="51"/>
    </row>
    <row r="39" s="10" customFormat="true" ht="14.1" hidden="false" customHeight="true" outlineLevel="0" collapsed="false">
      <c r="A39" s="188" t="s">
        <v>26</v>
      </c>
      <c r="B39" s="189" t="s">
        <v>240</v>
      </c>
      <c r="C39" s="190"/>
      <c r="D39" s="191" t="n">
        <v>2273108</v>
      </c>
      <c r="E39" s="192" t="n">
        <v>44984</v>
      </c>
      <c r="F39" s="193" t="s">
        <v>54</v>
      </c>
      <c r="G39" s="178" t="n">
        <v>44985</v>
      </c>
      <c r="H39" s="194"/>
      <c r="I39" s="195"/>
      <c r="J39" s="195"/>
      <c r="K39" s="195"/>
      <c r="L39" s="195"/>
      <c r="M39" s="194"/>
      <c r="N39" s="195"/>
      <c r="O39" s="194"/>
      <c r="P39" s="196"/>
      <c r="Q39" s="197"/>
      <c r="R39" s="194" t="n">
        <v>120</v>
      </c>
      <c r="S39" s="197" t="n">
        <v>25</v>
      </c>
      <c r="T39" s="198" t="n">
        <v>10.2</v>
      </c>
      <c r="U39" s="199" t="n">
        <f aca="false">SUM(H39:T39)</f>
        <v>155.2</v>
      </c>
      <c r="V39" s="200" t="s">
        <v>236</v>
      </c>
      <c r="W39" s="201" t="s">
        <v>135</v>
      </c>
      <c r="X39" s="202" t="s">
        <v>42</v>
      </c>
      <c r="Y39" s="203"/>
      <c r="Z39" s="204"/>
      <c r="AA39" s="205"/>
      <c r="AB39" s="205"/>
      <c r="AC39" s="205"/>
    </row>
    <row r="40" s="10" customFormat="true" ht="14.1" hidden="false" customHeight="true" outlineLevel="0" collapsed="false">
      <c r="A40" s="222" t="s">
        <v>26</v>
      </c>
      <c r="B40" s="223" t="s">
        <v>136</v>
      </c>
      <c r="C40" s="224" t="s">
        <v>259</v>
      </c>
      <c r="D40" s="225" t="n">
        <v>5123101</v>
      </c>
      <c r="E40" s="226" t="n">
        <v>45058</v>
      </c>
      <c r="F40" s="227" t="s">
        <v>54</v>
      </c>
      <c r="G40" s="228" t="n">
        <v>45058</v>
      </c>
      <c r="H40" s="229"/>
      <c r="I40" s="230"/>
      <c r="J40" s="230"/>
      <c r="K40" s="230"/>
      <c r="L40" s="230"/>
      <c r="M40" s="229"/>
      <c r="N40" s="230"/>
      <c r="O40" s="229"/>
      <c r="P40" s="231"/>
      <c r="Q40" s="232"/>
      <c r="R40" s="229" t="n">
        <v>45</v>
      </c>
      <c r="S40" s="232" t="n">
        <v>12.5</v>
      </c>
      <c r="T40" s="233" t="n">
        <v>3.49</v>
      </c>
      <c r="U40" s="234" t="n">
        <f aca="false">SUM(H40:T40)</f>
        <v>60.99</v>
      </c>
      <c r="V40" s="235" t="s">
        <v>55</v>
      </c>
      <c r="W40" s="236" t="s">
        <v>135</v>
      </c>
      <c r="X40" s="110" t="s">
        <v>42</v>
      </c>
      <c r="Y40" s="187"/>
      <c r="Z40" s="51"/>
    </row>
    <row r="41" s="10" customFormat="true" ht="14.1" hidden="false" customHeight="true" outlineLevel="0" collapsed="false">
      <c r="A41" s="206" t="s">
        <v>26</v>
      </c>
      <c r="B41" s="173" t="s">
        <v>245</v>
      </c>
      <c r="C41" s="174"/>
      <c r="D41" s="175" t="n">
        <v>3223101</v>
      </c>
      <c r="E41" s="176" t="n">
        <v>45007</v>
      </c>
      <c r="F41" s="177" t="s">
        <v>54</v>
      </c>
      <c r="G41" s="178" t="n">
        <v>45007</v>
      </c>
      <c r="H41" s="179"/>
      <c r="I41" s="180"/>
      <c r="J41" s="180"/>
      <c r="K41" s="180"/>
      <c r="L41" s="180"/>
      <c r="M41" s="179"/>
      <c r="N41" s="180"/>
      <c r="O41" s="179"/>
      <c r="P41" s="181"/>
      <c r="Q41" s="182"/>
      <c r="R41" s="179" t="n">
        <v>247</v>
      </c>
      <c r="S41" s="182" t="n">
        <v>62.5</v>
      </c>
      <c r="T41" s="183" t="n">
        <v>21</v>
      </c>
      <c r="U41" s="184" t="n">
        <f aca="false">SUM(H41:T41)</f>
        <v>330.5</v>
      </c>
      <c r="V41" s="185" t="s">
        <v>55</v>
      </c>
      <c r="W41" s="186" t="s">
        <v>135</v>
      </c>
      <c r="X41" s="110" t="s">
        <v>42</v>
      </c>
      <c r="Y41" s="187"/>
      <c r="Z41" s="51"/>
    </row>
    <row r="42" s="10" customFormat="true" ht="14.1" hidden="false" customHeight="true" outlineLevel="0" collapsed="false">
      <c r="A42" s="172" t="s">
        <v>26</v>
      </c>
      <c r="B42" s="173" t="s">
        <v>235</v>
      </c>
      <c r="C42" s="174"/>
      <c r="D42" s="175" t="n">
        <v>12222102</v>
      </c>
      <c r="E42" s="176" t="n">
        <v>44917</v>
      </c>
      <c r="F42" s="177" t="s">
        <v>54</v>
      </c>
      <c r="G42" s="178" t="n">
        <v>44917</v>
      </c>
      <c r="H42" s="179"/>
      <c r="I42" s="180"/>
      <c r="J42" s="180"/>
      <c r="K42" s="180"/>
      <c r="L42" s="180"/>
      <c r="M42" s="179"/>
      <c r="N42" s="180"/>
      <c r="O42" s="179"/>
      <c r="P42" s="181"/>
      <c r="Q42" s="182"/>
      <c r="R42" s="179" t="n">
        <v>323</v>
      </c>
      <c r="S42" s="182" t="n">
        <v>70</v>
      </c>
      <c r="T42" s="183" t="n">
        <v>30.28</v>
      </c>
      <c r="U42" s="184" t="n">
        <f aca="false">SUM(H42:T42)</f>
        <v>423.28</v>
      </c>
      <c r="V42" s="185" t="s">
        <v>236</v>
      </c>
      <c r="W42" s="186" t="s">
        <v>135</v>
      </c>
      <c r="X42" s="110" t="s">
        <v>42</v>
      </c>
      <c r="Y42" s="187"/>
      <c r="Z42" s="51"/>
    </row>
    <row r="43" s="10" customFormat="true" ht="14.1" hidden="false" customHeight="true" outlineLevel="0" collapsed="false">
      <c r="A43" s="206" t="s">
        <v>26</v>
      </c>
      <c r="B43" s="173" t="s">
        <v>249</v>
      </c>
      <c r="C43" s="174"/>
      <c r="D43" s="175" t="n">
        <v>4113106</v>
      </c>
      <c r="E43" s="176" t="n">
        <v>45027</v>
      </c>
      <c r="F43" s="177" t="s">
        <v>54</v>
      </c>
      <c r="G43" s="178" t="n">
        <v>45027</v>
      </c>
      <c r="H43" s="179"/>
      <c r="I43" s="180"/>
      <c r="J43" s="180"/>
      <c r="K43" s="180"/>
      <c r="L43" s="180"/>
      <c r="M43" s="179"/>
      <c r="N43" s="180"/>
      <c r="O43" s="179"/>
      <c r="P43" s="181"/>
      <c r="Q43" s="182"/>
      <c r="R43" s="179" t="n">
        <v>65</v>
      </c>
      <c r="S43" s="182" t="n">
        <v>12.5</v>
      </c>
      <c r="T43" s="183" t="n">
        <v>6.09</v>
      </c>
      <c r="U43" s="184" t="n">
        <f aca="false">SUM(H43:T43)</f>
        <v>83.59</v>
      </c>
      <c r="V43" s="185" t="s">
        <v>55</v>
      </c>
      <c r="W43" s="186" t="s">
        <v>26</v>
      </c>
      <c r="X43" s="110" t="s">
        <v>42</v>
      </c>
      <c r="Y43" s="187"/>
      <c r="Z43" s="51"/>
    </row>
    <row r="44" s="10" customFormat="true" ht="14.1" hidden="false" customHeight="true" outlineLevel="0" collapsed="false">
      <c r="A44" s="206" t="s">
        <v>26</v>
      </c>
      <c r="B44" s="173" t="s">
        <v>251</v>
      </c>
      <c r="C44" s="174"/>
      <c r="D44" s="175" t="n">
        <v>4173104</v>
      </c>
      <c r="E44" s="176" t="n">
        <v>45033</v>
      </c>
      <c r="F44" s="177" t="s">
        <v>54</v>
      </c>
      <c r="G44" s="178" t="n">
        <v>45033</v>
      </c>
      <c r="H44" s="179"/>
      <c r="I44" s="180"/>
      <c r="J44" s="180"/>
      <c r="K44" s="180"/>
      <c r="L44" s="180"/>
      <c r="M44" s="179"/>
      <c r="N44" s="180"/>
      <c r="O44" s="179"/>
      <c r="P44" s="181"/>
      <c r="Q44" s="182"/>
      <c r="R44" s="179" t="n">
        <v>435</v>
      </c>
      <c r="S44" s="182" t="n">
        <v>87.5</v>
      </c>
      <c r="T44" s="183" t="n">
        <v>33.71</v>
      </c>
      <c r="U44" s="184" t="n">
        <f aca="false">SUM(H44:T44)</f>
        <v>556.21</v>
      </c>
      <c r="V44" s="185" t="s">
        <v>55</v>
      </c>
      <c r="W44" s="186" t="s">
        <v>135</v>
      </c>
      <c r="X44" s="110" t="s">
        <v>42</v>
      </c>
      <c r="Y44" s="187"/>
      <c r="Z44" s="51"/>
    </row>
    <row r="45" s="10" customFormat="true" ht="14.1" hidden="false" customHeight="true" outlineLevel="0" collapsed="false">
      <c r="A45" s="237" t="s">
        <v>26</v>
      </c>
      <c r="B45" s="238" t="s">
        <v>271</v>
      </c>
      <c r="C45" s="239"/>
      <c r="D45" s="240" t="n">
        <v>6143062</v>
      </c>
      <c r="E45" s="241" t="n">
        <v>45091</v>
      </c>
      <c r="F45" s="242" t="s">
        <v>54</v>
      </c>
      <c r="G45" s="243" t="n">
        <v>45091</v>
      </c>
      <c r="H45" s="244"/>
      <c r="I45" s="245"/>
      <c r="J45" s="245"/>
      <c r="K45" s="245"/>
      <c r="L45" s="245"/>
      <c r="M45" s="244"/>
      <c r="N45" s="245"/>
      <c r="O45" s="244"/>
      <c r="P45" s="246"/>
      <c r="Q45" s="247"/>
      <c r="R45" s="244" t="n">
        <v>1490</v>
      </c>
      <c r="S45" s="247"/>
      <c r="T45" s="248"/>
      <c r="U45" s="249" t="n">
        <f aca="false">SUM(H45:T45)</f>
        <v>1490</v>
      </c>
      <c r="V45" s="250" t="s">
        <v>75</v>
      </c>
      <c r="W45" s="251" t="s">
        <v>272</v>
      </c>
      <c r="X45" s="110" t="s">
        <v>42</v>
      </c>
      <c r="Y45" s="253"/>
      <c r="Z45" s="254"/>
    </row>
    <row r="46" s="10" customFormat="true" ht="14.1" hidden="false" customHeight="true" outlineLevel="0" collapsed="false">
      <c r="A46" s="222" t="s">
        <v>102</v>
      </c>
      <c r="B46" s="223" t="s">
        <v>255</v>
      </c>
      <c r="C46" s="224"/>
      <c r="D46" s="225" t="n">
        <v>5013262</v>
      </c>
      <c r="E46" s="226" t="n">
        <v>45047</v>
      </c>
      <c r="F46" s="227" t="s">
        <v>256</v>
      </c>
      <c r="G46" s="228" t="n">
        <v>45047</v>
      </c>
      <c r="H46" s="229"/>
      <c r="I46" s="230"/>
      <c r="J46" s="230"/>
      <c r="K46" s="230"/>
      <c r="L46" s="230"/>
      <c r="M46" s="229"/>
      <c r="N46" s="230"/>
      <c r="O46" s="229" t="n">
        <v>37.5</v>
      </c>
      <c r="P46" s="231"/>
      <c r="Q46" s="232"/>
      <c r="R46" s="229"/>
      <c r="S46" s="232" t="n">
        <v>12.5</v>
      </c>
      <c r="T46" s="233" t="n">
        <v>3.52</v>
      </c>
      <c r="U46" s="234" t="n">
        <f aca="false">SUM(H46:T46)</f>
        <v>53.52</v>
      </c>
      <c r="V46" s="235" t="s">
        <v>30</v>
      </c>
      <c r="W46" s="236" t="s">
        <v>102</v>
      </c>
      <c r="X46" s="110" t="s">
        <v>42</v>
      </c>
      <c r="Y46" s="187"/>
      <c r="Z46" s="51"/>
    </row>
    <row r="47" s="10" customFormat="true" ht="14.1" hidden="false" customHeight="true" outlineLevel="0" collapsed="false">
      <c r="A47" s="237" t="s">
        <v>102</v>
      </c>
      <c r="B47" s="238" t="s">
        <v>255</v>
      </c>
      <c r="C47" s="239"/>
      <c r="D47" s="240" t="n">
        <v>6203051</v>
      </c>
      <c r="E47" s="241" t="n">
        <v>45097</v>
      </c>
      <c r="F47" s="242" t="s">
        <v>262</v>
      </c>
      <c r="G47" s="243" t="n">
        <v>45103</v>
      </c>
      <c r="H47" s="244"/>
      <c r="I47" s="245" t="n">
        <v>762</v>
      </c>
      <c r="J47" s="245"/>
      <c r="K47" s="245"/>
      <c r="L47" s="245"/>
      <c r="M47" s="244"/>
      <c r="N47" s="245"/>
      <c r="O47" s="244"/>
      <c r="P47" s="246"/>
      <c r="Q47" s="247"/>
      <c r="R47" s="244"/>
      <c r="S47" s="247"/>
      <c r="T47" s="248"/>
      <c r="U47" s="249" t="n">
        <f aca="false">SUM(H47:T47)</f>
        <v>762</v>
      </c>
      <c r="V47" s="250" t="s">
        <v>41</v>
      </c>
      <c r="W47" s="251" t="s">
        <v>102</v>
      </c>
      <c r="X47" s="110" t="s">
        <v>42</v>
      </c>
      <c r="Y47" s="253"/>
      <c r="Z47" s="254"/>
    </row>
    <row r="48" s="10" customFormat="true" ht="14.1" hidden="false" customHeight="true" outlineLevel="0" collapsed="false">
      <c r="A48" s="222" t="s">
        <v>37</v>
      </c>
      <c r="B48" s="223" t="s">
        <v>261</v>
      </c>
      <c r="C48" s="224"/>
      <c r="D48" s="225" t="n">
        <v>5153051</v>
      </c>
      <c r="E48" s="226" t="n">
        <v>45061</v>
      </c>
      <c r="F48" s="227" t="s">
        <v>262</v>
      </c>
      <c r="G48" s="228" t="n">
        <v>45061</v>
      </c>
      <c r="H48" s="229"/>
      <c r="I48" s="230" t="n">
        <v>249</v>
      </c>
      <c r="J48" s="230"/>
      <c r="K48" s="230"/>
      <c r="L48" s="230"/>
      <c r="M48" s="229"/>
      <c r="N48" s="230"/>
      <c r="O48" s="229"/>
      <c r="P48" s="231"/>
      <c r="Q48" s="232"/>
      <c r="R48" s="229"/>
      <c r="S48" s="232"/>
      <c r="T48" s="233" t="n">
        <v>20.7</v>
      </c>
      <c r="U48" s="234" t="n">
        <f aca="false">SUM(H48:T48)</f>
        <v>269.7</v>
      </c>
      <c r="V48" s="235" t="s">
        <v>41</v>
      </c>
      <c r="W48" s="236" t="s">
        <v>37</v>
      </c>
      <c r="X48" s="110" t="s">
        <v>42</v>
      </c>
      <c r="Y48" s="187"/>
      <c r="Z48" s="51"/>
    </row>
    <row r="49" s="10" customFormat="true" ht="14.1" hidden="false" customHeight="true" outlineLevel="0" collapsed="false">
      <c r="A49" s="237" t="s">
        <v>37</v>
      </c>
      <c r="B49" s="238" t="s">
        <v>261</v>
      </c>
      <c r="C49" s="239" t="s">
        <v>273</v>
      </c>
      <c r="D49" s="240" t="n">
        <v>6153054</v>
      </c>
      <c r="E49" s="241" t="n">
        <v>45092</v>
      </c>
      <c r="F49" s="242" t="s">
        <v>262</v>
      </c>
      <c r="G49" s="243" t="n">
        <v>45092</v>
      </c>
      <c r="H49" s="244"/>
      <c r="I49" s="245" t="n">
        <v>249</v>
      </c>
      <c r="J49" s="245"/>
      <c r="K49" s="245"/>
      <c r="L49" s="245"/>
      <c r="M49" s="244"/>
      <c r="N49" s="245"/>
      <c r="O49" s="244"/>
      <c r="P49" s="246"/>
      <c r="Q49" s="247"/>
      <c r="R49" s="244"/>
      <c r="S49" s="247"/>
      <c r="T49" s="248" t="n">
        <v>20.7</v>
      </c>
      <c r="U49" s="249" t="n">
        <f aca="false">SUM(H49:T49)</f>
        <v>269.7</v>
      </c>
      <c r="V49" s="250" t="s">
        <v>41</v>
      </c>
      <c r="W49" s="251" t="s">
        <v>37</v>
      </c>
      <c r="X49" s="110" t="s">
        <v>42</v>
      </c>
      <c r="Y49" s="253"/>
      <c r="Z49" s="254"/>
    </row>
    <row r="50" s="10" customFormat="true" ht="14.1" hidden="false" customHeight="true" outlineLevel="0" collapsed="false">
      <c r="A50" s="237" t="s">
        <v>37</v>
      </c>
      <c r="B50" s="238" t="s">
        <v>38</v>
      </c>
      <c r="C50" s="239"/>
      <c r="D50" s="240" t="n">
        <v>6013051</v>
      </c>
      <c r="E50" s="241" t="n">
        <v>45078</v>
      </c>
      <c r="F50" s="242" t="s">
        <v>262</v>
      </c>
      <c r="G50" s="243" t="n">
        <v>45078</v>
      </c>
      <c r="H50" s="244"/>
      <c r="I50" s="245"/>
      <c r="J50" s="245"/>
      <c r="K50" s="245"/>
      <c r="L50" s="245"/>
      <c r="M50" s="244" t="n">
        <v>49</v>
      </c>
      <c r="N50" s="245" t="n">
        <v>39</v>
      </c>
      <c r="O50" s="244"/>
      <c r="P50" s="246"/>
      <c r="Q50" s="247"/>
      <c r="R50" s="244"/>
      <c r="S50" s="247"/>
      <c r="T50" s="248"/>
      <c r="U50" s="249" t="n">
        <f aca="false">SUM(H50:T50)</f>
        <v>88</v>
      </c>
      <c r="V50" s="250" t="s">
        <v>41</v>
      </c>
      <c r="W50" s="251" t="s">
        <v>45</v>
      </c>
      <c r="X50" s="110" t="s">
        <v>42</v>
      </c>
      <c r="Y50" s="253"/>
      <c r="Z50" s="254"/>
    </row>
    <row r="51" s="10" customFormat="true" ht="14.1" hidden="false" customHeight="true" outlineLevel="0" collapsed="false">
      <c r="A51" s="237" t="s">
        <v>45</v>
      </c>
      <c r="B51" s="238" t="s">
        <v>117</v>
      </c>
      <c r="C51" s="239"/>
      <c r="D51" s="240" t="n">
        <v>6133062</v>
      </c>
      <c r="E51" s="241" t="n">
        <v>45090</v>
      </c>
      <c r="F51" s="242" t="s">
        <v>54</v>
      </c>
      <c r="G51" s="243" t="n">
        <v>45092</v>
      </c>
      <c r="H51" s="244"/>
      <c r="I51" s="245"/>
      <c r="J51" s="245"/>
      <c r="K51" s="245"/>
      <c r="L51" s="245"/>
      <c r="M51" s="244"/>
      <c r="N51" s="245"/>
      <c r="O51" s="244"/>
      <c r="P51" s="246"/>
      <c r="Q51" s="247"/>
      <c r="R51" s="244" t="n">
        <v>-98</v>
      </c>
      <c r="S51" s="247"/>
      <c r="T51" s="248"/>
      <c r="U51" s="249" t="n">
        <f aca="false">SUM(H51:T51)</f>
        <v>-98</v>
      </c>
      <c r="V51" s="250" t="s">
        <v>55</v>
      </c>
      <c r="W51" s="251" t="s">
        <v>45</v>
      </c>
      <c r="X51" s="110" t="s">
        <v>42</v>
      </c>
      <c r="Y51" s="253"/>
      <c r="Z51" s="254"/>
    </row>
    <row r="52" s="10" customFormat="true" ht="14.1" hidden="false" customHeight="true" outlineLevel="0" collapsed="false">
      <c r="A52" s="237" t="s">
        <v>45</v>
      </c>
      <c r="B52" s="238" t="s">
        <v>117</v>
      </c>
      <c r="C52" s="239"/>
      <c r="D52" s="240" t="n">
        <v>6273062</v>
      </c>
      <c r="E52" s="241" t="n">
        <v>45104</v>
      </c>
      <c r="F52" s="242" t="s">
        <v>54</v>
      </c>
      <c r="G52" s="243" t="n">
        <v>45104</v>
      </c>
      <c r="H52" s="244"/>
      <c r="I52" s="245"/>
      <c r="J52" s="245"/>
      <c r="K52" s="245"/>
      <c r="L52" s="245"/>
      <c r="M52" s="244"/>
      <c r="N52" s="245"/>
      <c r="O52" s="244"/>
      <c r="P52" s="246"/>
      <c r="Q52" s="247"/>
      <c r="R52" s="244" t="n">
        <v>1182</v>
      </c>
      <c r="S52" s="247"/>
      <c r="T52" s="248"/>
      <c r="U52" s="249" t="n">
        <f aca="false">SUM(H52:T52)</f>
        <v>1182</v>
      </c>
      <c r="V52" s="250" t="s">
        <v>55</v>
      </c>
      <c r="W52" s="251" t="s">
        <v>45</v>
      </c>
      <c r="X52" s="110" t="s">
        <v>42</v>
      </c>
      <c r="Y52" s="253"/>
      <c r="Z52" s="254"/>
    </row>
    <row r="53" s="10" customFormat="true" ht="14.1" hidden="false" customHeight="true" outlineLevel="0" collapsed="false">
      <c r="A53" s="172" t="s">
        <v>45</v>
      </c>
      <c r="B53" s="173" t="s">
        <v>237</v>
      </c>
      <c r="C53" s="174"/>
      <c r="D53" s="175" t="n">
        <v>2072064</v>
      </c>
      <c r="E53" s="176" t="n">
        <v>44964</v>
      </c>
      <c r="F53" s="177" t="s">
        <v>54</v>
      </c>
      <c r="G53" s="178" t="n">
        <v>44964</v>
      </c>
      <c r="H53" s="179"/>
      <c r="I53" s="180"/>
      <c r="J53" s="180"/>
      <c r="K53" s="180"/>
      <c r="L53" s="180"/>
      <c r="M53" s="179"/>
      <c r="N53" s="180"/>
      <c r="O53" s="179"/>
      <c r="P53" s="181"/>
      <c r="Q53" s="182"/>
      <c r="R53" s="179" t="n">
        <v>79</v>
      </c>
      <c r="S53" s="182"/>
      <c r="T53" s="183"/>
      <c r="U53" s="184" t="n">
        <f aca="false">SUM(H53:T53)</f>
        <v>79</v>
      </c>
      <c r="V53" s="185" t="s">
        <v>75</v>
      </c>
      <c r="W53" s="186" t="s">
        <v>238</v>
      </c>
      <c r="X53" s="110" t="s">
        <v>42</v>
      </c>
      <c r="Y53" s="187"/>
      <c r="Z53" s="51"/>
    </row>
    <row r="54" s="10" customFormat="true" ht="14.1" hidden="false" customHeight="true" outlineLevel="0" collapsed="false">
      <c r="A54" s="206" t="s">
        <v>45</v>
      </c>
      <c r="B54" s="173" t="s">
        <v>250</v>
      </c>
      <c r="C54" s="174"/>
      <c r="D54" s="175" t="n">
        <v>4143062</v>
      </c>
      <c r="E54" s="176" t="n">
        <v>45030</v>
      </c>
      <c r="F54" s="177" t="s">
        <v>54</v>
      </c>
      <c r="G54" s="178" t="n">
        <v>45030</v>
      </c>
      <c r="H54" s="179"/>
      <c r="I54" s="180"/>
      <c r="J54" s="180"/>
      <c r="K54" s="180"/>
      <c r="L54" s="180"/>
      <c r="M54" s="179"/>
      <c r="N54" s="180"/>
      <c r="O54" s="179"/>
      <c r="P54" s="181"/>
      <c r="Q54" s="182"/>
      <c r="R54" s="179" t="n">
        <v>130</v>
      </c>
      <c r="S54" s="182" t="n">
        <v>25</v>
      </c>
      <c r="T54" s="183" t="n">
        <v>11.21</v>
      </c>
      <c r="U54" s="184" t="n">
        <f aca="false">SUM(H54:T54)</f>
        <v>166.21</v>
      </c>
      <c r="V54" s="185" t="s">
        <v>55</v>
      </c>
      <c r="W54" s="186" t="s">
        <v>45</v>
      </c>
      <c r="X54" s="110" t="s">
        <v>42</v>
      </c>
      <c r="Y54" s="187"/>
      <c r="Z54" s="51"/>
    </row>
    <row r="55" s="10" customFormat="true" ht="14.1" hidden="false" customHeight="true" outlineLevel="0" collapsed="false">
      <c r="A55" s="207"/>
      <c r="B55" s="208"/>
      <c r="C55" s="209"/>
      <c r="D55" s="209"/>
      <c r="E55" s="210"/>
      <c r="F55" s="211"/>
      <c r="G55" s="212"/>
      <c r="H55" s="213"/>
      <c r="I55" s="213"/>
      <c r="J55" s="214"/>
      <c r="K55" s="214"/>
      <c r="L55" s="214"/>
      <c r="M55" s="213"/>
      <c r="N55" s="213"/>
      <c r="O55" s="213"/>
      <c r="P55" s="128"/>
      <c r="Q55" s="215"/>
      <c r="R55" s="213"/>
      <c r="S55" s="215"/>
      <c r="T55" s="216"/>
      <c r="U55" s="217"/>
      <c r="V55" s="218"/>
      <c r="W55" s="29"/>
      <c r="X55" s="29"/>
      <c r="Y55" s="255" t="n">
        <f aca="false">SUM(U39:U54)</f>
        <v>5871.9</v>
      </c>
      <c r="Z55" s="220" t="n">
        <f aca="false">Y55/V57</f>
        <v>0.357553445164056</v>
      </c>
      <c r="AA55" s="51"/>
    </row>
    <row r="56" s="10" customFormat="true" ht="19.5" hidden="false" customHeight="true" outlineLevel="0" collapsed="false">
      <c r="A56" s="256"/>
      <c r="B56" s="257"/>
      <c r="C56" s="257"/>
      <c r="D56" s="49"/>
      <c r="E56" s="49"/>
      <c r="F56" s="258"/>
      <c r="G56" s="49"/>
      <c r="H56" s="259" t="n">
        <f aca="false">SUM(H4:H54)</f>
        <v>75</v>
      </c>
      <c r="I56" s="259" t="n">
        <f aca="false">SUM(I4:I54)</f>
        <v>1260</v>
      </c>
      <c r="J56" s="259" t="n">
        <f aca="false">SUM(J4:J54)</f>
        <v>0</v>
      </c>
      <c r="K56" s="259" t="n">
        <f aca="false">SUM(K4:K54)</f>
        <v>0</v>
      </c>
      <c r="L56" s="259" t="n">
        <f aca="false">SUM(L4:L54)</f>
        <v>0</v>
      </c>
      <c r="M56" s="259" t="n">
        <f aca="false">SUM(M4:M54)</f>
        <v>49</v>
      </c>
      <c r="N56" s="259" t="n">
        <f aca="false">SUM(N4:N54)</f>
        <v>39</v>
      </c>
      <c r="O56" s="259" t="n">
        <f aca="false">SUM(O4:O54)</f>
        <v>37.5</v>
      </c>
      <c r="P56" s="259" t="n">
        <f aca="false">SUM(P4:P54)</f>
        <v>0</v>
      </c>
      <c r="Q56" s="259" t="n">
        <f aca="false">SUM(Q4:Q54)</f>
        <v>0</v>
      </c>
      <c r="R56" s="259" t="n">
        <f aca="false">SUM(R4:R54)</f>
        <v>12255</v>
      </c>
      <c r="S56" s="259" t="n">
        <f aca="false">SUM(S4:S54)</f>
        <v>1810</v>
      </c>
      <c r="T56" s="259" t="n">
        <f aca="false">SUM(T4:T54)</f>
        <v>896.940000000001</v>
      </c>
      <c r="U56" s="259" t="n">
        <f aca="false">SUM(U4:U54)</f>
        <v>16422.44</v>
      </c>
      <c r="V56" s="260"/>
      <c r="W56" s="11"/>
      <c r="X56" s="11"/>
      <c r="Y56" s="3"/>
      <c r="Z56" s="2"/>
      <c r="AA56" s="261"/>
      <c r="AB56" s="261"/>
      <c r="AC56" s="261"/>
    </row>
    <row r="57" s="10" customFormat="true" ht="14.1" hidden="false" customHeight="true" outlineLevel="0" collapsed="false">
      <c r="A57" s="2"/>
      <c r="B57" s="2"/>
      <c r="C57" s="3"/>
      <c r="D57" s="3"/>
      <c r="E57" s="4"/>
      <c r="F57" s="3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/>
      <c r="U57" s="9"/>
      <c r="V57" s="262" t="n">
        <f aca="false">SUM(H56:T56)</f>
        <v>16422.44</v>
      </c>
      <c r="Y57" s="263"/>
      <c r="Z57" s="12"/>
    </row>
    <row r="58" s="10" customFormat="true" ht="14.1" hidden="false" customHeight="true" outlineLevel="0" collapsed="false">
      <c r="A58" s="2"/>
      <c r="B58" s="2"/>
      <c r="C58" s="3"/>
      <c r="D58" s="3"/>
      <c r="E58" s="4"/>
      <c r="F58" s="3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8"/>
      <c r="U58" s="9"/>
      <c r="V58" s="2"/>
      <c r="Y58" s="263"/>
      <c r="Z58" s="12"/>
    </row>
    <row r="59" s="10" customFormat="true" ht="14.1" hidden="false" customHeight="true" outlineLevel="0" collapsed="false">
      <c r="A59" s="2"/>
      <c r="B59" s="2"/>
      <c r="C59" s="3"/>
      <c r="D59" s="3"/>
      <c r="E59" s="4"/>
      <c r="F59" s="3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8"/>
      <c r="U59" s="9"/>
      <c r="V59" s="2"/>
      <c r="Y59" s="263"/>
      <c r="Z59" s="12"/>
    </row>
    <row r="60" s="10" customFormat="true" ht="14.1" hidden="false" customHeight="true" outlineLevel="0" collapsed="false">
      <c r="A60" s="2"/>
      <c r="B60" s="2"/>
      <c r="C60" s="3"/>
      <c r="D60" s="3"/>
      <c r="E60" s="4"/>
      <c r="F60" s="3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9"/>
      <c r="V60" s="2"/>
      <c r="Y60" s="263"/>
      <c r="Z60" s="12"/>
    </row>
    <row r="61" s="10" customFormat="true" ht="14.1" hidden="false" customHeight="true" outlineLevel="0" collapsed="false">
      <c r="A61" s="2"/>
      <c r="B61" s="2"/>
      <c r="C61" s="3"/>
      <c r="D61" s="3"/>
      <c r="E61" s="4"/>
      <c r="F61" s="3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9"/>
      <c r="V61" s="2"/>
      <c r="Y61" s="263"/>
      <c r="Z61" s="12"/>
    </row>
    <row r="62" s="10" customFormat="true" ht="14.1" hidden="false" customHeight="true" outlineLevel="0" collapsed="false">
      <c r="A62" s="2"/>
      <c r="B62" s="2"/>
      <c r="C62" s="3"/>
      <c r="D62" s="3"/>
      <c r="E62" s="4"/>
      <c r="F62" s="3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8"/>
      <c r="U62" s="9"/>
      <c r="V62" s="2"/>
      <c r="Y62" s="263"/>
      <c r="Z62" s="12"/>
    </row>
    <row r="63" s="10" customFormat="true" ht="14.1" hidden="false" customHeight="true" outlineLevel="0" collapsed="false">
      <c r="A63" s="2"/>
      <c r="B63" s="2"/>
      <c r="C63" s="3"/>
      <c r="D63" s="3"/>
      <c r="E63" s="4"/>
      <c r="F63" s="3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8"/>
      <c r="U63" s="9"/>
      <c r="V63" s="2"/>
      <c r="Y63" s="263"/>
      <c r="Z63" s="12"/>
    </row>
    <row r="64" s="10" customFormat="true" ht="14.1" hidden="false" customHeight="true" outlineLevel="0" collapsed="false">
      <c r="A64" s="2"/>
      <c r="B64" s="2"/>
      <c r="C64" s="3"/>
      <c r="D64" s="3"/>
      <c r="E64" s="4"/>
      <c r="F64" s="3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8"/>
      <c r="U64" s="9"/>
      <c r="V64" s="2"/>
      <c r="Y64" s="263"/>
      <c r="Z64" s="12"/>
    </row>
    <row r="65" s="10" customFormat="true" ht="14.1" hidden="false" customHeight="true" outlineLevel="0" collapsed="false">
      <c r="A65" s="2"/>
      <c r="B65" s="2"/>
      <c r="C65" s="3"/>
      <c r="D65" s="3"/>
      <c r="E65" s="4"/>
      <c r="F65" s="3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8"/>
      <c r="U65" s="9"/>
      <c r="V65" s="2"/>
      <c r="Y65" s="263"/>
      <c r="Z65" s="12"/>
    </row>
    <row r="66" s="10" customFormat="true" ht="14.1" hidden="false" customHeight="true" outlineLevel="0" collapsed="false">
      <c r="A66" s="2"/>
      <c r="B66" s="2"/>
      <c r="C66" s="264"/>
      <c r="D66" s="3"/>
      <c r="E66" s="4"/>
      <c r="F66" s="3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8"/>
      <c r="T66" s="8"/>
      <c r="V66" s="265"/>
      <c r="W66" s="266"/>
      <c r="X66" s="266"/>
      <c r="Y66" s="267"/>
      <c r="Z66" s="2"/>
    </row>
    <row r="67" s="10" customFormat="true" ht="14.1" hidden="false" customHeight="true" outlineLevel="0" collapsed="false">
      <c r="A67" s="2"/>
      <c r="B67" s="2"/>
      <c r="C67" s="3"/>
      <c r="D67" s="3"/>
      <c r="E67" s="4"/>
      <c r="F67" s="3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8"/>
      <c r="U67" s="9"/>
      <c r="V67" s="2"/>
      <c r="Y67" s="263"/>
      <c r="Z67" s="12"/>
    </row>
    <row r="68" s="10" customFormat="true" ht="14.1" hidden="false" customHeight="true" outlineLevel="0" collapsed="false">
      <c r="A68" s="2"/>
      <c r="B68" s="2"/>
      <c r="C68" s="3"/>
      <c r="D68" s="3"/>
      <c r="E68" s="4"/>
      <c r="F68" s="3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9"/>
      <c r="V68" s="2"/>
      <c r="Y68" s="263"/>
      <c r="Z68" s="12"/>
    </row>
    <row r="69" s="10" customFormat="true" ht="14.1" hidden="false" customHeight="true" outlineLevel="0" collapsed="false">
      <c r="A69" s="2"/>
      <c r="B69" s="2"/>
      <c r="C69" s="3"/>
      <c r="D69" s="3"/>
      <c r="E69" s="4"/>
      <c r="F69" s="3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8"/>
      <c r="U69" s="9"/>
      <c r="V69" s="2"/>
      <c r="Y69" s="263"/>
      <c r="Z69" s="12"/>
    </row>
    <row r="70" s="10" customFormat="true" ht="14.1" hidden="false" customHeight="true" outlineLevel="0" collapsed="false">
      <c r="A70" s="2"/>
      <c r="B70" s="2"/>
      <c r="C70" s="3"/>
      <c r="D70" s="3"/>
      <c r="E70" s="4"/>
      <c r="F70" s="3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  <c r="U70" s="9"/>
      <c r="V70" s="2"/>
      <c r="Y70" s="263"/>
      <c r="Z70" s="12"/>
    </row>
    <row r="71" s="10" customFormat="true" ht="14.1" hidden="false" customHeight="true" outlineLevel="0" collapsed="false">
      <c r="A71" s="2"/>
      <c r="B71" s="2"/>
      <c r="C71" s="3"/>
      <c r="D71" s="3"/>
      <c r="E71" s="4"/>
      <c r="F71" s="3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8"/>
      <c r="U71" s="9"/>
      <c r="V71" s="2"/>
      <c r="Y71" s="263"/>
      <c r="Z71" s="12"/>
    </row>
    <row r="72" s="10" customFormat="true" ht="14.1" hidden="false" customHeight="true" outlineLevel="0" collapsed="false">
      <c r="A72" s="2"/>
      <c r="B72" s="2"/>
      <c r="C72" s="3"/>
      <c r="D72" s="3"/>
      <c r="E72" s="4"/>
      <c r="F72" s="3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8"/>
      <c r="U72" s="9"/>
      <c r="V72" s="2"/>
      <c r="Y72" s="263"/>
      <c r="Z72" s="12"/>
    </row>
    <row r="73" s="10" customFormat="true" ht="14.1" hidden="false" customHeight="true" outlineLevel="0" collapsed="false">
      <c r="A73" s="2"/>
      <c r="B73" s="2"/>
      <c r="C73" s="3"/>
      <c r="D73" s="3"/>
      <c r="E73" s="4"/>
      <c r="F73" s="3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  <c r="U73" s="9"/>
      <c r="V73" s="2"/>
      <c r="Y73" s="263"/>
      <c r="Z73" s="12"/>
    </row>
    <row r="74" s="10" customFormat="true" ht="14.1" hidden="false" customHeight="true" outlineLevel="0" collapsed="false">
      <c r="A74" s="2"/>
      <c r="B74" s="2"/>
      <c r="C74" s="3"/>
      <c r="D74" s="3"/>
      <c r="E74" s="4"/>
      <c r="F74" s="3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  <c r="U74" s="9"/>
      <c r="V74" s="2"/>
      <c r="Y74" s="263"/>
      <c r="Z74" s="12"/>
    </row>
    <row r="75" s="10" customFormat="true" ht="14.1" hidden="false" customHeight="true" outlineLevel="0" collapsed="false">
      <c r="A75" s="2"/>
      <c r="B75" s="2"/>
      <c r="C75" s="3"/>
      <c r="D75" s="3"/>
      <c r="E75" s="4"/>
      <c r="F75" s="3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8"/>
      <c r="U75" s="9"/>
      <c r="V75" s="2"/>
      <c r="Y75" s="263"/>
      <c r="Z75" s="12"/>
    </row>
    <row r="76" s="10" customFormat="true" ht="14.1" hidden="false" customHeight="true" outlineLevel="0" collapsed="false">
      <c r="A76" s="2"/>
      <c r="B76" s="2"/>
      <c r="C76" s="3"/>
      <c r="D76" s="3"/>
      <c r="E76" s="4"/>
      <c r="F76" s="3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/>
      <c r="U76" s="9"/>
      <c r="V76" s="2"/>
      <c r="Y76" s="263"/>
      <c r="Z76" s="12"/>
    </row>
    <row r="77" s="10" customFormat="true" ht="14.1" hidden="false" customHeight="true" outlineLevel="0" collapsed="false">
      <c r="A77" s="2"/>
      <c r="B77" s="2"/>
      <c r="C77" s="3"/>
      <c r="D77" s="3"/>
      <c r="E77" s="4"/>
      <c r="F77" s="3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/>
      <c r="U77" s="9"/>
      <c r="V77" s="2"/>
      <c r="Y77" s="263"/>
      <c r="Z77" s="12"/>
    </row>
    <row r="78" s="10" customFormat="true" ht="14.1" hidden="false" customHeight="true" outlineLevel="0" collapsed="false">
      <c r="A78" s="2"/>
      <c r="B78" s="2"/>
      <c r="C78" s="3"/>
      <c r="D78" s="3"/>
      <c r="E78" s="4"/>
      <c r="F78" s="3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9"/>
      <c r="V78" s="2"/>
      <c r="Y78" s="263"/>
      <c r="Z78" s="12"/>
    </row>
    <row r="79" s="10" customFormat="true" ht="14.1" hidden="false" customHeight="true" outlineLevel="0" collapsed="false">
      <c r="A79" s="2"/>
      <c r="B79" s="2"/>
      <c r="C79" s="3"/>
      <c r="D79" s="3"/>
      <c r="E79" s="4"/>
      <c r="F79" s="3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/>
      <c r="U79" s="9"/>
      <c r="V79" s="2"/>
      <c r="Y79" s="263"/>
      <c r="Z79" s="12"/>
    </row>
    <row r="80" s="10" customFormat="true" ht="14.1" hidden="false" customHeight="true" outlineLevel="0" collapsed="false">
      <c r="A80" s="2"/>
      <c r="B80" s="2"/>
      <c r="C80" s="3"/>
      <c r="D80" s="3"/>
      <c r="E80" s="4"/>
      <c r="F80" s="3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9"/>
      <c r="V80" s="2"/>
      <c r="Y80" s="263"/>
      <c r="Z80" s="12"/>
    </row>
    <row r="81" s="10" customFormat="true" ht="14.1" hidden="false" customHeight="true" outlineLevel="0" collapsed="false">
      <c r="A81" s="2"/>
      <c r="B81" s="2"/>
      <c r="C81" s="3"/>
      <c r="D81" s="3"/>
      <c r="E81" s="4"/>
      <c r="F81" s="3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/>
      <c r="U81" s="9"/>
      <c r="V81" s="2"/>
      <c r="Y81" s="263"/>
      <c r="Z81" s="12"/>
    </row>
    <row r="82" s="10" customFormat="true" ht="14.1" hidden="false" customHeight="true" outlineLevel="0" collapsed="false">
      <c r="A82" s="2"/>
      <c r="B82" s="2"/>
      <c r="C82" s="3"/>
      <c r="D82" s="3"/>
      <c r="E82" s="4"/>
      <c r="F82" s="3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8"/>
      <c r="U82" s="9"/>
      <c r="V82" s="2"/>
      <c r="Y82" s="263"/>
      <c r="Z82" s="12"/>
    </row>
    <row r="83" s="10" customFormat="true" ht="14.1" hidden="false" customHeight="true" outlineLevel="0" collapsed="false">
      <c r="A83" s="2"/>
      <c r="B83" s="2"/>
      <c r="C83" s="3"/>
      <c r="D83" s="3"/>
      <c r="E83" s="4"/>
      <c r="F83" s="3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8"/>
      <c r="U83" s="9"/>
      <c r="V83" s="2"/>
      <c r="Y83" s="263"/>
      <c r="Z83" s="12"/>
    </row>
    <row r="84" s="10" customFormat="true" ht="14.1" hidden="false" customHeight="true" outlineLevel="0" collapsed="false">
      <c r="A84" s="2"/>
      <c r="B84" s="2"/>
      <c r="C84" s="3"/>
      <c r="D84" s="3"/>
      <c r="E84" s="4"/>
      <c r="F84" s="3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8"/>
      <c r="U84" s="9"/>
      <c r="V84" s="2"/>
      <c r="Y84" s="263"/>
      <c r="Z84" s="12"/>
    </row>
    <row r="85" s="10" customFormat="true" ht="14.1" hidden="false" customHeight="true" outlineLevel="0" collapsed="false">
      <c r="A85" s="2"/>
      <c r="B85" s="2"/>
      <c r="C85" s="3"/>
      <c r="D85" s="3"/>
      <c r="E85" s="4"/>
      <c r="F85" s="3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8"/>
      <c r="U85" s="9"/>
      <c r="V85" s="2"/>
      <c r="Y85" s="263"/>
      <c r="Z85" s="12"/>
    </row>
    <row r="86" s="10" customFormat="true" ht="14.1" hidden="false" customHeight="true" outlineLevel="0" collapsed="false">
      <c r="A86" s="2"/>
      <c r="B86" s="2"/>
      <c r="C86" s="3"/>
      <c r="D86" s="3"/>
      <c r="E86" s="4"/>
      <c r="F86" s="3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8"/>
      <c r="U86" s="9"/>
      <c r="V86" s="2"/>
      <c r="Y86" s="263"/>
      <c r="Z86" s="12"/>
    </row>
    <row r="87" s="10" customFormat="true" ht="14.1" hidden="false" customHeight="true" outlineLevel="0" collapsed="false">
      <c r="A87" s="2"/>
      <c r="B87" s="2"/>
      <c r="C87" s="3"/>
      <c r="D87" s="3"/>
      <c r="E87" s="4"/>
      <c r="F87" s="3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9"/>
      <c r="V87" s="2"/>
      <c r="Y87" s="263"/>
      <c r="Z87" s="12"/>
    </row>
    <row r="88" s="10" customFormat="true" ht="14.1" hidden="false" customHeight="true" outlineLevel="0" collapsed="false">
      <c r="A88" s="2"/>
      <c r="B88" s="2"/>
      <c r="C88" s="3"/>
      <c r="D88" s="3"/>
      <c r="E88" s="4"/>
      <c r="F88" s="3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8"/>
      <c r="U88" s="9"/>
      <c r="V88" s="2"/>
      <c r="Y88" s="263"/>
      <c r="Z88" s="12"/>
    </row>
    <row r="89" s="10" customFormat="true" ht="14.1" hidden="false" customHeight="true" outlineLevel="0" collapsed="false">
      <c r="A89" s="2"/>
      <c r="B89" s="2"/>
      <c r="C89" s="3"/>
      <c r="D89" s="3"/>
      <c r="E89" s="4"/>
      <c r="F89" s="3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/>
      <c r="U89" s="9"/>
      <c r="V89" s="2"/>
      <c r="Y89" s="263"/>
      <c r="Z89" s="12"/>
    </row>
    <row r="90" s="10" customFormat="true" ht="14.1" hidden="false" customHeight="true" outlineLevel="0" collapsed="false">
      <c r="A90" s="2"/>
      <c r="B90" s="2"/>
      <c r="C90" s="3"/>
      <c r="D90" s="3"/>
      <c r="E90" s="4"/>
      <c r="F90" s="3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9"/>
      <c r="V90" s="2"/>
      <c r="Y90" s="263"/>
      <c r="Z90" s="12"/>
    </row>
    <row r="91" s="10" customFormat="true" ht="14.1" hidden="false" customHeight="true" outlineLevel="0" collapsed="false">
      <c r="A91" s="2"/>
      <c r="B91" s="2"/>
      <c r="C91" s="3"/>
      <c r="D91" s="3"/>
      <c r="E91" s="4"/>
      <c r="F91" s="3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9"/>
      <c r="V91" s="2"/>
      <c r="Y91" s="263"/>
      <c r="Z91" s="12"/>
    </row>
    <row r="92" s="10" customFormat="true" ht="14.1" hidden="false" customHeight="true" outlineLevel="0" collapsed="false">
      <c r="A92" s="2"/>
      <c r="B92" s="2"/>
      <c r="C92" s="3"/>
      <c r="D92" s="3"/>
      <c r="E92" s="4"/>
      <c r="F92" s="3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9"/>
      <c r="V92" s="2"/>
      <c r="Y92" s="263"/>
      <c r="Z92" s="12"/>
    </row>
    <row r="93" s="10" customFormat="true" ht="14.1" hidden="false" customHeight="true" outlineLevel="0" collapsed="false">
      <c r="A93" s="2"/>
      <c r="B93" s="2"/>
      <c r="C93" s="3"/>
      <c r="D93" s="3"/>
      <c r="E93" s="4"/>
      <c r="F93" s="3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9"/>
      <c r="V93" s="2"/>
      <c r="Y93" s="263"/>
      <c r="Z93" s="12"/>
    </row>
    <row r="94" s="10" customFormat="true" ht="14.1" hidden="false" customHeight="true" outlineLevel="0" collapsed="false">
      <c r="A94" s="2"/>
      <c r="B94" s="2"/>
      <c r="C94" s="3"/>
      <c r="D94" s="3"/>
      <c r="E94" s="4"/>
      <c r="F94" s="3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9"/>
      <c r="V94" s="2"/>
      <c r="Y94" s="263"/>
      <c r="Z94" s="12"/>
    </row>
    <row r="95" s="10" customFormat="true" ht="14.1" hidden="false" customHeight="true" outlineLevel="0" collapsed="false">
      <c r="A95" s="2"/>
      <c r="B95" s="2"/>
      <c r="C95" s="3"/>
      <c r="D95" s="3"/>
      <c r="E95" s="4"/>
      <c r="F95" s="3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9"/>
      <c r="V95" s="2"/>
      <c r="Y95" s="263"/>
      <c r="Z95" s="12"/>
    </row>
    <row r="96" s="10" customFormat="true" ht="14.1" hidden="false" customHeight="true" outlineLevel="0" collapsed="false">
      <c r="A96" s="2"/>
      <c r="B96" s="2"/>
      <c r="C96" s="3"/>
      <c r="D96" s="3"/>
      <c r="E96" s="4"/>
      <c r="F96" s="3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9"/>
      <c r="V96" s="2"/>
      <c r="Y96" s="263"/>
      <c r="Z96" s="12"/>
    </row>
    <row r="97" s="10" customFormat="true" ht="14.1" hidden="false" customHeight="true" outlineLevel="0" collapsed="false">
      <c r="A97" s="2"/>
      <c r="B97" s="2"/>
      <c r="C97" s="3"/>
      <c r="D97" s="3"/>
      <c r="E97" s="4"/>
      <c r="F97" s="3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9"/>
      <c r="V97" s="2"/>
      <c r="Y97" s="263"/>
      <c r="Z97" s="12"/>
    </row>
    <row r="98" s="10" customFormat="true" ht="14.1" hidden="false" customHeight="true" outlineLevel="0" collapsed="false">
      <c r="A98" s="2"/>
      <c r="B98" s="2"/>
      <c r="C98" s="3"/>
      <c r="D98" s="3"/>
      <c r="E98" s="4"/>
      <c r="F98" s="3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9"/>
      <c r="V98" s="2"/>
      <c r="Y98" s="263"/>
      <c r="Z98" s="12"/>
    </row>
    <row r="99" s="10" customFormat="true" ht="14.1" hidden="false" customHeight="true" outlineLevel="0" collapsed="false">
      <c r="A99" s="2"/>
      <c r="B99" s="2"/>
      <c r="C99" s="3"/>
      <c r="D99" s="3"/>
      <c r="E99" s="4"/>
      <c r="F99" s="3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/>
      <c r="U99" s="9"/>
      <c r="V99" s="2"/>
      <c r="Y99" s="263"/>
      <c r="Z99" s="12"/>
    </row>
    <row r="100" s="10" customFormat="true" ht="14.1" hidden="false" customHeight="true" outlineLevel="0" collapsed="false">
      <c r="A100" s="2"/>
      <c r="B100" s="2"/>
      <c r="C100" s="3"/>
      <c r="D100" s="3"/>
      <c r="E100" s="4"/>
      <c r="F100" s="3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9"/>
      <c r="V100" s="2"/>
      <c r="Y100" s="263"/>
      <c r="Z100" s="12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"/>
      <c r="Y101" s="263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63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63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63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63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63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63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63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63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63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63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63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63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63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63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63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63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63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63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63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63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63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63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63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63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63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63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63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63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63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63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63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63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63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63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63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63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63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63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63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63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63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63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63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63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63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63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63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63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63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63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63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63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63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63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63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63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63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63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63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63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63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63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63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63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63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63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63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63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63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63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63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63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63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63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63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63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63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63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63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63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63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63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63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63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63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63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63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63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63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63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63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63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63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63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63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63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63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63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63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63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63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63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63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63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63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63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63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63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63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63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63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63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63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63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63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63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63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63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63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63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63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63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63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63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63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63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63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63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63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63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63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63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63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63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63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63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63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63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63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63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63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63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63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63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63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63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63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63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63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63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63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63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63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63"/>
      <c r="Z255" s="12"/>
    </row>
    <row r="256" s="10" customFormat="true" ht="14.1" hidden="false" customHeight="true" outlineLevel="0" collapsed="false">
      <c r="A256" s="2"/>
      <c r="B256" s="2"/>
      <c r="C256" s="264"/>
      <c r="D256" s="3"/>
      <c r="E256" s="4"/>
      <c r="F256" s="3"/>
      <c r="G256" s="5"/>
      <c r="H256" s="7"/>
      <c r="I256" s="7"/>
      <c r="J256" s="7"/>
      <c r="K256" s="268"/>
      <c r="L256" s="7"/>
      <c r="M256" s="7"/>
      <c r="N256" s="7"/>
      <c r="O256" s="7"/>
      <c r="P256" s="7"/>
      <c r="Q256" s="7"/>
      <c r="R256" s="7"/>
      <c r="S256" s="8"/>
      <c r="T256" s="8"/>
      <c r="V256" s="265"/>
      <c r="W256" s="266"/>
      <c r="X256" s="266"/>
      <c r="Y256" s="267"/>
      <c r="Z256" s="2"/>
    </row>
    <row r="257" s="261" customFormat="true" ht="26.25" hidden="false" customHeight="true" outlineLevel="0" collapsed="false">
      <c r="A257" s="269"/>
      <c r="B257" s="270"/>
      <c r="C257" s="270"/>
      <c r="D257" s="10"/>
      <c r="E257" s="10"/>
      <c r="F257" s="263"/>
      <c r="G257" s="10"/>
      <c r="H257" s="268"/>
      <c r="I257" s="268"/>
      <c r="J257" s="268"/>
      <c r="K257" s="7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140"/>
      <c r="W257" s="11"/>
      <c r="X257" s="11"/>
      <c r="Y257" s="3"/>
      <c r="Z257" s="2"/>
    </row>
    <row r="258" customFormat="false" ht="15" hidden="false" customHeight="true" outlineLevel="0" collapsed="false">
      <c r="V258" s="271"/>
      <c r="W258" s="2"/>
      <c r="X258" s="2"/>
    </row>
    <row r="259" customFormat="false" ht="9.75" hidden="false" customHeight="true" outlineLevel="0" collapsed="false"/>
    <row r="260" customFormat="false" ht="9.75" hidden="false" customHeight="true" outlineLevel="0" collapsed="false"/>
    <row r="261" customFormat="false" ht="9.75" hidden="false" customHeight="true" outlineLevel="0" collapsed="false"/>
    <row r="262" customFormat="false" ht="9.75" hidden="false" customHeight="true" outlineLevel="0" collapsed="false"/>
    <row r="263" customFormat="false" ht="9.75" hidden="false" customHeight="true" outlineLevel="0" collapsed="false"/>
    <row r="264" customFormat="false" ht="9.75" hidden="false" customHeight="true" outlineLevel="0" collapsed="false"/>
    <row r="265" customFormat="false" ht="9.75" hidden="false" customHeight="true" outlineLevel="0" collapsed="false"/>
    <row r="266" s="2" customFormat="true" ht="9.75" hidden="false" customHeight="true" outlineLevel="0" collapsed="false">
      <c r="F266" s="3"/>
    </row>
    <row r="267" s="2" customFormat="true" ht="10.5" hidden="false" customHeight="true" outlineLevel="0" collapsed="false">
      <c r="F267" s="137"/>
    </row>
    <row r="268" s="2" customFormat="true" ht="9.75" hidden="false" customHeight="true" outlineLevel="0" collapsed="false">
      <c r="F268" s="3"/>
    </row>
    <row r="269" customFormat="false" ht="9.75" hidden="false" customHeight="true" outlineLevel="0" collapsed="false"/>
    <row r="270" customFormat="false" ht="9.75" hidden="false" customHeight="true" outlineLevel="0" collapsed="false"/>
    <row r="271" customFormat="false" ht="9.75" hidden="false" customHeight="true" outlineLevel="0" collapsed="false"/>
    <row r="272" customFormat="false" ht="9.75" hidden="false" customHeight="true" outlineLevel="0" collapsed="false"/>
    <row r="273" customFormat="false" ht="9.75" hidden="false" customHeight="true" outlineLevel="0" collapsed="false"/>
    <row r="274" customFormat="false" ht="9.75" hidden="false" customHeight="true" outlineLevel="0" collapsed="false"/>
    <row r="275" customFormat="false" ht="9.75" hidden="false" customHeight="true" outlineLevel="0" collapsed="false"/>
    <row r="276" customFormat="false" ht="9.75" hidden="false" customHeight="true" outlineLevel="0" collapsed="false"/>
    <row r="277" customFormat="false" ht="9.75" hidden="false" customHeight="true" outlineLevel="0" collapsed="false"/>
    <row r="278" customFormat="false" ht="9.75" hidden="false" customHeight="true" outlineLevel="0" collapsed="false"/>
    <row r="279" customFormat="false" ht="9.75" hidden="false" customHeight="true" outlineLevel="0" collapsed="false"/>
    <row r="280" customFormat="false" ht="9.75" hidden="false" customHeight="true" outlineLevel="0" collapsed="false"/>
    <row r="281" s="2" customFormat="true" ht="9.75" hidden="false" customHeight="true" outlineLevel="0" collapsed="false">
      <c r="J281" s="4"/>
    </row>
    <row r="282" customFormat="false" ht="9.75" hidden="false" customHeight="true" outlineLevel="0" collapsed="false"/>
    <row r="283" customFormat="false" ht="9.75" hidden="false" customHeight="true" outlineLevel="0" collapsed="false"/>
    <row r="284" customFormat="false" ht="9.75" hidden="false" customHeight="true" outlineLevel="0" collapsed="false"/>
    <row r="285" customFormat="false" ht="9.75" hidden="false" customHeight="true" outlineLevel="0" collapsed="false"/>
    <row r="286" customFormat="false" ht="9.75" hidden="false" customHeight="true" outlineLevel="0" collapsed="false"/>
    <row r="287" customFormat="false" ht="9.75" hidden="false" customHeight="true" outlineLevel="0" collapsed="false"/>
    <row r="288" customFormat="false" ht="9.75" hidden="false" customHeight="true" outlineLevel="0" collapsed="false"/>
    <row r="289" customFormat="false" ht="9.75" hidden="false" customHeight="true" outlineLevel="0" collapsed="false"/>
    <row r="290" customFormat="false" ht="9.75" hidden="false" customHeight="true" outlineLevel="0" collapsed="false"/>
    <row r="291" customFormat="false" ht="9.75" hidden="false" customHeight="true" outlineLevel="0" collapsed="false"/>
    <row r="292" customFormat="false" ht="9.75" hidden="false" customHeight="true" outlineLevel="0" collapsed="false"/>
    <row r="293" customFormat="false" ht="9.75" hidden="false" customHeight="true" outlineLevel="0" collapsed="false"/>
    <row r="294" customFormat="false" ht="9.75" hidden="false" customHeight="true" outlineLevel="0" collapsed="false"/>
    <row r="295" customFormat="false" ht="9.75" hidden="false" customHeight="true" outlineLevel="0" collapsed="false"/>
    <row r="296" customFormat="false" ht="9.75" hidden="false" customHeight="true" outlineLevel="0" collapsed="false"/>
    <row r="297" customFormat="false" ht="9.75" hidden="false" customHeight="true" outlineLevel="0" collapsed="false"/>
    <row r="298" customFormat="false" ht="9.75" hidden="false" customHeight="true" outlineLevel="0" collapsed="false"/>
    <row r="299" customFormat="false" ht="9.75" hidden="false" customHeight="true" outlineLevel="0" collapsed="false"/>
    <row r="300" customFormat="false" ht="9.75" hidden="false" customHeight="true" outlineLevel="0" collapsed="false"/>
    <row r="301" customFormat="false" ht="9.75" hidden="false" customHeight="true" outlineLevel="0" collapsed="false"/>
    <row r="302" customFormat="false" ht="9.75" hidden="false" customHeight="true" outlineLevel="0" collapsed="false"/>
    <row r="303" customFormat="false" ht="9.75" hidden="false" customHeight="true" outlineLevel="0" collapsed="false"/>
    <row r="304" customFormat="false" ht="9.75" hidden="false" customHeight="true" outlineLevel="0" collapsed="false"/>
    <row r="305" customFormat="false" ht="9.75" hidden="false" customHeight="true" outlineLevel="0" collapsed="false"/>
    <row r="306" customFormat="false" ht="9.75" hidden="false" customHeight="true" outlineLevel="0" collapsed="false"/>
    <row r="307" customFormat="false" ht="9.75" hidden="false" customHeight="true" outlineLevel="0" collapsed="false"/>
    <row r="308" customFormat="false" ht="9.75" hidden="false" customHeight="true" outlineLevel="0" collapsed="false"/>
    <row r="309" customFormat="false" ht="9.75" hidden="false" customHeight="true" outlineLevel="0" collapsed="false"/>
    <row r="310" customFormat="false" ht="9.75" hidden="false" customHeight="true" outlineLevel="0" collapsed="false"/>
    <row r="311" customFormat="false" ht="9.75" hidden="false" customHeight="true" outlineLevel="0" collapsed="false"/>
    <row r="312" customFormat="false" ht="9.75" hidden="false" customHeight="true" outlineLevel="0" collapsed="false"/>
    <row r="313" customFormat="false" ht="9.75" hidden="false" customHeight="true" outlineLevel="0" collapsed="false"/>
    <row r="314" customFormat="false" ht="9.75" hidden="false" customHeight="true" outlineLevel="0" collapsed="false"/>
    <row r="315" customFormat="false" ht="9.75" hidden="false" customHeight="true" outlineLevel="0" collapsed="false"/>
    <row r="316" customFormat="false" ht="9.75" hidden="false" customHeight="true" outlineLevel="0" collapsed="false"/>
    <row r="317" customFormat="false" ht="9.75" hidden="false" customHeight="true" outlineLevel="0" collapsed="false"/>
    <row r="318" customFormat="false" ht="9.75" hidden="false" customHeight="true" outlineLevel="0" collapsed="false"/>
    <row r="319" customFormat="false" ht="9.75" hidden="false" customHeight="true" outlineLevel="0" collapsed="false"/>
    <row r="320" customFormat="false" ht="9.75" hidden="false" customHeight="true" outlineLevel="0" collapsed="false"/>
    <row r="321" customFormat="false" ht="9.75" hidden="false" customHeight="true" outlineLevel="0" collapsed="false"/>
    <row r="322" customFormat="false" ht="9.75" hidden="false" customHeight="true" outlineLevel="0" collapsed="false"/>
    <row r="323" customFormat="false" ht="9.75" hidden="false" customHeight="true" outlineLevel="0" collapsed="false"/>
    <row r="324" customFormat="false" ht="9.75" hidden="false" customHeight="true" outlineLevel="0" collapsed="false"/>
    <row r="325" customFormat="false" ht="9.75" hidden="false" customHeight="true" outlineLevel="0" collapsed="false"/>
    <row r="326" customFormat="false" ht="9.75" hidden="false" customHeight="true" outlineLevel="0" collapsed="false"/>
    <row r="327" customFormat="false" ht="9.75" hidden="false" customHeight="true" outlineLevel="0" collapsed="false"/>
    <row r="328" customFormat="false" ht="9.75" hidden="false" customHeight="true" outlineLevel="0" collapsed="false"/>
    <row r="329" customFormat="false" ht="9.75" hidden="false" customHeight="true" outlineLevel="0" collapsed="false"/>
    <row r="330" customFormat="false" ht="9.75" hidden="false" customHeight="true" outlineLevel="0" collapsed="false"/>
    <row r="331" customFormat="false" ht="9.75" hidden="false" customHeight="true" outlineLevel="0" collapsed="false"/>
    <row r="332" customFormat="false" ht="9.75" hidden="false" customHeight="true" outlineLevel="0" collapsed="false"/>
    <row r="333" customFormat="false" ht="9.75" hidden="false" customHeight="true" outlineLevel="0" collapsed="false"/>
    <row r="334" customFormat="false" ht="9.75" hidden="false" customHeight="true" outlineLevel="0" collapsed="false"/>
    <row r="335" customFormat="false" ht="9.75" hidden="false" customHeight="true" outlineLevel="0" collapsed="false"/>
    <row r="336" customFormat="false" ht="9.75" hidden="false" customHeight="true" outlineLevel="0" collapsed="false"/>
    <row r="337" customFormat="false" ht="9.75" hidden="false" customHeight="true" outlineLevel="0" collapsed="false"/>
    <row r="338" customFormat="false" ht="9.75" hidden="false" customHeight="true" outlineLevel="0" collapsed="false"/>
    <row r="339" customFormat="false" ht="9.75" hidden="false" customHeight="true" outlineLevel="0" collapsed="false"/>
    <row r="340" customFormat="false" ht="9.75" hidden="false" customHeight="true" outlineLevel="0" collapsed="false"/>
    <row r="341" customFormat="false" ht="9.75" hidden="false" customHeight="true" outlineLevel="0" collapsed="false"/>
    <row r="342" customFormat="false" ht="9.75" hidden="false" customHeight="true" outlineLevel="0" collapsed="false"/>
    <row r="343" customFormat="false" ht="9.75" hidden="false" customHeight="true" outlineLevel="0" collapsed="false"/>
    <row r="344" customFormat="false" ht="9.75" hidden="false" customHeight="true" outlineLevel="0" collapsed="false"/>
    <row r="345" customFormat="false" ht="9.75" hidden="false" customHeight="true" outlineLevel="0" collapsed="false"/>
    <row r="346" customFormat="false" ht="9.75" hidden="false" customHeight="true" outlineLevel="0" collapsed="false"/>
    <row r="347" customFormat="false" ht="9.75" hidden="false" customHeight="true" outlineLevel="0" collapsed="false"/>
    <row r="348" customFormat="false" ht="9.75" hidden="false" customHeight="true" outlineLevel="0" collapsed="false"/>
    <row r="349" customFormat="false" ht="9.75" hidden="false" customHeight="true" outlineLevel="0" collapsed="false"/>
    <row r="350" customFormat="false" ht="9.75" hidden="false" customHeight="true" outlineLevel="0" collapsed="false"/>
    <row r="351" customFormat="false" ht="9.75" hidden="false" customHeight="true" outlineLevel="0" collapsed="false"/>
    <row r="352" customFormat="false" ht="9.75" hidden="false" customHeight="true" outlineLevel="0" collapsed="false"/>
    <row r="353" customFormat="false" ht="9.75" hidden="false" customHeight="true" outlineLevel="0" collapsed="false"/>
    <row r="354" customFormat="false" ht="9.75" hidden="false" customHeight="true" outlineLevel="0" collapsed="false"/>
    <row r="355" customFormat="false" ht="9.75" hidden="false" customHeight="true" outlineLevel="0" collapsed="false"/>
    <row r="356" customFormat="false" ht="9.75" hidden="false" customHeight="true" outlineLevel="0" collapsed="false"/>
    <row r="357" customFormat="false" ht="9.75" hidden="false" customHeight="true" outlineLevel="0" collapsed="false"/>
    <row r="358" customFormat="false" ht="9.75" hidden="false" customHeight="true" outlineLevel="0" collapsed="false"/>
    <row r="361" customFormat="false" ht="9.75" hidden="false" customHeight="true" outlineLevel="0" collapsed="false"/>
    <row r="364" customFormat="false" ht="9.75" hidden="false" customHeight="true" outlineLevel="0" collapsed="false"/>
    <row r="365" customFormat="false" ht="9.75" hidden="false" customHeight="true" outlineLevel="0" collapsed="false"/>
    <row r="366" customFormat="false" ht="9.75" hidden="false" customHeight="true" outlineLevel="0" collapsed="false"/>
    <row r="372" customFormat="false" ht="9.75" hidden="false" customHeight="true" outlineLevel="0" collapsed="false"/>
    <row r="379" customFormat="false" ht="9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1" sqref="29:29 A2"/>
    </sheetView>
  </sheetViews>
  <sheetFormatPr defaultColWidth="6.72265625" defaultRowHeight="12" zeroHeight="false" outlineLevelRow="0" outlineLevelCol="0"/>
  <cols>
    <col collapsed="false" customWidth="true" hidden="false" outlineLevel="0" max="1" min="1" style="307" width="9.42"/>
    <col collapsed="false" customWidth="true" hidden="false" outlineLevel="0" max="2" min="2" style="308" width="7"/>
    <col collapsed="false" customWidth="true" hidden="false" outlineLevel="0" max="3" min="3" style="309" width="10"/>
    <col collapsed="false" customWidth="true" hidden="false" outlineLevel="0" max="4" min="4" style="308" width="3.42"/>
    <col collapsed="false" customWidth="true" hidden="false" outlineLevel="0" max="5" min="5" style="308" width="12.71"/>
    <col collapsed="false" customWidth="true" hidden="false" outlineLevel="0" max="6" min="6" style="310" width="15.29"/>
    <col collapsed="false" customWidth="true" hidden="false" outlineLevel="0" max="7" min="7" style="310" width="1.42"/>
    <col collapsed="false" customWidth="true" hidden="false" outlineLevel="0" max="8" min="8" style="311" width="26.29"/>
    <col collapsed="false" customWidth="true" hidden="false" outlineLevel="0" max="9" min="9" style="312" width="1.29"/>
    <col collapsed="false" customWidth="true" hidden="false" outlineLevel="0" max="10" min="10" style="308" width="1.29"/>
    <col collapsed="false" customWidth="false" hidden="false" outlineLevel="0" max="1024" min="11" style="308" width="6.71"/>
  </cols>
  <sheetData>
    <row r="1" customFormat="false" ht="21" hidden="false" customHeight="true" outlineLevel="0" collapsed="false">
      <c r="A1" s="313" t="n">
        <v>45135</v>
      </c>
      <c r="B1" s="308" t="s">
        <v>0</v>
      </c>
      <c r="C1" s="314" t="s">
        <v>281</v>
      </c>
      <c r="D1" s="314"/>
    </row>
    <row r="2" customFormat="false" ht="13.7" hidden="false" customHeight="true" outlineLevel="0" collapsed="false">
      <c r="A2" s="315"/>
      <c r="B2" s="314"/>
      <c r="C2" s="316"/>
      <c r="D2" s="317"/>
    </row>
    <row r="3" s="319" customFormat="true" ht="12" hidden="false" customHeight="false" outlineLevel="0" collapsed="false">
      <c r="A3" s="318"/>
      <c r="C3" s="318"/>
      <c r="E3" s="319" t="s">
        <v>282</v>
      </c>
      <c r="H3" s="320" t="s">
        <v>283</v>
      </c>
      <c r="I3" s="321"/>
    </row>
    <row r="4" s="319" customFormat="true" ht="12" hidden="false" customHeight="true" outlineLevel="0" collapsed="false">
      <c r="C4" s="318"/>
      <c r="D4" s="318"/>
      <c r="E4" s="319" t="s">
        <v>284</v>
      </c>
      <c r="H4" s="311"/>
      <c r="I4" s="321"/>
    </row>
    <row r="7" customFormat="false" ht="14.25" hidden="false" customHeight="false" outlineLevel="0" collapsed="false">
      <c r="A7" s="322"/>
      <c r="B7" s="307"/>
      <c r="C7" s="323"/>
      <c r="E7" s="324" t="s">
        <v>285</v>
      </c>
      <c r="F7" s="324"/>
      <c r="H7" s="325"/>
      <c r="I7" s="308"/>
    </row>
    <row r="8" customFormat="false" ht="14.25" hidden="false" customHeight="false" outlineLevel="0" collapsed="false">
      <c r="A8" s="326"/>
      <c r="B8" s="324"/>
      <c r="C8" s="326"/>
    </row>
    <row r="12" customFormat="false" ht="12" hidden="false" customHeight="false" outlineLevel="0" collapsed="false">
      <c r="A12" s="323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1525</TotalTime>
  <Application>LibreOffice/7.0.4.2$Windows_X86_64 LibreOffice_project/dcf040e67528d9187c66b2379df5ea4407429775</Application>
  <AppVersion>15.0000</AppVersion>
  <Company>Registry Magic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2002-09-03T16:34:09Z</dcterms:created>
  <dc:creator>candy</dc:creator>
  <dc:description/>
  <dc:language>en-US</dc:language>
  <cp:lastModifiedBy/>
  <cp:lastPrinted>2023-06-06T23:24:09Z</cp:lastPrinted>
  <dcterms:modified xsi:type="dcterms:W3CDTF">2023-08-01T14:30:29Z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