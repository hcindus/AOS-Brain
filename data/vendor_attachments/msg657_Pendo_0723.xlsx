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JULY" sheetId="1" state="visible" r:id="rId2"/>
    <sheet name="UNPAID" sheetId="2" state="visible" r:id="rId3"/>
    <sheet name="BY ALPHA" sheetId="3" state="visible" r:id="rId4"/>
    <sheet name="BY SALES" sheetId="4" state="visible" r:id="rId5"/>
    <sheet name="AFTERHR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<sst xmlns="http://schemas.openxmlformats.org/spreadsheetml/2006/main" count="1911" uniqueCount="179">
  <si>
    <t xml:space="preserve"> </t>
  </si>
  <si>
    <t xml:space="preserve">ACCOUNT</t>
  </si>
  <si>
    <t xml:space="preserve">LOCATION</t>
  </si>
  <si>
    <t xml:space="preserve">INVOICE#</t>
  </si>
  <si>
    <t xml:space="preserve">INV DATE</t>
  </si>
  <si>
    <t xml:space="preserve">PRODUCT</t>
  </si>
  <si>
    <t xml:space="preserve">POST DATE</t>
  </si>
  <si>
    <t xml:space="preserve">DIST</t>
  </si>
  <si>
    <t xml:space="preserve">EQUIP SALE</t>
  </si>
  <si>
    <t xml:space="preserve">EQUIP RENT</t>
  </si>
  <si>
    <t xml:space="preserve">EQUIP INST</t>
  </si>
  <si>
    <t xml:space="preserve">RESID-UAL</t>
  </si>
  <si>
    <t xml:space="preserve">MERCH</t>
  </si>
  <si>
    <t xml:space="preserve">HELP DESK</t>
  </si>
  <si>
    <t xml:space="preserve">HW PLAN</t>
  </si>
  <si>
    <t xml:space="preserve">T&amp;M PARTS</t>
  </si>
  <si>
    <t xml:space="preserve">T&amp;M LABOR</t>
  </si>
  <si>
    <t xml:space="preserve">T&amp;M TRAV</t>
  </si>
  <si>
    <t xml:space="preserve">SUPP TX</t>
  </si>
  <si>
    <t xml:space="preserve">FRT</t>
  </si>
  <si>
    <t xml:space="preserve">TAX</t>
  </si>
  <si>
    <t xml:space="preserve">TOTAL</t>
  </si>
  <si>
    <t xml:space="preserve">ST</t>
  </si>
  <si>
    <t xml:space="preserve">BY</t>
  </si>
  <si>
    <t xml:space="preserve">PAID?</t>
  </si>
  <si>
    <t xml:space="preserve">** </t>
  </si>
  <si>
    <t xml:space="preserve">AH</t>
  </si>
  <si>
    <t xml:space="preserve">AGUACHILES EL TAMARINDO</t>
  </si>
  <si>
    <t xml:space="preserve">NCC TAB-1</t>
  </si>
  <si>
    <t xml:space="preserve">ALA</t>
  </si>
  <si>
    <t xml:space="preserve">DEL</t>
  </si>
  <si>
    <t xml:space="preserve">MN</t>
  </si>
  <si>
    <t xml:space="preserve">PD</t>
  </si>
  <si>
    <t xml:space="preserve">CC</t>
  </si>
  <si>
    <t xml:space="preserve">TONY'S CABLE CAR</t>
  </si>
  <si>
    <t xml:space="preserve">CD- SAM ECR</t>
  </si>
  <si>
    <t xml:space="preserve">SF</t>
  </si>
  <si>
    <t xml:space="preserve">U</t>
  </si>
  <si>
    <t xml:space="preserve">RA</t>
  </si>
  <si>
    <t xml:space="preserve">ALANA'S</t>
  </si>
  <si>
    <t xml:space="preserve">BURL</t>
  </si>
  <si>
    <t xml:space="preserve">SR</t>
  </si>
  <si>
    <t xml:space="preserve">PH</t>
  </si>
  <si>
    <t xml:space="preserve">DK</t>
  </si>
  <si>
    <t xml:space="preserve">CLYDE'S LIQ</t>
  </si>
  <si>
    <t xml:space="preserve">RF</t>
  </si>
  <si>
    <t xml:space="preserve">PANDA RESTAURANT GROUP</t>
  </si>
  <si>
    <t xml:space="preserve">KEYS-200</t>
  </si>
  <si>
    <t xml:space="preserve">LA</t>
  </si>
  <si>
    <t xml:space="preserve">DROP</t>
  </si>
  <si>
    <t xml:space="preserve">MS</t>
  </si>
  <si>
    <t xml:space="preserve">TILLS-100</t>
  </si>
  <si>
    <t xml:space="preserve">LA TOSCANA</t>
  </si>
  <si>
    <t xml:space="preserve">SUPPLIES</t>
  </si>
  <si>
    <t xml:space="preserve">UPS</t>
  </si>
  <si>
    <t xml:space="preserve">UNPAID OLD BILLS</t>
  </si>
  <si>
    <t xml:space="preserve">&gt;30</t>
  </si>
  <si>
    <t xml:space="preserve">&gt;60</t>
  </si>
  <si>
    <t xml:space="preserve">&gt;90</t>
  </si>
  <si>
    <t xml:space="preserve">SP</t>
  </si>
  <si>
    <t xml:space="preserve">DATE</t>
  </si>
  <si>
    <t xml:space="preserve">SCH</t>
  </si>
  <si>
    <t xml:space="preserve">EQ</t>
  </si>
  <si>
    <t xml:space="preserve">RENT</t>
  </si>
  <si>
    <t xml:space="preserve">INST</t>
  </si>
  <si>
    <t xml:space="preserve">SUBSC</t>
  </si>
  <si>
    <t xml:space="preserve">HD</t>
  </si>
  <si>
    <t xml:space="preserve">HW</t>
  </si>
  <si>
    <t xml:space="preserve">PART</t>
  </si>
  <si>
    <t xml:space="preserve">LAB</t>
  </si>
  <si>
    <t xml:space="preserve">TRAV</t>
  </si>
  <si>
    <t xml:space="preserve">SUP</t>
  </si>
  <si>
    <t xml:space="preserve">VILLAGE GRILL</t>
  </si>
  <si>
    <t xml:space="preserve">FED</t>
  </si>
  <si>
    <t xml:space="preserve">EL</t>
  </si>
  <si>
    <t xml:space="preserve">FARMSTEAD</t>
  </si>
  <si>
    <t xml:space="preserve">U SAVE BEER &amp; WINE</t>
  </si>
  <si>
    <t xml:space="preserve">THE FORGE PIZZA</t>
  </si>
  <si>
    <t xml:space="preserve">GR CHOCOLATE COLLECTION</t>
  </si>
  <si>
    <t xml:space="preserve">GRAZIE</t>
  </si>
  <si>
    <t xml:space="preserve">THE VILLAGE PIZZERIA</t>
  </si>
  <si>
    <t xml:space="preserve">ACRE RESTAURANT</t>
  </si>
  <si>
    <t xml:space="preserve">FATTORIA E MARE</t>
  </si>
  <si>
    <t xml:space="preserve">ISABEL'S VINTAGE CAFÉ</t>
  </si>
  <si>
    <t xml:space="preserve">TAQUERIA Y MARISCOS EL PONY</t>
  </si>
  <si>
    <t xml:space="preserve">PU</t>
  </si>
  <si>
    <t xml:space="preserve">JQ</t>
  </si>
  <si>
    <t xml:space="preserve">PEPITO'S </t>
  </si>
  <si>
    <t xml:space="preserve">CANYON CREST</t>
  </si>
  <si>
    <t xml:space="preserve">GRAZIE RESTAURANT</t>
  </si>
  <si>
    <t xml:space="preserve">KARTUNZ</t>
  </si>
  <si>
    <t xml:space="preserve">EL SOL FAMILY RESTAURANT</t>
  </si>
  <si>
    <t xml:space="preserve">CELIA'S</t>
  </si>
  <si>
    <t xml:space="preserve">SAN RAFAEL #5</t>
  </si>
  <si>
    <t xml:space="preserve">VINTNER'S GOLF CLUB</t>
  </si>
  <si>
    <t xml:space="preserve">5TH STREET STEAK HOUSE</t>
  </si>
  <si>
    <t xml:space="preserve">SEABOWL</t>
  </si>
  <si>
    <t xml:space="preserve">KIMONO</t>
  </si>
  <si>
    <t xml:space="preserve">PLEASANTON</t>
  </si>
  <si>
    <t xml:space="preserve">VESUVIO</t>
  </si>
  <si>
    <t xml:space="preserve">TERIYAKI MADNESS</t>
  </si>
  <si>
    <t xml:space="preserve">GREAT FALLS</t>
  </si>
  <si>
    <t xml:space="preserve">VINTAGE WINE MERCHANT</t>
  </si>
  <si>
    <t xml:space="preserve">SEABREEZE</t>
  </si>
  <si>
    <t xml:space="preserve">LAS GUITARRAS</t>
  </si>
  <si>
    <t xml:space="preserve">BARREL HOUSE TAVERN</t>
  </si>
  <si>
    <t xml:space="preserve">ROSE'S CAFÉ</t>
  </si>
  <si>
    <t xml:space="preserve">AH </t>
  </si>
  <si>
    <t xml:space="preserve">MOYLAN'S</t>
  </si>
  <si>
    <t xml:space="preserve">PUB REPUBIC</t>
  </si>
  <si>
    <t xml:space="preserve">A&amp;W</t>
  </si>
  <si>
    <t xml:space="preserve">MONTHLY</t>
  </si>
  <si>
    <t xml:space="preserve">THE FORGE HANDCRAFTED PIZZAS</t>
  </si>
  <si>
    <t xml:space="preserve">SAN RAFAEL JOE'S</t>
  </si>
  <si>
    <t xml:space="preserve">MALIBU FARMS</t>
  </si>
  <si>
    <t xml:space="preserve">RILEY'S BAR</t>
  </si>
  <si>
    <t xml:space="preserve">5TH STREET STEAKHOUSE</t>
  </si>
  <si>
    <t xml:space="preserve">THE CAPRICE</t>
  </si>
  <si>
    <t xml:space="preserve">BISTRO 45</t>
  </si>
  <si>
    <t xml:space="preserve">LG</t>
  </si>
  <si>
    <t xml:space="preserve">THE CHEESE PARLOR</t>
  </si>
  <si>
    <t xml:space="preserve">LBL CASSETE</t>
  </si>
  <si>
    <t xml:space="preserve">TOMATINA</t>
  </si>
  <si>
    <t xml:space="preserve">ROSEVILLE</t>
  </si>
  <si>
    <t xml:space="preserve">JOHN'S GRILL</t>
  </si>
  <si>
    <t xml:space="preserve">JS</t>
  </si>
  <si>
    <t xml:space="preserve">SUN'S MARKET</t>
  </si>
  <si>
    <t xml:space="preserve">CABLE</t>
  </si>
  <si>
    <t xml:space="preserve">BLUE &amp; GOLD FLEET</t>
  </si>
  <si>
    <t xml:space="preserve">XALISCO</t>
  </si>
  <si>
    <t xml:space="preserve">ROSENDO</t>
  </si>
  <si>
    <t xml:space="preserve">PEACOCK GAP</t>
  </si>
  <si>
    <t xml:space="preserve">MARIN RESOURCE RECOVERY</t>
  </si>
  <si>
    <t xml:space="preserve">MONTI'S ROTISSERIE &amp; BAR</t>
  </si>
  <si>
    <t xml:space="preserve">SABELLA &amp; LATORRE</t>
  </si>
  <si>
    <t xml:space="preserve">ARMANDO'S</t>
  </si>
  <si>
    <t xml:space="preserve">LIGHTHOUSE</t>
  </si>
  <si>
    <t xml:space="preserve">SAUS</t>
  </si>
  <si>
    <t xml:space="preserve">ANNETTE</t>
  </si>
  <si>
    <t xml:space="preserve">OCEANVIEW DINER</t>
  </si>
  <si>
    <t xml:space="preserve">THE SEA BY ALEXANDERS</t>
  </si>
  <si>
    <t xml:space="preserve">COTOGNA &amp; QUINCE</t>
  </si>
  <si>
    <t xml:space="preserve">BUNGALOW 44</t>
  </si>
  <si>
    <t xml:space="preserve">STARK'S STEAKHOUSE</t>
  </si>
  <si>
    <t xml:space="preserve">YANK SING</t>
  </si>
  <si>
    <t xml:space="preserve">RINCON</t>
  </si>
  <si>
    <t xml:space="preserve">KITCHEN DOOR</t>
  </si>
  <si>
    <t xml:space="preserve">PETITE LEFT BANK</t>
  </si>
  <si>
    <t xml:space="preserve">STEVENSON</t>
  </si>
  <si>
    <t xml:space="preserve">MOLTI AMICI</t>
  </si>
  <si>
    <t xml:space="preserve">PRECITA PARK CAFÉ</t>
  </si>
  <si>
    <t xml:space="preserve">LEFT BANK BRASSERIE</t>
  </si>
  <si>
    <t xml:space="preserve">GROSSMAN'S NOSHERY &amp; BAR</t>
  </si>
  <si>
    <t xml:space="preserve">ORACLE PARK</t>
  </si>
  <si>
    <t xml:space="preserve">FLOWERCRAFT</t>
  </si>
  <si>
    <t xml:space="preserve">UNION LANDING</t>
  </si>
  <si>
    <t xml:space="preserve">RIVER TIME RESTAURANT</t>
  </si>
  <si>
    <t xml:space="preserve">INSALATA'S</t>
  </si>
  <si>
    <t xml:space="preserve">McINNIS GOLF</t>
  </si>
  <si>
    <t xml:space="preserve">MOUNTAIN  MIKE'S</t>
  </si>
  <si>
    <t xml:space="preserve">VALLEJO #2</t>
  </si>
  <si>
    <t xml:space="preserve">COASTAL PACIFIC</t>
  </si>
  <si>
    <t xml:space="preserve">KELL'S IRISH RESTAURANT &amp; PUB</t>
  </si>
  <si>
    <t xml:space="preserve">C. DRAWER</t>
  </si>
  <si>
    <t xml:space="preserve">ROADSIDE BBQ</t>
  </si>
  <si>
    <t xml:space="preserve">S/R</t>
  </si>
  <si>
    <t xml:space="preserve">SANTA CLARA</t>
  </si>
  <si>
    <t xml:space="preserve">CALISTOGA INN</t>
  </si>
  <si>
    <t xml:space="preserve">SILBERMANN'S ICE CREAM</t>
  </si>
  <si>
    <t xml:space="preserve">THE COOLER</t>
  </si>
  <si>
    <t xml:space="preserve">BUCKEYE ROADHOUSE</t>
  </si>
  <si>
    <t xml:space="preserve">SPECIALTYS</t>
  </si>
  <si>
    <t xml:space="preserve">DD</t>
  </si>
  <si>
    <t xml:space="preserve">THE MORRIS</t>
  </si>
  <si>
    <t xml:space="preserve">AFTER HOURS PHONES</t>
  </si>
  <si>
    <t xml:space="preserve">PRIMARY</t>
  </si>
  <si>
    <t xml:space="preserve">VACATION REMINDER</t>
  </si>
  <si>
    <t xml:space="preserve">PHONE PERSON</t>
  </si>
  <si>
    <t xml:space="preserve">DOUG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</si>
</sst>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m/d;@"/>
    <numFmt numFmtId="166" formatCode="m/d"/>
    <numFmt numFmtId="167" formatCode="0"/>
    <numFmt numFmtId="168" formatCode="0.00"/>
    <numFmt numFmtId="169" formatCode="\$#,##0.00"/>
    <numFmt numFmtId="170" formatCode="d\-mmm"/>
    <numFmt numFmtId="171" formatCode="[$-409]d\-mmm;@"/>
    <numFmt numFmtId="172" formatCode="@"/>
    <numFmt numFmtId="173" formatCode="0.0%"/>
    <numFmt numFmtId="174" formatCode="0.000"/>
    <numFmt numFmtId="175" formatCode="m/d/yyyy"/>
  </numFmts>
  <fonts count="3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8"/>
      <color rgb="FFFF0000"/>
      <name val="Arial"/>
      <family val="2"/>
      <charset val="1"/>
    </font>
    <font>
      <sz val="8"/>
      <color rgb="FF000000"/>
      <name val="Arial"/>
      <family val="2"/>
      <charset val="1"/>
    </font>
    <font>
      <b val="true"/>
      <sz val="8"/>
      <name val="Arial"/>
      <family val="2"/>
      <charset val="1"/>
    </font>
    <font>
      <b val="true"/>
      <sz val="8"/>
      <name val="Comic Sans MS"/>
      <family val="4"/>
      <charset val="1"/>
    </font>
    <font>
      <b val="true"/>
      <sz val="14"/>
      <name val="바탕"/>
      <family val="1"/>
      <charset val="1"/>
    </font>
    <font>
      <b val="true"/>
      <sz val="8"/>
      <name val="바탕"/>
      <family val="1"/>
      <charset val="1"/>
    </font>
    <font>
      <b val="true"/>
      <sz val="9"/>
      <name val="Arial"/>
      <family val="2"/>
      <charset val="1"/>
    </font>
    <font>
      <b val="true"/>
      <sz val="8"/>
      <color rgb="FFFF000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9"/>
      <name val="Arial"/>
      <family val="2"/>
      <charset val="1"/>
    </font>
    <font>
      <b val="true"/>
      <sz val="9"/>
      <name val="Comic Sans MS"/>
      <family val="4"/>
      <charset val="1"/>
    </font>
    <font>
      <b val="true"/>
      <sz val="8"/>
      <color rgb="FFFF0000"/>
      <name val="Comic Sans MS"/>
      <family val="4"/>
      <charset val="1"/>
    </font>
    <font>
      <b val="true"/>
      <sz val="8"/>
      <color rgb="FF000000"/>
      <name val="Comic Sans MS"/>
      <family val="4"/>
      <charset val="1"/>
    </font>
    <font>
      <sz val="8"/>
      <name val="Comic Sans MS"/>
      <family val="4"/>
      <charset val="1"/>
    </font>
    <font>
      <b val="true"/>
      <sz val="10"/>
      <name val="Comic Sans MS"/>
      <family val="4"/>
      <charset val="1"/>
    </font>
    <font>
      <sz val="8"/>
      <color rgb="FFFF0000"/>
      <name val="Comic Sans MS"/>
      <family val="4"/>
      <charset val="1"/>
    </font>
    <font>
      <sz val="8"/>
      <color rgb="FF000000"/>
      <name val="Comic Sans MS"/>
      <family val="4"/>
      <charset val="1"/>
    </font>
    <font>
      <b val="true"/>
      <sz val="8"/>
      <color rgb="FF333399"/>
      <name val="Arial"/>
      <family val="2"/>
      <charset val="1"/>
    </font>
    <font>
      <b val="true"/>
      <sz val="8"/>
      <color rgb="FF99CCFF"/>
      <name val="Comic Sans MS"/>
      <family val="4"/>
      <charset val="1"/>
    </font>
    <font>
      <b val="true"/>
      <sz val="8"/>
      <color rgb="FFCCFFCC"/>
      <name val="Comic Sans MS"/>
      <family val="4"/>
      <charset val="1"/>
    </font>
    <font>
      <b val="true"/>
      <sz val="8"/>
      <color rgb="FFCCFFCC"/>
      <name val="Arial"/>
      <family val="2"/>
      <charset val="1"/>
    </font>
    <font>
      <b val="true"/>
      <sz val="10"/>
      <name val="바탕"/>
      <family val="1"/>
      <charset val="1"/>
    </font>
    <font>
      <sz val="10"/>
      <name val="바탕"/>
      <family val="1"/>
      <charset val="1"/>
    </font>
    <font>
      <sz val="8"/>
      <name val="바탕"/>
      <family val="1"/>
      <charset val="1"/>
    </font>
    <font>
      <sz val="9"/>
      <name val="바탕"/>
      <family val="1"/>
      <charset val="1"/>
    </font>
    <font>
      <b val="true"/>
      <sz val="12"/>
      <name val="바탕"/>
      <family val="1"/>
      <charset val="1"/>
    </font>
    <font>
      <b val="true"/>
      <sz val="9"/>
      <name val="바탕"/>
      <family val="1"/>
      <charset val="1"/>
    </font>
    <font>
      <sz val="12"/>
      <name val="바탕"/>
      <family val="1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99"/>
        <bgColor rgb="FFD7E4BD"/>
      </patternFill>
    </fill>
    <fill>
      <patternFill patternType="solid">
        <fgColor rgb="FFFFFFFF"/>
        <bgColor rgb="FFCCFFFF"/>
      </patternFill>
    </fill>
    <fill>
      <patternFill patternType="solid">
        <fgColor rgb="FF93CDDD"/>
        <bgColor rgb="FF99CCFF"/>
      </patternFill>
    </fill>
    <fill>
      <patternFill patternType="solid">
        <fgColor rgb="FFD7E4BD"/>
        <bgColor rgb="FFC3D69B"/>
      </patternFill>
    </fill>
    <fill>
      <patternFill patternType="solid">
        <fgColor rgb="FFFFCC99"/>
        <bgColor rgb="FFFAC090"/>
      </patternFill>
    </fill>
    <fill>
      <patternFill patternType="solid">
        <fgColor rgb="FFFCD5B5"/>
        <bgColor rgb="FFFFCC99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FF"/>
      </patternFill>
    </fill>
    <fill>
      <patternFill patternType="solid">
        <fgColor rgb="FFC3D69B"/>
        <bgColor rgb="FFD7E4BD"/>
      </patternFill>
    </fill>
    <fill>
      <patternFill patternType="solid">
        <fgColor rgb="FFFAC090"/>
        <bgColor rgb="FFFFCC99"/>
      </patternFill>
    </fill>
    <fill>
      <patternFill patternType="solid">
        <fgColor rgb="FFFF99CC"/>
        <bgColor rgb="FFFF8080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thin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9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7" fontId="13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1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8" fillId="4" borderId="1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8" fillId="4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5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8" fillId="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2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2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7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8" fillId="8" borderId="1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8" fillId="8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9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0" fillId="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1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3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2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1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1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12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1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1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1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1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1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1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12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1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1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12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9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9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9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4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9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9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9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9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9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1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1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12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1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1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1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12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12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1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1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9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9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9" borderId="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9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9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9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9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9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3CDDD"/>
      <rgbColor rgb="FF993366"/>
      <rgbColor rgb="FFFCD5B5"/>
      <rgbColor rgb="FFCCFFFF"/>
      <rgbColor rgb="FF660066"/>
      <rgbColor rgb="FFFF8080"/>
      <rgbColor rgb="FF0066CC"/>
      <rgbColor rgb="FFD7E4B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AC09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A23"/>
  <sheetViews>
    <sheetView showFormulas="false" showGridLines="true" showRowColHeaders="true" showZeros="true" rightToLeft="false" tabSelected="false" showOutlineSymbols="true" defaultGridColor="true" view="normal" topLeftCell="A1" colorId="64" zoomScale="134" zoomScaleNormal="134" zoomScalePageLayoutView="100" workbookViewId="0">
      <pane xSplit="0" ySplit="3" topLeftCell="A4" activePane="bottomLeft" state="frozen"/>
      <selection pane="topLeft" activeCell="A1" activeCellId="0" sqref="A1"/>
      <selection pane="bottomLeft" activeCell="A12" activeCellId="0" sqref="A12"/>
    </sheetView>
  </sheetViews>
  <sheetFormatPr defaultColWidth="9.15625" defaultRowHeight="9" zeroHeight="false" outlineLevelRow="0" outlineLevelCol="0"/>
  <cols>
    <col collapsed="false" customWidth="true" hidden="false" outlineLevel="0" max="1" min="1" style="1" width="5.57"/>
    <col collapsed="false" customWidth="true" hidden="false" outlineLevel="0" max="2" min="2" style="2" width="18.58"/>
    <col collapsed="false" customWidth="true" hidden="false" outlineLevel="0" max="3" min="3" style="3" width="12.29"/>
    <col collapsed="false" customWidth="true" hidden="false" outlineLevel="0" max="4" min="4" style="3" width="8.42"/>
    <col collapsed="false" customWidth="true" hidden="false" outlineLevel="0" max="5" min="5" style="4" width="5.01"/>
    <col collapsed="false" customWidth="true" hidden="false" outlineLevel="0" max="6" min="6" style="3" width="10.71"/>
    <col collapsed="false" customWidth="true" hidden="false" outlineLevel="0" max="7" min="7" style="5" width="5.28"/>
    <col collapsed="false" customWidth="true" hidden="false" outlineLevel="0" max="8" min="8" style="6" width="6.42"/>
    <col collapsed="false" customWidth="true" hidden="false" outlineLevel="0" max="9" min="9" style="7" width="7.29"/>
    <col collapsed="false" customWidth="true" hidden="false" outlineLevel="0" max="10" min="10" style="7" width="6.15"/>
    <col collapsed="false" customWidth="true" hidden="false" outlineLevel="0" max="11" min="11" style="7" width="8.14"/>
    <col collapsed="false" customWidth="true" hidden="false" outlineLevel="0" max="12" min="12" style="7" width="7"/>
    <col collapsed="false" customWidth="true" hidden="false" outlineLevel="0" max="13" min="13" style="7" width="7.57"/>
    <col collapsed="false" customWidth="true" hidden="false" outlineLevel="0" max="14" min="14" style="7" width="6.42"/>
    <col collapsed="false" customWidth="true" hidden="false" outlineLevel="0" max="15" min="15" style="7" width="5.57"/>
    <col collapsed="false" customWidth="true" hidden="false" outlineLevel="0" max="16" min="16" style="7" width="6.28"/>
    <col collapsed="false" customWidth="true" hidden="false" outlineLevel="0" max="17" min="17" style="7" width="6.42"/>
    <col collapsed="false" customWidth="true" hidden="false" outlineLevel="0" max="18" min="18" style="7" width="6.57"/>
    <col collapsed="false" customWidth="true" hidden="false" outlineLevel="0" max="19" min="19" style="7" width="7.71"/>
    <col collapsed="false" customWidth="true" hidden="false" outlineLevel="0" max="20" min="20" style="7" width="6.86"/>
    <col collapsed="false" customWidth="true" hidden="false" outlineLevel="0" max="21" min="21" style="8" width="7"/>
    <col collapsed="false" customWidth="true" hidden="false" outlineLevel="0" max="22" min="22" style="9" width="12.57"/>
    <col collapsed="false" customWidth="true" hidden="false" outlineLevel="0" max="23" min="23" style="2" width="3.99"/>
    <col collapsed="false" customWidth="true" hidden="false" outlineLevel="0" max="24" min="24" style="10" width="3.14"/>
    <col collapsed="false" customWidth="true" hidden="false" outlineLevel="0" max="25" min="25" style="10" width="4.14"/>
    <col collapsed="false" customWidth="true" hidden="false" outlineLevel="0" max="26" min="26" style="11" width="11.71"/>
    <col collapsed="false" customWidth="true" hidden="false" outlineLevel="0" max="27" min="27" style="12" width="8.29"/>
    <col collapsed="false" customWidth="false" hidden="false" outlineLevel="0" max="1024" min="28" style="2" width="9.14"/>
  </cols>
  <sheetData>
    <row r="1" s="22" customFormat="true" ht="19.9" hidden="false" customHeight="true" outlineLevel="0" collapsed="false">
      <c r="A1" s="13" t="n">
        <v>45110</v>
      </c>
      <c r="B1" s="13"/>
      <c r="C1" s="14" t="s">
        <v>0</v>
      </c>
      <c r="D1" s="15"/>
      <c r="E1" s="16"/>
      <c r="F1" s="17"/>
      <c r="G1" s="18"/>
      <c r="H1" s="19"/>
      <c r="I1" s="20"/>
      <c r="J1" s="21"/>
      <c r="K1" s="20"/>
      <c r="L1" s="20"/>
      <c r="M1" s="20"/>
      <c r="N1" s="20"/>
      <c r="P1" s="20"/>
      <c r="Q1" s="20"/>
      <c r="R1" s="20"/>
      <c r="S1" s="20"/>
      <c r="T1" s="20"/>
      <c r="U1" s="23"/>
      <c r="V1" s="24"/>
      <c r="W1" s="25"/>
      <c r="Z1" s="26"/>
      <c r="AA1" s="27"/>
    </row>
    <row r="2" s="10" customFormat="true" ht="31.5" hidden="false" customHeight="true" outlineLevel="0" collapsed="false">
      <c r="A2" s="28"/>
      <c r="B2" s="29" t="s">
        <v>1</v>
      </c>
      <c r="C2" s="30" t="s">
        <v>2</v>
      </c>
      <c r="D2" s="31" t="s">
        <v>3</v>
      </c>
      <c r="E2" s="32" t="s">
        <v>4</v>
      </c>
      <c r="F2" s="33" t="s">
        <v>5</v>
      </c>
      <c r="G2" s="34" t="s">
        <v>6</v>
      </c>
      <c r="H2" s="35" t="s">
        <v>7</v>
      </c>
      <c r="I2" s="36" t="s">
        <v>8</v>
      </c>
      <c r="J2" s="37" t="s">
        <v>9</v>
      </c>
      <c r="K2" s="38" t="s">
        <v>10</v>
      </c>
      <c r="L2" s="39" t="s">
        <v>11</v>
      </c>
      <c r="M2" s="40" t="s">
        <v>12</v>
      </c>
      <c r="N2" s="41" t="s">
        <v>13</v>
      </c>
      <c r="O2" s="42" t="s">
        <v>14</v>
      </c>
      <c r="P2" s="43" t="s">
        <v>15</v>
      </c>
      <c r="Q2" s="43" t="s">
        <v>16</v>
      </c>
      <c r="R2" s="43" t="s">
        <v>17</v>
      </c>
      <c r="S2" s="44" t="s">
        <v>18</v>
      </c>
      <c r="T2" s="45" t="s">
        <v>19</v>
      </c>
      <c r="U2" s="46" t="s">
        <v>20</v>
      </c>
      <c r="V2" s="47" t="s">
        <v>21</v>
      </c>
      <c r="W2" s="48" t="s">
        <v>22</v>
      </c>
      <c r="X2" s="49" t="s">
        <v>23</v>
      </c>
      <c r="Y2" s="49" t="s">
        <v>24</v>
      </c>
      <c r="Z2" s="50"/>
      <c r="AA2" s="51"/>
    </row>
    <row r="3" s="10" customFormat="true" ht="6.75" hidden="false" customHeight="true" outlineLevel="0" collapsed="false">
      <c r="A3" s="52"/>
      <c r="B3" s="53"/>
      <c r="C3" s="54"/>
      <c r="D3" s="55"/>
      <c r="E3" s="56"/>
      <c r="F3" s="57"/>
      <c r="G3" s="58"/>
      <c r="H3" s="59"/>
      <c r="I3" s="60"/>
      <c r="J3" s="61"/>
      <c r="K3" s="61"/>
      <c r="L3" s="61"/>
      <c r="M3" s="61"/>
      <c r="N3" s="60"/>
      <c r="O3" s="61"/>
      <c r="P3" s="60"/>
      <c r="Q3" s="62"/>
      <c r="R3" s="63"/>
      <c r="S3" s="60"/>
      <c r="T3" s="63"/>
      <c r="U3" s="64"/>
      <c r="V3" s="65"/>
      <c r="W3" s="66"/>
      <c r="X3" s="67"/>
      <c r="Y3" s="67"/>
      <c r="Z3" s="68"/>
      <c r="AA3" s="51"/>
    </row>
    <row r="4" customFormat="false" ht="15.75" hidden="false" customHeight="true" outlineLevel="0" collapsed="false">
      <c r="A4" s="69" t="s">
        <v>25</v>
      </c>
      <c r="B4" s="70"/>
      <c r="C4" s="71"/>
      <c r="D4" s="71"/>
      <c r="E4" s="72"/>
      <c r="F4" s="71"/>
      <c r="G4" s="73"/>
      <c r="H4" s="74"/>
      <c r="I4" s="75"/>
      <c r="J4" s="76"/>
      <c r="K4" s="75"/>
      <c r="L4" s="75"/>
      <c r="M4" s="75"/>
      <c r="N4" s="75"/>
      <c r="O4" s="76"/>
      <c r="P4" s="75"/>
      <c r="Q4" s="75"/>
      <c r="R4" s="75"/>
      <c r="S4" s="75"/>
      <c r="T4" s="75"/>
      <c r="U4" s="77"/>
      <c r="V4" s="78"/>
      <c r="W4" s="79"/>
      <c r="X4" s="70"/>
      <c r="Y4" s="80"/>
      <c r="Z4" s="81"/>
    </row>
    <row r="5" customFormat="false" ht="9" hidden="false" customHeight="true" outlineLevel="0" collapsed="false">
      <c r="A5" s="82"/>
      <c r="B5" s="83"/>
      <c r="C5" s="84"/>
      <c r="D5" s="85"/>
      <c r="E5" s="86"/>
      <c r="F5" s="87"/>
      <c r="G5" s="88"/>
      <c r="H5" s="89"/>
      <c r="I5" s="90"/>
      <c r="J5" s="91"/>
      <c r="K5" s="91"/>
      <c r="L5" s="91"/>
      <c r="M5" s="91"/>
      <c r="N5" s="90"/>
      <c r="O5" s="91"/>
      <c r="P5" s="90"/>
      <c r="Q5" s="92"/>
      <c r="R5" s="93"/>
      <c r="S5" s="90"/>
      <c r="T5" s="93"/>
      <c r="U5" s="94"/>
      <c r="V5" s="95"/>
      <c r="W5" s="96"/>
      <c r="X5" s="97"/>
      <c r="Y5" s="98"/>
      <c r="Z5" s="99"/>
    </row>
    <row r="6" s="10" customFormat="true" ht="14.1" hidden="false" customHeight="true" outlineLevel="0" collapsed="false">
      <c r="A6" s="100" t="s">
        <v>26</v>
      </c>
      <c r="B6" s="2" t="s">
        <v>27</v>
      </c>
      <c r="C6" s="3"/>
      <c r="D6" s="101" t="n">
        <v>5163104</v>
      </c>
      <c r="E6" s="102" t="n">
        <v>45062</v>
      </c>
      <c r="F6" s="103" t="s">
        <v>28</v>
      </c>
      <c r="G6" s="5" t="n">
        <v>45110</v>
      </c>
      <c r="H6" s="104" t="s">
        <v>29</v>
      </c>
      <c r="I6" s="105" t="n">
        <v>2320</v>
      </c>
      <c r="J6" s="106"/>
      <c r="K6" s="106" t="n">
        <v>405</v>
      </c>
      <c r="L6" s="106"/>
      <c r="M6" s="106"/>
      <c r="N6" s="105"/>
      <c r="O6" s="106"/>
      <c r="P6" s="105"/>
      <c r="Q6" s="7"/>
      <c r="R6" s="107"/>
      <c r="S6" s="105"/>
      <c r="T6" s="107"/>
      <c r="U6" s="108" t="n">
        <v>237.8</v>
      </c>
      <c r="V6" s="95" t="n">
        <f aca="false">SUM(I6:U6)</f>
        <v>2962.8</v>
      </c>
      <c r="W6" s="109" t="s">
        <v>30</v>
      </c>
      <c r="X6" s="10" t="s">
        <v>31</v>
      </c>
      <c r="Y6" s="110" t="s">
        <v>32</v>
      </c>
      <c r="Z6" s="111" t="s">
        <v>33</v>
      </c>
      <c r="AA6" s="51"/>
    </row>
    <row r="7" s="10" customFormat="true" ht="14.1" hidden="false" customHeight="true" outlineLevel="0" collapsed="false">
      <c r="A7" s="100" t="s">
        <v>26</v>
      </c>
      <c r="B7" s="2" t="s">
        <v>34</v>
      </c>
      <c r="C7" s="3"/>
      <c r="D7" s="101" t="n">
        <v>6143105</v>
      </c>
      <c r="E7" s="102" t="n">
        <v>45091</v>
      </c>
      <c r="F7" s="103" t="s">
        <v>35</v>
      </c>
      <c r="G7" s="5" t="n">
        <v>45110</v>
      </c>
      <c r="H7" s="104" t="s">
        <v>36</v>
      </c>
      <c r="I7" s="105"/>
      <c r="J7" s="106"/>
      <c r="K7" s="106"/>
      <c r="L7" s="106"/>
      <c r="M7" s="106"/>
      <c r="N7" s="105"/>
      <c r="O7" s="106"/>
      <c r="P7" s="105" t="n">
        <v>150</v>
      </c>
      <c r="Q7" s="7"/>
      <c r="R7" s="107" t="n">
        <v>102.5</v>
      </c>
      <c r="S7" s="105"/>
      <c r="T7" s="107"/>
      <c r="U7" s="108" t="n">
        <v>12.94</v>
      </c>
      <c r="V7" s="95" t="n">
        <f aca="false">SUM(I7:U7)</f>
        <v>265.44</v>
      </c>
      <c r="W7" s="109" t="s">
        <v>30</v>
      </c>
      <c r="X7" s="10" t="s">
        <v>31</v>
      </c>
      <c r="Y7" s="110" t="s">
        <v>37</v>
      </c>
      <c r="Z7" s="111"/>
      <c r="AA7" s="51"/>
    </row>
    <row r="8" s="10" customFormat="true" ht="14.1" hidden="false" customHeight="true" outlineLevel="0" collapsed="false">
      <c r="A8" s="100" t="s">
        <v>38</v>
      </c>
      <c r="B8" s="2" t="s">
        <v>39</v>
      </c>
      <c r="C8" s="3" t="s">
        <v>40</v>
      </c>
      <c r="D8" s="101" t="n">
        <v>7013051</v>
      </c>
      <c r="E8" s="102" t="n">
        <v>45108</v>
      </c>
      <c r="F8" s="103" t="s">
        <v>13</v>
      </c>
      <c r="G8" s="5" t="n">
        <v>45110</v>
      </c>
      <c r="H8" s="104" t="s">
        <v>41</v>
      </c>
      <c r="I8" s="105"/>
      <c r="J8" s="106"/>
      <c r="K8" s="106"/>
      <c r="L8" s="106"/>
      <c r="M8" s="106"/>
      <c r="N8" s="105" t="n">
        <v>49</v>
      </c>
      <c r="O8" s="106" t="n">
        <v>39</v>
      </c>
      <c r="P8" s="105"/>
      <c r="Q8" s="7"/>
      <c r="R8" s="107"/>
      <c r="S8" s="105"/>
      <c r="T8" s="107"/>
      <c r="U8" s="108"/>
      <c r="V8" s="95" t="n">
        <f aca="false">SUM(I8:U8)</f>
        <v>88</v>
      </c>
      <c r="W8" s="109" t="s">
        <v>42</v>
      </c>
      <c r="X8" s="10" t="s">
        <v>38</v>
      </c>
      <c r="Y8" s="110" t="s">
        <v>37</v>
      </c>
      <c r="Z8" s="111"/>
      <c r="AA8" s="51"/>
    </row>
    <row r="9" s="10" customFormat="true" ht="14.1" hidden="false" customHeight="true" outlineLevel="0" collapsed="false">
      <c r="A9" s="100" t="s">
        <v>43</v>
      </c>
      <c r="B9" s="2" t="s">
        <v>44</v>
      </c>
      <c r="C9" s="3"/>
      <c r="D9" s="101" t="n">
        <v>7013052</v>
      </c>
      <c r="E9" s="102" t="n">
        <v>45108</v>
      </c>
      <c r="F9" s="103" t="s">
        <v>13</v>
      </c>
      <c r="G9" s="5" t="n">
        <v>45110</v>
      </c>
      <c r="H9" s="104" t="s">
        <v>41</v>
      </c>
      <c r="I9" s="105"/>
      <c r="J9" s="106"/>
      <c r="K9" s="106"/>
      <c r="L9" s="106"/>
      <c r="M9" s="106"/>
      <c r="N9" s="105" t="n">
        <v>49</v>
      </c>
      <c r="O9" s="106"/>
      <c r="P9" s="105"/>
      <c r="Q9" s="7"/>
      <c r="R9" s="107"/>
      <c r="S9" s="105"/>
      <c r="T9" s="107"/>
      <c r="U9" s="108"/>
      <c r="V9" s="95" t="n">
        <f aca="false">SUM(I9:U9)</f>
        <v>49</v>
      </c>
      <c r="W9" s="109" t="s">
        <v>42</v>
      </c>
      <c r="X9" s="10" t="s">
        <v>43</v>
      </c>
      <c r="Y9" s="110" t="s">
        <v>37</v>
      </c>
      <c r="Z9" s="111"/>
      <c r="AA9" s="51"/>
    </row>
    <row r="10" s="10" customFormat="true" ht="14.1" hidden="false" customHeight="true" outlineLevel="0" collapsed="false">
      <c r="A10" s="100" t="s">
        <v>45</v>
      </c>
      <c r="B10" s="2" t="s">
        <v>46</v>
      </c>
      <c r="C10" s="3"/>
      <c r="D10" s="101" t="n">
        <v>7033064</v>
      </c>
      <c r="E10" s="102" t="n">
        <v>45110</v>
      </c>
      <c r="F10" s="103" t="s">
        <v>47</v>
      </c>
      <c r="G10" s="5" t="n">
        <v>45110</v>
      </c>
      <c r="H10" s="104" t="s">
        <v>48</v>
      </c>
      <c r="I10" s="105" t="n">
        <v>600</v>
      </c>
      <c r="J10" s="106"/>
      <c r="K10" s="106" t="n">
        <v>18</v>
      </c>
      <c r="L10" s="106"/>
      <c r="M10" s="106"/>
      <c r="N10" s="105"/>
      <c r="O10" s="106"/>
      <c r="P10" s="105"/>
      <c r="Q10" s="7"/>
      <c r="R10" s="107"/>
      <c r="S10" s="105"/>
      <c r="T10" s="107"/>
      <c r="U10" s="108" t="n">
        <v>57</v>
      </c>
      <c r="V10" s="95" t="n">
        <f aca="false">SUM(I10:U10)</f>
        <v>675</v>
      </c>
      <c r="W10" s="109" t="s">
        <v>49</v>
      </c>
      <c r="X10" s="10" t="s">
        <v>50</v>
      </c>
      <c r="Y10" s="110" t="s">
        <v>37</v>
      </c>
      <c r="Z10" s="111"/>
      <c r="AA10" s="51"/>
    </row>
    <row r="11" s="10" customFormat="true" ht="14.1" hidden="false" customHeight="true" outlineLevel="0" collapsed="false">
      <c r="A11" s="100" t="s">
        <v>45</v>
      </c>
      <c r="B11" s="2" t="s">
        <v>46</v>
      </c>
      <c r="C11" s="3"/>
      <c r="D11" s="101" t="n">
        <v>7033067</v>
      </c>
      <c r="E11" s="102" t="n">
        <v>13332</v>
      </c>
      <c r="F11" s="103" t="s">
        <v>51</v>
      </c>
      <c r="G11" s="5" t="n">
        <v>13332</v>
      </c>
      <c r="H11" s="104" t="s">
        <v>48</v>
      </c>
      <c r="I11" s="105" t="n">
        <v>3600</v>
      </c>
      <c r="J11" s="106"/>
      <c r="K11" s="106" t="n">
        <v>57</v>
      </c>
      <c r="L11" s="106"/>
      <c r="M11" s="106"/>
      <c r="N11" s="105"/>
      <c r="O11" s="106"/>
      <c r="P11" s="105"/>
      <c r="Q11" s="7"/>
      <c r="R11" s="107"/>
      <c r="S11" s="105"/>
      <c r="T11" s="107"/>
      <c r="U11" s="108" t="n">
        <v>342</v>
      </c>
      <c r="V11" s="95" t="n">
        <f aca="false">SUM(I11:U11)</f>
        <v>3999</v>
      </c>
      <c r="W11" s="109" t="s">
        <v>49</v>
      </c>
      <c r="X11" s="10" t="s">
        <v>50</v>
      </c>
      <c r="Y11" s="110" t="s">
        <v>37</v>
      </c>
      <c r="Z11" s="111"/>
      <c r="AA11" s="51"/>
    </row>
    <row r="12" s="10" customFormat="true" ht="14.1" hidden="false" customHeight="true" outlineLevel="0" collapsed="false">
      <c r="A12" s="100" t="s">
        <v>26</v>
      </c>
      <c r="B12" s="2" t="s">
        <v>52</v>
      </c>
      <c r="C12" s="3"/>
      <c r="D12" s="101" t="n">
        <v>7033101</v>
      </c>
      <c r="E12" s="102" t="n">
        <v>45110</v>
      </c>
      <c r="F12" s="103" t="s">
        <v>53</v>
      </c>
      <c r="G12" s="5" t="n">
        <v>45110</v>
      </c>
      <c r="H12" s="104" t="s">
        <v>41</v>
      </c>
      <c r="I12" s="105"/>
      <c r="J12" s="106"/>
      <c r="K12" s="106"/>
      <c r="L12" s="106"/>
      <c r="M12" s="106"/>
      <c r="N12" s="105"/>
      <c r="O12" s="106"/>
      <c r="P12" s="105"/>
      <c r="Q12" s="7"/>
      <c r="R12" s="107"/>
      <c r="S12" s="105" t="n">
        <v>104</v>
      </c>
      <c r="T12" s="107" t="n">
        <v>25</v>
      </c>
      <c r="U12" s="108" t="n">
        <v>9.62</v>
      </c>
      <c r="V12" s="95" t="n">
        <f aca="false">SUM(I12:U12)</f>
        <v>138.62</v>
      </c>
      <c r="W12" s="109" t="s">
        <v>54</v>
      </c>
      <c r="X12" s="10" t="s">
        <v>45</v>
      </c>
      <c r="Y12" s="110" t="s">
        <v>37</v>
      </c>
      <c r="Z12" s="111"/>
      <c r="AA12" s="51"/>
    </row>
    <row r="13" s="10" customFormat="true" ht="14.1" hidden="false" customHeight="true" outlineLevel="0" collapsed="false">
      <c r="A13" s="100"/>
      <c r="B13" s="2"/>
      <c r="C13" s="3"/>
      <c r="D13" s="101"/>
      <c r="E13" s="102"/>
      <c r="F13" s="103"/>
      <c r="G13" s="5"/>
      <c r="H13" s="104"/>
      <c r="I13" s="105"/>
      <c r="J13" s="106"/>
      <c r="K13" s="106"/>
      <c r="L13" s="106"/>
      <c r="M13" s="106"/>
      <c r="N13" s="105"/>
      <c r="O13" s="106"/>
      <c r="P13" s="105"/>
      <c r="Q13" s="7"/>
      <c r="R13" s="107"/>
      <c r="S13" s="105"/>
      <c r="T13" s="107"/>
      <c r="U13" s="108"/>
      <c r="V13" s="95" t="n">
        <f aca="false">SUM(I13:U13)</f>
        <v>0</v>
      </c>
      <c r="W13" s="109"/>
      <c r="Y13" s="110"/>
      <c r="Z13" s="111"/>
      <c r="AA13" s="51"/>
    </row>
    <row r="14" s="10" customFormat="true" ht="14.1" hidden="false" customHeight="true" outlineLevel="0" collapsed="false">
      <c r="A14" s="100"/>
      <c r="B14" s="2"/>
      <c r="C14" s="3"/>
      <c r="D14" s="101"/>
      <c r="E14" s="102"/>
      <c r="F14" s="103"/>
      <c r="G14" s="5"/>
      <c r="H14" s="104"/>
      <c r="I14" s="105"/>
      <c r="J14" s="106"/>
      <c r="K14" s="106"/>
      <c r="L14" s="106"/>
      <c r="M14" s="106"/>
      <c r="N14" s="105"/>
      <c r="O14" s="106"/>
      <c r="P14" s="105"/>
      <c r="Q14" s="7"/>
      <c r="R14" s="107"/>
      <c r="S14" s="105"/>
      <c r="T14" s="107"/>
      <c r="U14" s="108"/>
      <c r="V14" s="95" t="n">
        <f aca="false">SUM(I14:U14)</f>
        <v>0</v>
      </c>
      <c r="W14" s="109"/>
      <c r="Y14" s="110"/>
      <c r="Z14" s="111"/>
      <c r="AA14" s="51"/>
    </row>
    <row r="15" s="10" customFormat="true" ht="14.1" hidden="false" customHeight="true" outlineLevel="0" collapsed="false">
      <c r="A15" s="100"/>
      <c r="B15" s="2"/>
      <c r="C15" s="3"/>
      <c r="D15" s="101"/>
      <c r="E15" s="102"/>
      <c r="F15" s="103"/>
      <c r="G15" s="5"/>
      <c r="H15" s="104"/>
      <c r="I15" s="105"/>
      <c r="J15" s="106"/>
      <c r="K15" s="106"/>
      <c r="L15" s="106"/>
      <c r="M15" s="106"/>
      <c r="N15" s="105"/>
      <c r="O15" s="106"/>
      <c r="P15" s="105"/>
      <c r="Q15" s="7"/>
      <c r="R15" s="107"/>
      <c r="S15" s="105"/>
      <c r="T15" s="107"/>
      <c r="U15" s="108"/>
      <c r="V15" s="95" t="n">
        <f aca="false">SUM(I15:U15)</f>
        <v>0</v>
      </c>
      <c r="W15" s="109"/>
      <c r="Y15" s="110"/>
      <c r="Z15" s="111"/>
      <c r="AA15" s="51"/>
    </row>
    <row r="16" s="10" customFormat="true" ht="14.1" hidden="false" customHeight="true" outlineLevel="0" collapsed="false">
      <c r="A16" s="100"/>
      <c r="B16" s="2"/>
      <c r="C16" s="3"/>
      <c r="D16" s="101"/>
      <c r="E16" s="102"/>
      <c r="F16" s="103"/>
      <c r="G16" s="5"/>
      <c r="H16" s="104"/>
      <c r="I16" s="105"/>
      <c r="J16" s="106"/>
      <c r="K16" s="106"/>
      <c r="L16" s="106"/>
      <c r="M16" s="106"/>
      <c r="N16" s="105"/>
      <c r="O16" s="106"/>
      <c r="P16" s="105"/>
      <c r="Q16" s="7"/>
      <c r="R16" s="107"/>
      <c r="S16" s="105"/>
      <c r="T16" s="107"/>
      <c r="U16" s="108"/>
      <c r="V16" s="95" t="n">
        <f aca="false">SUM(I16:U16)</f>
        <v>0</v>
      </c>
      <c r="W16" s="109"/>
      <c r="Y16" s="110"/>
      <c r="Z16" s="111"/>
      <c r="AA16" s="51"/>
    </row>
    <row r="17" s="10" customFormat="true" ht="14.1" hidden="false" customHeight="true" outlineLevel="0" collapsed="false">
      <c r="A17" s="100"/>
      <c r="B17" s="2"/>
      <c r="C17" s="3"/>
      <c r="D17" s="101"/>
      <c r="E17" s="102"/>
      <c r="F17" s="103"/>
      <c r="G17" s="5"/>
      <c r="H17" s="104"/>
      <c r="I17" s="105"/>
      <c r="J17" s="106"/>
      <c r="K17" s="106"/>
      <c r="L17" s="106"/>
      <c r="M17" s="106"/>
      <c r="N17" s="105"/>
      <c r="O17" s="106"/>
      <c r="P17" s="105"/>
      <c r="Q17" s="7"/>
      <c r="R17" s="107"/>
      <c r="S17" s="105"/>
      <c r="T17" s="107"/>
      <c r="U17" s="108"/>
      <c r="V17" s="95" t="n">
        <f aca="false">SUM(I17:U17)</f>
        <v>0</v>
      </c>
      <c r="W17" s="109"/>
      <c r="Y17" s="110"/>
      <c r="Z17" s="111"/>
      <c r="AA17" s="51"/>
    </row>
    <row r="18" s="10" customFormat="true" ht="14.1" hidden="false" customHeight="true" outlineLevel="0" collapsed="false">
      <c r="A18" s="100"/>
      <c r="B18" s="2"/>
      <c r="C18" s="3"/>
      <c r="D18" s="101"/>
      <c r="E18" s="102"/>
      <c r="F18" s="103"/>
      <c r="G18" s="5"/>
      <c r="H18" s="104"/>
      <c r="I18" s="105"/>
      <c r="J18" s="106"/>
      <c r="K18" s="106"/>
      <c r="L18" s="106"/>
      <c r="M18" s="106"/>
      <c r="N18" s="105"/>
      <c r="O18" s="106"/>
      <c r="P18" s="105"/>
      <c r="Q18" s="7"/>
      <c r="R18" s="107"/>
      <c r="S18" s="105"/>
      <c r="T18" s="107"/>
      <c r="U18" s="108"/>
      <c r="V18" s="95" t="n">
        <f aca="false">SUM(I18:U18)</f>
        <v>0</v>
      </c>
      <c r="W18" s="109"/>
      <c r="Y18" s="110"/>
      <c r="Z18" s="111"/>
      <c r="AA18" s="51"/>
    </row>
    <row r="19" s="10" customFormat="true" ht="14.1" hidden="false" customHeight="true" outlineLevel="0" collapsed="false">
      <c r="A19" s="100"/>
      <c r="B19" s="2"/>
      <c r="C19" s="3"/>
      <c r="D19" s="101"/>
      <c r="E19" s="102"/>
      <c r="F19" s="103"/>
      <c r="G19" s="5"/>
      <c r="H19" s="104"/>
      <c r="I19" s="105"/>
      <c r="J19" s="106"/>
      <c r="K19" s="106"/>
      <c r="L19" s="106"/>
      <c r="M19" s="106"/>
      <c r="N19" s="105"/>
      <c r="O19" s="106"/>
      <c r="P19" s="105"/>
      <c r="Q19" s="7"/>
      <c r="R19" s="107"/>
      <c r="S19" s="105"/>
      <c r="T19" s="107"/>
      <c r="U19" s="108"/>
      <c r="V19" s="95"/>
      <c r="W19" s="109"/>
      <c r="Y19" s="110"/>
      <c r="Z19" s="111"/>
      <c r="AA19" s="51"/>
    </row>
    <row r="20" s="10" customFormat="true" ht="14.1" hidden="false" customHeight="true" outlineLevel="0" collapsed="false">
      <c r="A20" s="112"/>
      <c r="B20" s="113" t="s">
        <v>21</v>
      </c>
      <c r="C20" s="114"/>
      <c r="D20" s="115"/>
      <c r="E20" s="116"/>
      <c r="F20" s="114"/>
      <c r="G20" s="117"/>
      <c r="H20" s="118"/>
      <c r="I20" s="119" t="n">
        <f aca="false">SUM(I5:I19)</f>
        <v>6520</v>
      </c>
      <c r="J20" s="119" t="n">
        <f aca="false">SUM(J5:J19)</f>
        <v>0</v>
      </c>
      <c r="K20" s="119" t="n">
        <f aca="false">SUM(K5:K19)</f>
        <v>480</v>
      </c>
      <c r="L20" s="120" t="n">
        <f aca="false">SUM(L5:L19)</f>
        <v>0</v>
      </c>
      <c r="M20" s="121" t="n">
        <f aca="false">SUM(M5:M19)</f>
        <v>0</v>
      </c>
      <c r="N20" s="122" t="n">
        <f aca="false">SUM(N5:O19)</f>
        <v>137</v>
      </c>
      <c r="O20" s="122"/>
      <c r="P20" s="123" t="n">
        <f aca="false">SUM(P5:P19)</f>
        <v>150</v>
      </c>
      <c r="Q20" s="123" t="n">
        <f aca="false">SUM(Q5:Q19)</f>
        <v>0</v>
      </c>
      <c r="R20" s="123" t="n">
        <f aca="false">SUM(R5:R19)</f>
        <v>102.5</v>
      </c>
      <c r="S20" s="124" t="n">
        <f aca="false">SUM(S5:S19)</f>
        <v>104</v>
      </c>
      <c r="T20" s="124" t="n">
        <f aca="false">SUM(T5:T19)</f>
        <v>25</v>
      </c>
      <c r="U20" s="125" t="n">
        <f aca="false">SUM(U5:U19)</f>
        <v>659.36</v>
      </c>
      <c r="V20" s="126" t="n">
        <f aca="false">SUM(V5:V19)</f>
        <v>8177.86</v>
      </c>
      <c r="W20" s="127"/>
      <c r="X20" s="128"/>
      <c r="Y20" s="129"/>
      <c r="Z20" s="130"/>
      <c r="AA20" s="125" t="n">
        <f aca="false">SUM(AA5:AA19)</f>
        <v>0</v>
      </c>
    </row>
    <row r="21" s="8" customFormat="true" ht="12.75" hidden="false" customHeight="true" outlineLevel="0" collapsed="false">
      <c r="A21" s="1"/>
      <c r="C21" s="131"/>
      <c r="D21" s="131"/>
      <c r="F21" s="131"/>
      <c r="G21" s="132"/>
      <c r="H21" s="133"/>
      <c r="X21" s="9"/>
      <c r="Y21" s="9"/>
      <c r="Z21" s="134"/>
    </row>
    <row r="22" customFormat="false" ht="14.25" hidden="false" customHeight="true" outlineLevel="0" collapsed="false">
      <c r="S22" s="8"/>
    </row>
    <row r="23" customFormat="false" ht="9" hidden="false" customHeight="true" outlineLevel="0" collapsed="false">
      <c r="S23" s="8"/>
    </row>
  </sheetData>
  <mergeCells count="2">
    <mergeCell ref="A1:B1"/>
    <mergeCell ref="N20:O20"/>
  </mergeCells>
  <printOptions headings="false" gridLines="true" gridLinesSet="true" horizontalCentered="false" verticalCentered="false"/>
  <pageMargins left="0" right="0" top="0.5" bottom="0" header="0.25" footer="0.511805555555555"/>
  <pageSetup paperSize="1" scale="100" firstPageNumber="0" fitToWidth="1" fitToHeight="0" pageOrder="downThenOver" orientation="landscape" blackAndWhite="false" draft="false" cellComments="none" useFirstPageNumber="false" horizontalDpi="300" verticalDpi="300" copies="1"/>
  <headerFooter differentFirst="false" differentOddEven="false">
    <oddHeader>&amp;C&amp;"Arial,Bold"Page &amp;P of &amp;N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328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0" ySplit="2" topLeftCell="A3" activePane="bottomLeft" state="frozen"/>
      <selection pane="topLeft" activeCell="A1" activeCellId="0" sqref="A1"/>
      <selection pane="bottomLeft" activeCell="F94" activeCellId="0" sqref="F94"/>
    </sheetView>
  </sheetViews>
  <sheetFormatPr defaultColWidth="6.8671875" defaultRowHeight="9.75" zeroHeight="false" outlineLevelRow="0" outlineLevelCol="0"/>
  <cols>
    <col collapsed="false" customWidth="true" hidden="false" outlineLevel="0" max="1" min="1" style="2" width="4.43"/>
    <col collapsed="false" customWidth="true" hidden="false" outlineLevel="0" max="2" min="2" style="2" width="18.29"/>
    <col collapsed="false" customWidth="true" hidden="false" outlineLevel="0" max="3" min="3" style="2" width="10.85"/>
    <col collapsed="false" customWidth="true" hidden="false" outlineLevel="0" max="4" min="4" style="135" width="9.14"/>
    <col collapsed="false" customWidth="true" hidden="false" outlineLevel="0" max="5" min="5" style="4" width="5.01"/>
    <col collapsed="false" customWidth="true" hidden="false" outlineLevel="0" max="6" min="6" style="136" width="10.29"/>
    <col collapsed="false" customWidth="true" hidden="false" outlineLevel="0" max="7" min="7" style="137" width="5.57"/>
    <col collapsed="false" customWidth="true" hidden="false" outlineLevel="0" max="8" min="8" style="7" width="6.71"/>
    <col collapsed="false" customWidth="true" hidden="false" outlineLevel="0" max="9" min="9" style="7" width="5.14"/>
    <col collapsed="false" customWidth="true" hidden="false" outlineLevel="0" max="10" min="10" style="7" width="5.57"/>
    <col collapsed="false" customWidth="true" hidden="false" outlineLevel="0" max="11" min="11" style="7" width="5.14"/>
    <col collapsed="false" customWidth="true" hidden="false" outlineLevel="0" max="12" min="12" style="7" width="4.86"/>
    <col collapsed="false" customWidth="true" hidden="false" outlineLevel="0" max="13" min="13" style="7" width="6.15"/>
    <col collapsed="false" customWidth="true" hidden="false" outlineLevel="0" max="14" min="14" style="7" width="5.43"/>
    <col collapsed="false" customWidth="true" hidden="false" outlineLevel="0" max="15" min="15" style="7" width="6.28"/>
    <col collapsed="false" customWidth="true" hidden="false" outlineLevel="0" max="16" min="16" style="7" width="6.71"/>
    <col collapsed="false" customWidth="true" hidden="false" outlineLevel="0" max="17" min="17" style="8" width="5.7"/>
    <col collapsed="false" customWidth="true" hidden="false" outlineLevel="0" max="18" min="18" style="2" width="7"/>
    <col collapsed="false" customWidth="true" hidden="false" outlineLevel="0" max="19" min="19" style="10" width="7"/>
    <col collapsed="false" customWidth="true" hidden="false" outlineLevel="0" max="20" min="20" style="138" width="6.28"/>
    <col collapsed="false" customWidth="true" hidden="false" outlineLevel="0" max="21" min="21" style="139" width="9.14"/>
    <col collapsed="false" customWidth="true" hidden="false" outlineLevel="0" max="22" min="22" style="11" width="9"/>
    <col collapsed="false" customWidth="true" hidden="false" outlineLevel="0" max="23" min="23" style="10" width="6.71"/>
    <col collapsed="false" customWidth="true" hidden="false" outlineLevel="0" max="24" min="24" style="10" width="3.57"/>
    <col collapsed="false" customWidth="true" hidden="false" outlineLevel="0" max="25" min="25" style="3" width="7.57"/>
    <col collapsed="false" customWidth="true" hidden="false" outlineLevel="0" max="26" min="26" style="2" width="8.57"/>
    <col collapsed="false" customWidth="true" hidden="false" outlineLevel="0" max="27" min="27" style="2" width="7.42"/>
    <col collapsed="false" customWidth="false" hidden="false" outlineLevel="0" max="1024" min="28" style="2" width="6.86"/>
  </cols>
  <sheetData>
    <row r="1" customFormat="false" ht="18.75" hidden="false" customHeight="true" outlineLevel="0" collapsed="false">
      <c r="A1" s="140"/>
      <c r="B1" s="141" t="n">
        <v>45110</v>
      </c>
      <c r="C1" s="142"/>
      <c r="D1" s="143"/>
      <c r="E1" s="144" t="s">
        <v>55</v>
      </c>
      <c r="F1" s="145"/>
      <c r="G1" s="145"/>
      <c r="H1" s="146" t="s">
        <v>56</v>
      </c>
      <c r="I1" s="147"/>
      <c r="K1" s="148" t="s">
        <v>57</v>
      </c>
      <c r="L1" s="148"/>
      <c r="M1" s="149"/>
      <c r="N1" s="148"/>
      <c r="O1" s="150" t="s">
        <v>58</v>
      </c>
      <c r="P1" s="151"/>
      <c r="Q1" s="152"/>
      <c r="R1" s="153"/>
      <c r="S1" s="154"/>
      <c r="T1" s="155"/>
      <c r="U1" s="156"/>
      <c r="V1" s="157"/>
      <c r="W1" s="11"/>
      <c r="X1" s="11"/>
    </row>
    <row r="2" s="10" customFormat="true" ht="12.75" hidden="false" customHeight="true" outlineLevel="0" collapsed="false">
      <c r="A2" s="29" t="s">
        <v>59</v>
      </c>
      <c r="B2" s="158" t="s">
        <v>1</v>
      </c>
      <c r="C2" s="158"/>
      <c r="D2" s="159" t="s">
        <v>3</v>
      </c>
      <c r="E2" s="160" t="s">
        <v>60</v>
      </c>
      <c r="F2" s="161" t="s">
        <v>5</v>
      </c>
      <c r="G2" s="162" t="s">
        <v>61</v>
      </c>
      <c r="H2" s="163" t="s">
        <v>62</v>
      </c>
      <c r="I2" s="163" t="s">
        <v>63</v>
      </c>
      <c r="J2" s="163" t="s">
        <v>64</v>
      </c>
      <c r="K2" s="163" t="s">
        <v>65</v>
      </c>
      <c r="L2" s="128" t="s">
        <v>12</v>
      </c>
      <c r="M2" s="164" t="s">
        <v>66</v>
      </c>
      <c r="N2" s="128" t="s">
        <v>67</v>
      </c>
      <c r="O2" s="163" t="s">
        <v>68</v>
      </c>
      <c r="P2" s="163" t="s">
        <v>69</v>
      </c>
      <c r="Q2" s="128" t="s">
        <v>70</v>
      </c>
      <c r="R2" s="163" t="s">
        <v>71</v>
      </c>
      <c r="S2" s="163" t="s">
        <v>19</v>
      </c>
      <c r="T2" s="165" t="s">
        <v>20</v>
      </c>
      <c r="U2" s="158" t="s">
        <v>21</v>
      </c>
      <c r="V2" s="139"/>
      <c r="W2" s="166"/>
      <c r="X2" s="166"/>
      <c r="Y2" s="167"/>
      <c r="Z2" s="2"/>
    </row>
    <row r="3" customFormat="false" ht="4.5" hidden="false" customHeight="true" outlineLevel="0" collapsed="false">
      <c r="D3" s="2"/>
      <c r="F3" s="3"/>
      <c r="G3" s="5"/>
      <c r="I3" s="93"/>
      <c r="M3" s="107"/>
      <c r="Q3" s="7"/>
      <c r="R3" s="7"/>
      <c r="S3" s="7"/>
      <c r="T3" s="8"/>
      <c r="U3" s="9"/>
      <c r="V3" s="109"/>
      <c r="W3" s="168"/>
      <c r="X3" s="168"/>
      <c r="Y3" s="169"/>
      <c r="Z3" s="170"/>
    </row>
    <row r="4" s="10" customFormat="true" ht="14.1" hidden="false" customHeight="true" outlineLevel="0" collapsed="false">
      <c r="A4" s="171" t="s">
        <v>26</v>
      </c>
      <c r="B4" s="172" t="s">
        <v>72</v>
      </c>
      <c r="C4" s="173"/>
      <c r="D4" s="174" t="n">
        <v>12222102</v>
      </c>
      <c r="E4" s="175" t="n">
        <v>44917</v>
      </c>
      <c r="F4" s="176" t="s">
        <v>53</v>
      </c>
      <c r="G4" s="177" t="n">
        <v>44917</v>
      </c>
      <c r="H4" s="178"/>
      <c r="I4" s="179"/>
      <c r="J4" s="179"/>
      <c r="K4" s="179"/>
      <c r="L4" s="179"/>
      <c r="M4" s="178"/>
      <c r="N4" s="179"/>
      <c r="O4" s="178"/>
      <c r="P4" s="180"/>
      <c r="Q4" s="181"/>
      <c r="R4" s="178" t="n">
        <v>323</v>
      </c>
      <c r="S4" s="181" t="n">
        <v>70</v>
      </c>
      <c r="T4" s="182" t="n">
        <v>30.28</v>
      </c>
      <c r="U4" s="183" t="n">
        <f aca="false">SUM(H4:T4)</f>
        <v>423.28</v>
      </c>
      <c r="V4" s="184" t="s">
        <v>73</v>
      </c>
      <c r="W4" s="185" t="s">
        <v>74</v>
      </c>
      <c r="X4" s="110" t="s">
        <v>37</v>
      </c>
      <c r="Y4" s="186"/>
      <c r="Z4" s="51"/>
    </row>
    <row r="5" s="10" customFormat="true" ht="14.1" hidden="false" customHeight="true" outlineLevel="0" collapsed="false">
      <c r="A5" s="187" t="s">
        <v>26</v>
      </c>
      <c r="B5" s="172" t="s">
        <v>75</v>
      </c>
      <c r="C5" s="173"/>
      <c r="D5" s="174" t="n">
        <v>3133101</v>
      </c>
      <c r="E5" s="175" t="n">
        <v>44998</v>
      </c>
      <c r="F5" s="176" t="s">
        <v>53</v>
      </c>
      <c r="G5" s="177" t="n">
        <v>44998</v>
      </c>
      <c r="H5" s="178"/>
      <c r="I5" s="179"/>
      <c r="J5" s="179"/>
      <c r="K5" s="179"/>
      <c r="L5" s="179"/>
      <c r="M5" s="178"/>
      <c r="N5" s="179"/>
      <c r="O5" s="178"/>
      <c r="P5" s="180"/>
      <c r="Q5" s="181"/>
      <c r="R5" s="178" t="n">
        <v>298</v>
      </c>
      <c r="S5" s="181" t="n">
        <v>62.5</v>
      </c>
      <c r="T5" s="182" t="n">
        <v>24.59</v>
      </c>
      <c r="U5" s="183" t="n">
        <f aca="false">SUM(H5:T5)</f>
        <v>385.09</v>
      </c>
      <c r="V5" s="184" t="s">
        <v>54</v>
      </c>
      <c r="W5" s="185" t="s">
        <v>31</v>
      </c>
      <c r="X5" s="110" t="s">
        <v>37</v>
      </c>
      <c r="Y5" s="186"/>
      <c r="Z5" s="51"/>
    </row>
    <row r="6" s="10" customFormat="true" ht="14.1" hidden="false" customHeight="true" outlineLevel="0" collapsed="false">
      <c r="A6" s="187" t="s">
        <v>26</v>
      </c>
      <c r="B6" s="172" t="s">
        <v>76</v>
      </c>
      <c r="C6" s="173"/>
      <c r="D6" s="174" t="n">
        <v>3223101</v>
      </c>
      <c r="E6" s="175" t="n">
        <v>45007</v>
      </c>
      <c r="F6" s="176" t="s">
        <v>53</v>
      </c>
      <c r="G6" s="177" t="n">
        <v>45007</v>
      </c>
      <c r="H6" s="178"/>
      <c r="I6" s="179"/>
      <c r="J6" s="179"/>
      <c r="K6" s="179"/>
      <c r="L6" s="179"/>
      <c r="M6" s="178"/>
      <c r="N6" s="179"/>
      <c r="O6" s="178"/>
      <c r="P6" s="180"/>
      <c r="Q6" s="181"/>
      <c r="R6" s="178" t="n">
        <v>247</v>
      </c>
      <c r="S6" s="181" t="n">
        <v>62.5</v>
      </c>
      <c r="T6" s="182" t="n">
        <v>21</v>
      </c>
      <c r="U6" s="183" t="n">
        <f aca="false">SUM(H6:T6)</f>
        <v>330.5</v>
      </c>
      <c r="V6" s="184" t="s">
        <v>54</v>
      </c>
      <c r="W6" s="185" t="s">
        <v>74</v>
      </c>
      <c r="X6" s="110" t="s">
        <v>37</v>
      </c>
      <c r="Y6" s="186"/>
      <c r="Z6" s="51"/>
    </row>
    <row r="7" s="10" customFormat="true" ht="14.1" hidden="false" customHeight="true" outlineLevel="0" collapsed="false">
      <c r="A7" s="187" t="s">
        <v>26</v>
      </c>
      <c r="B7" s="172" t="s">
        <v>77</v>
      </c>
      <c r="C7" s="173"/>
      <c r="D7" s="174" t="n">
        <v>3023108</v>
      </c>
      <c r="E7" s="175" t="n">
        <v>44987</v>
      </c>
      <c r="F7" s="176" t="s">
        <v>53</v>
      </c>
      <c r="G7" s="177" t="n">
        <v>44987</v>
      </c>
      <c r="H7" s="178"/>
      <c r="I7" s="179"/>
      <c r="J7" s="179"/>
      <c r="K7" s="179"/>
      <c r="L7" s="179"/>
      <c r="M7" s="178"/>
      <c r="N7" s="179"/>
      <c r="O7" s="178"/>
      <c r="P7" s="180"/>
      <c r="Q7" s="181"/>
      <c r="R7" s="178" t="n">
        <v>213</v>
      </c>
      <c r="S7" s="181" t="n">
        <v>50</v>
      </c>
      <c r="T7" s="182" t="n">
        <v>21.83</v>
      </c>
      <c r="U7" s="183" t="n">
        <f aca="false">SUM(H7:T7)</f>
        <v>284.83</v>
      </c>
      <c r="V7" s="184" t="s">
        <v>73</v>
      </c>
      <c r="W7" s="185" t="s">
        <v>74</v>
      </c>
      <c r="X7" s="110" t="s">
        <v>37</v>
      </c>
      <c r="Y7" s="186"/>
      <c r="Z7" s="51"/>
    </row>
    <row r="8" s="10" customFormat="true" ht="14.1" hidden="false" customHeight="true" outlineLevel="0" collapsed="false">
      <c r="A8" s="187" t="s">
        <v>26</v>
      </c>
      <c r="B8" s="172" t="s">
        <v>78</v>
      </c>
      <c r="C8" s="173"/>
      <c r="D8" s="174" t="n">
        <v>3223103</v>
      </c>
      <c r="E8" s="175" t="n">
        <v>45007</v>
      </c>
      <c r="F8" s="176" t="s">
        <v>53</v>
      </c>
      <c r="G8" s="177" t="n">
        <v>45007</v>
      </c>
      <c r="H8" s="178"/>
      <c r="I8" s="179"/>
      <c r="J8" s="179"/>
      <c r="K8" s="179"/>
      <c r="L8" s="179"/>
      <c r="M8" s="178"/>
      <c r="N8" s="179"/>
      <c r="O8" s="178"/>
      <c r="P8" s="180"/>
      <c r="Q8" s="181"/>
      <c r="R8" s="178" t="n">
        <v>188</v>
      </c>
      <c r="S8" s="181" t="n">
        <v>50</v>
      </c>
      <c r="T8" s="182" t="n">
        <v>16.22</v>
      </c>
      <c r="U8" s="183" t="n">
        <f aca="false">SUM(H8:T8)</f>
        <v>254.22</v>
      </c>
      <c r="V8" s="184" t="s">
        <v>54</v>
      </c>
      <c r="W8" s="185" t="s">
        <v>74</v>
      </c>
      <c r="X8" s="110" t="s">
        <v>37</v>
      </c>
      <c r="Y8" s="186"/>
      <c r="Z8" s="51"/>
    </row>
    <row r="9" s="10" customFormat="true" ht="14.1" hidden="false" customHeight="true" outlineLevel="0" collapsed="false">
      <c r="A9" s="171" t="s">
        <v>26</v>
      </c>
      <c r="B9" s="172" t="s">
        <v>79</v>
      </c>
      <c r="C9" s="173"/>
      <c r="D9" s="174" t="n">
        <v>12272103</v>
      </c>
      <c r="E9" s="175" t="n">
        <v>44922</v>
      </c>
      <c r="F9" s="176" t="s">
        <v>53</v>
      </c>
      <c r="G9" s="177" t="n">
        <v>44922</v>
      </c>
      <c r="H9" s="178"/>
      <c r="I9" s="179"/>
      <c r="J9" s="179"/>
      <c r="K9" s="179"/>
      <c r="L9" s="179"/>
      <c r="M9" s="178"/>
      <c r="N9" s="179"/>
      <c r="O9" s="178"/>
      <c r="P9" s="180"/>
      <c r="Q9" s="181"/>
      <c r="R9" s="178" t="n">
        <v>149</v>
      </c>
      <c r="S9" s="181" t="n">
        <v>30</v>
      </c>
      <c r="T9" s="182" t="n">
        <v>12.67</v>
      </c>
      <c r="U9" s="183" t="n">
        <f aca="false">SUM(H9:T9)</f>
        <v>191.67</v>
      </c>
      <c r="V9" s="184" t="s">
        <v>73</v>
      </c>
      <c r="W9" s="185" t="s">
        <v>74</v>
      </c>
      <c r="X9" s="110" t="s">
        <v>37</v>
      </c>
      <c r="Y9" s="186"/>
      <c r="Z9" s="51"/>
    </row>
    <row r="10" s="10" customFormat="true" ht="14.1" hidden="false" customHeight="true" outlineLevel="0" collapsed="false">
      <c r="A10" s="188" t="s">
        <v>26</v>
      </c>
      <c r="B10" s="189" t="s">
        <v>80</v>
      </c>
      <c r="C10" s="190"/>
      <c r="D10" s="191" t="n">
        <v>2273108</v>
      </c>
      <c r="E10" s="192" t="n">
        <v>44984</v>
      </c>
      <c r="F10" s="193" t="s">
        <v>53</v>
      </c>
      <c r="G10" s="177" t="n">
        <v>44985</v>
      </c>
      <c r="H10" s="194"/>
      <c r="I10" s="195"/>
      <c r="J10" s="195"/>
      <c r="K10" s="195"/>
      <c r="L10" s="195"/>
      <c r="M10" s="194"/>
      <c r="N10" s="195"/>
      <c r="O10" s="194"/>
      <c r="P10" s="196"/>
      <c r="Q10" s="197"/>
      <c r="R10" s="194" t="n">
        <v>120</v>
      </c>
      <c r="S10" s="197" t="n">
        <v>25</v>
      </c>
      <c r="T10" s="198" t="n">
        <v>10.2</v>
      </c>
      <c r="U10" s="199" t="n">
        <f aca="false">SUM(H10:T10)</f>
        <v>155.2</v>
      </c>
      <c r="V10" s="200" t="s">
        <v>73</v>
      </c>
      <c r="W10" s="201" t="s">
        <v>74</v>
      </c>
      <c r="X10" s="202" t="s">
        <v>37</v>
      </c>
      <c r="Y10" s="186"/>
      <c r="Z10" s="51"/>
    </row>
    <row r="11" s="205" customFormat="true" ht="14.1" hidden="false" customHeight="true" outlineLevel="0" collapsed="false">
      <c r="A11" s="187" t="s">
        <v>26</v>
      </c>
      <c r="B11" s="172" t="s">
        <v>81</v>
      </c>
      <c r="C11" s="173"/>
      <c r="D11" s="174" t="n">
        <v>3303101</v>
      </c>
      <c r="E11" s="175" t="n">
        <v>45015</v>
      </c>
      <c r="F11" s="176" t="s">
        <v>53</v>
      </c>
      <c r="G11" s="177" t="n">
        <v>45015</v>
      </c>
      <c r="H11" s="178"/>
      <c r="I11" s="179"/>
      <c r="J11" s="179"/>
      <c r="K11" s="179"/>
      <c r="L11" s="179"/>
      <c r="M11" s="178"/>
      <c r="N11" s="179"/>
      <c r="O11" s="178"/>
      <c r="P11" s="180"/>
      <c r="Q11" s="181"/>
      <c r="R11" s="178" t="n">
        <v>110</v>
      </c>
      <c r="S11" s="181" t="n">
        <v>25</v>
      </c>
      <c r="T11" s="182" t="n">
        <v>11.28</v>
      </c>
      <c r="U11" s="183" t="n">
        <f aca="false">SUM(H11:T11)</f>
        <v>146.28</v>
      </c>
      <c r="V11" s="184" t="s">
        <v>54</v>
      </c>
      <c r="W11" s="185" t="s">
        <v>45</v>
      </c>
      <c r="X11" s="110" t="s">
        <v>37</v>
      </c>
      <c r="Y11" s="203"/>
      <c r="Z11" s="204"/>
    </row>
    <row r="12" s="10" customFormat="true" ht="14.1" hidden="false" customHeight="true" outlineLevel="0" collapsed="false">
      <c r="A12" s="171" t="s">
        <v>26</v>
      </c>
      <c r="B12" s="172" t="s">
        <v>82</v>
      </c>
      <c r="C12" s="173"/>
      <c r="D12" s="174" t="n">
        <v>2143103</v>
      </c>
      <c r="E12" s="175" t="n">
        <v>44971</v>
      </c>
      <c r="F12" s="176" t="s">
        <v>53</v>
      </c>
      <c r="G12" s="177" t="n">
        <v>44971</v>
      </c>
      <c r="H12" s="178"/>
      <c r="I12" s="179"/>
      <c r="J12" s="179"/>
      <c r="K12" s="179"/>
      <c r="L12" s="179"/>
      <c r="M12" s="178"/>
      <c r="N12" s="179"/>
      <c r="O12" s="178"/>
      <c r="P12" s="180"/>
      <c r="Q12" s="181"/>
      <c r="R12" s="178" t="n">
        <v>90</v>
      </c>
      <c r="S12" s="181" t="n">
        <v>10</v>
      </c>
      <c r="T12" s="182" t="n">
        <v>8.44</v>
      </c>
      <c r="U12" s="183" t="n">
        <f aca="false">SUM(H12:T12)</f>
        <v>108.44</v>
      </c>
      <c r="V12" s="184" t="s">
        <v>73</v>
      </c>
      <c r="W12" s="185" t="s">
        <v>26</v>
      </c>
      <c r="X12" s="110" t="s">
        <v>37</v>
      </c>
      <c r="Y12" s="186"/>
      <c r="Z12" s="51"/>
    </row>
    <row r="13" s="10" customFormat="true" ht="14.1" hidden="false" customHeight="true" outlineLevel="0" collapsed="false">
      <c r="A13" s="171" t="s">
        <v>26</v>
      </c>
      <c r="B13" s="172" t="s">
        <v>83</v>
      </c>
      <c r="C13" s="173"/>
      <c r="D13" s="174" t="n">
        <v>1103101</v>
      </c>
      <c r="E13" s="175" t="n">
        <v>44936</v>
      </c>
      <c r="F13" s="176" t="s">
        <v>53</v>
      </c>
      <c r="G13" s="177" t="n">
        <v>44936</v>
      </c>
      <c r="H13" s="178"/>
      <c r="I13" s="179"/>
      <c r="J13" s="179"/>
      <c r="K13" s="179"/>
      <c r="L13" s="179"/>
      <c r="M13" s="178"/>
      <c r="N13" s="179"/>
      <c r="O13" s="178"/>
      <c r="P13" s="180"/>
      <c r="Q13" s="181"/>
      <c r="R13" s="178" t="n">
        <v>65</v>
      </c>
      <c r="S13" s="181" t="n">
        <v>10</v>
      </c>
      <c r="T13" s="182" t="n">
        <v>5.04</v>
      </c>
      <c r="U13" s="183" t="n">
        <f aca="false">SUM(H13:T13)</f>
        <v>80.04</v>
      </c>
      <c r="V13" s="184" t="s">
        <v>73</v>
      </c>
      <c r="W13" s="185" t="s">
        <v>74</v>
      </c>
      <c r="X13" s="110" t="s">
        <v>37</v>
      </c>
      <c r="Y13" s="186"/>
      <c r="Z13" s="51"/>
    </row>
    <row r="14" s="10" customFormat="true" ht="14.1" hidden="false" customHeight="true" outlineLevel="0" collapsed="false">
      <c r="A14" s="171" t="s">
        <v>45</v>
      </c>
      <c r="B14" s="172" t="s">
        <v>84</v>
      </c>
      <c r="C14" s="173"/>
      <c r="D14" s="174" t="n">
        <v>2072064</v>
      </c>
      <c r="E14" s="175" t="n">
        <v>44964</v>
      </c>
      <c r="F14" s="176" t="s">
        <v>53</v>
      </c>
      <c r="G14" s="177" t="n">
        <v>44964</v>
      </c>
      <c r="H14" s="178"/>
      <c r="I14" s="179"/>
      <c r="J14" s="179"/>
      <c r="K14" s="179"/>
      <c r="L14" s="179"/>
      <c r="M14" s="178"/>
      <c r="N14" s="179"/>
      <c r="O14" s="178"/>
      <c r="P14" s="180"/>
      <c r="Q14" s="181"/>
      <c r="R14" s="178" t="n">
        <v>79</v>
      </c>
      <c r="S14" s="181"/>
      <c r="T14" s="182"/>
      <c r="U14" s="183" t="n">
        <f aca="false">SUM(H14:T14)</f>
        <v>79</v>
      </c>
      <c r="V14" s="184" t="s">
        <v>85</v>
      </c>
      <c r="W14" s="185" t="s">
        <v>86</v>
      </c>
      <c r="X14" s="110" t="s">
        <v>37</v>
      </c>
      <c r="Y14" s="186"/>
      <c r="Z14" s="51"/>
    </row>
    <row r="15" s="10" customFormat="true" ht="14.1" hidden="false" customHeight="true" outlineLevel="0" collapsed="false">
      <c r="A15" s="187" t="s">
        <v>26</v>
      </c>
      <c r="B15" s="172" t="s">
        <v>87</v>
      </c>
      <c r="C15" s="173" t="s">
        <v>88</v>
      </c>
      <c r="D15" s="174" t="n">
        <v>3213106</v>
      </c>
      <c r="E15" s="175" t="n">
        <v>45006</v>
      </c>
      <c r="F15" s="176" t="s">
        <v>53</v>
      </c>
      <c r="G15" s="177" t="n">
        <v>45006</v>
      </c>
      <c r="H15" s="178"/>
      <c r="I15" s="179"/>
      <c r="J15" s="179"/>
      <c r="K15" s="179"/>
      <c r="L15" s="179"/>
      <c r="M15" s="178"/>
      <c r="N15" s="179"/>
      <c r="O15" s="178"/>
      <c r="P15" s="180"/>
      <c r="Q15" s="181"/>
      <c r="R15" s="178" t="n">
        <v>45</v>
      </c>
      <c r="S15" s="181" t="n">
        <v>12.5</v>
      </c>
      <c r="T15" s="182" t="n">
        <v>3.94</v>
      </c>
      <c r="U15" s="183" t="n">
        <f aca="false">SUM(H15:T15)</f>
        <v>61.44</v>
      </c>
      <c r="V15" s="184" t="s">
        <v>54</v>
      </c>
      <c r="W15" s="185" t="s">
        <v>38</v>
      </c>
      <c r="X15" s="110" t="s">
        <v>37</v>
      </c>
      <c r="Y15" s="186"/>
      <c r="Z15" s="51"/>
    </row>
    <row r="16" s="10" customFormat="true" ht="14.1" hidden="false" customHeight="true" outlineLevel="0" collapsed="false">
      <c r="A16" s="187" t="s">
        <v>26</v>
      </c>
      <c r="B16" s="172" t="s">
        <v>87</v>
      </c>
      <c r="C16" s="173" t="s">
        <v>88</v>
      </c>
      <c r="D16" s="174" t="n">
        <v>3243105</v>
      </c>
      <c r="E16" s="175" t="n">
        <v>45009</v>
      </c>
      <c r="F16" s="176" t="s">
        <v>53</v>
      </c>
      <c r="G16" s="177" t="n">
        <v>45009</v>
      </c>
      <c r="H16" s="178"/>
      <c r="I16" s="179"/>
      <c r="J16" s="179"/>
      <c r="K16" s="179"/>
      <c r="L16" s="179"/>
      <c r="M16" s="178"/>
      <c r="N16" s="179"/>
      <c r="O16" s="178"/>
      <c r="P16" s="180"/>
      <c r="Q16" s="181"/>
      <c r="R16" s="178" t="n">
        <v>45</v>
      </c>
      <c r="S16" s="181" t="n">
        <v>12.5</v>
      </c>
      <c r="T16" s="182" t="n">
        <v>3.94</v>
      </c>
      <c r="U16" s="183" t="n">
        <f aca="false">SUM(H16:T16)</f>
        <v>61.44</v>
      </c>
      <c r="V16" s="184" t="s">
        <v>54</v>
      </c>
      <c r="W16" s="185" t="s">
        <v>74</v>
      </c>
      <c r="X16" s="110" t="s">
        <v>37</v>
      </c>
      <c r="Y16" s="186"/>
      <c r="Z16" s="51"/>
    </row>
    <row r="17" s="10" customFormat="true" ht="14.1" hidden="false" customHeight="true" outlineLevel="0" collapsed="false">
      <c r="A17" s="171" t="s">
        <v>26</v>
      </c>
      <c r="B17" s="172" t="s">
        <v>89</v>
      </c>
      <c r="C17" s="173"/>
      <c r="D17" s="174" t="n">
        <v>12282103</v>
      </c>
      <c r="E17" s="175" t="n">
        <v>44923</v>
      </c>
      <c r="F17" s="176" t="s">
        <v>53</v>
      </c>
      <c r="G17" s="177" t="n">
        <v>44923</v>
      </c>
      <c r="H17" s="178"/>
      <c r="I17" s="179"/>
      <c r="J17" s="179"/>
      <c r="K17" s="179"/>
      <c r="L17" s="179"/>
      <c r="M17" s="178"/>
      <c r="N17" s="179"/>
      <c r="O17" s="178"/>
      <c r="P17" s="180"/>
      <c r="Q17" s="181"/>
      <c r="R17" s="178" t="n">
        <v>45</v>
      </c>
      <c r="S17" s="181" t="n">
        <v>10</v>
      </c>
      <c r="T17" s="182" t="n">
        <v>3.83</v>
      </c>
      <c r="U17" s="183" t="n">
        <f aca="false">SUM(H17:T17)</f>
        <v>58.83</v>
      </c>
      <c r="V17" s="184" t="s">
        <v>73</v>
      </c>
      <c r="W17" s="185" t="s">
        <v>45</v>
      </c>
      <c r="X17" s="110" t="s">
        <v>37</v>
      </c>
      <c r="Y17" s="186"/>
      <c r="Z17" s="51"/>
    </row>
    <row r="18" s="10" customFormat="true" ht="14.1" hidden="false" customHeight="true" outlineLevel="0" collapsed="false">
      <c r="A18" s="187" t="s">
        <v>26</v>
      </c>
      <c r="B18" s="172" t="s">
        <v>90</v>
      </c>
      <c r="C18" s="173"/>
      <c r="D18" s="174" t="n">
        <v>3093104</v>
      </c>
      <c r="E18" s="175" t="n">
        <v>44994</v>
      </c>
      <c r="F18" s="176" t="s">
        <v>53</v>
      </c>
      <c r="G18" s="177" t="n">
        <v>44995</v>
      </c>
      <c r="H18" s="178"/>
      <c r="I18" s="179"/>
      <c r="J18" s="179"/>
      <c r="K18" s="179"/>
      <c r="L18" s="179"/>
      <c r="M18" s="178"/>
      <c r="N18" s="179"/>
      <c r="O18" s="178"/>
      <c r="P18" s="180"/>
      <c r="Q18" s="181"/>
      <c r="R18" s="178" t="n">
        <v>39</v>
      </c>
      <c r="S18" s="181" t="n">
        <v>12.5</v>
      </c>
      <c r="T18" s="182" t="n">
        <v>4</v>
      </c>
      <c r="U18" s="183" t="n">
        <f aca="false">SUM(H18:T18)</f>
        <v>55.5</v>
      </c>
      <c r="V18" s="184" t="s">
        <v>54</v>
      </c>
      <c r="W18" s="185" t="s">
        <v>74</v>
      </c>
      <c r="X18" s="110" t="s">
        <v>37</v>
      </c>
      <c r="Y18" s="186"/>
      <c r="Z18" s="51"/>
    </row>
    <row r="19" s="10" customFormat="true" ht="14.1" hidden="false" customHeight="true" outlineLevel="0" collapsed="false">
      <c r="A19" s="171" t="s">
        <v>26</v>
      </c>
      <c r="B19" s="172" t="s">
        <v>91</v>
      </c>
      <c r="C19" s="173"/>
      <c r="D19" s="174" t="n">
        <v>1123104</v>
      </c>
      <c r="E19" s="175" t="n">
        <v>44938</v>
      </c>
      <c r="F19" s="176" t="s">
        <v>53</v>
      </c>
      <c r="G19" s="177" t="n">
        <v>44938</v>
      </c>
      <c r="H19" s="178"/>
      <c r="I19" s="179"/>
      <c r="J19" s="179"/>
      <c r="K19" s="179"/>
      <c r="L19" s="179"/>
      <c r="M19" s="178"/>
      <c r="N19" s="179"/>
      <c r="O19" s="178"/>
      <c r="P19" s="180"/>
      <c r="Q19" s="181"/>
      <c r="R19" s="178" t="n">
        <v>39</v>
      </c>
      <c r="S19" s="181" t="n">
        <v>10</v>
      </c>
      <c r="T19" s="182" t="n">
        <v>4</v>
      </c>
      <c r="U19" s="183" t="n">
        <f aca="false">SUM(H19:T19)</f>
        <v>53</v>
      </c>
      <c r="V19" s="184" t="s">
        <v>73</v>
      </c>
      <c r="W19" s="185" t="s">
        <v>74</v>
      </c>
      <c r="X19" s="110" t="s">
        <v>37</v>
      </c>
      <c r="Y19" s="186"/>
      <c r="Z19" s="51"/>
    </row>
    <row r="20" s="10" customFormat="true" ht="14.1" hidden="false" customHeight="true" outlineLevel="0" collapsed="false">
      <c r="A20" s="187" t="s">
        <v>26</v>
      </c>
      <c r="B20" s="172" t="s">
        <v>92</v>
      </c>
      <c r="C20" s="173" t="s">
        <v>93</v>
      </c>
      <c r="D20" s="174" t="n">
        <v>3313101</v>
      </c>
      <c r="E20" s="175" t="n">
        <v>45016</v>
      </c>
      <c r="F20" s="176" t="s">
        <v>53</v>
      </c>
      <c r="G20" s="177" t="n">
        <v>45016</v>
      </c>
      <c r="H20" s="178"/>
      <c r="I20" s="179"/>
      <c r="J20" s="179"/>
      <c r="K20" s="179"/>
      <c r="L20" s="179"/>
      <c r="M20" s="178"/>
      <c r="N20" s="179"/>
      <c r="O20" s="178"/>
      <c r="P20" s="180"/>
      <c r="Q20" s="181"/>
      <c r="R20" s="178" t="n">
        <v>-50</v>
      </c>
      <c r="S20" s="181"/>
      <c r="T20" s="182" t="n">
        <v>-4.63</v>
      </c>
      <c r="U20" s="183" t="n">
        <f aca="false">SUM(H20:T20)</f>
        <v>-54.63</v>
      </c>
      <c r="V20" s="184" t="s">
        <v>85</v>
      </c>
      <c r="W20" s="185" t="s">
        <v>26</v>
      </c>
      <c r="X20" s="110" t="s">
        <v>37</v>
      </c>
      <c r="Y20" s="186"/>
      <c r="Z20" s="51"/>
    </row>
    <row r="21" s="10" customFormat="true" ht="14.1" hidden="false" customHeight="true" outlineLevel="0" collapsed="false">
      <c r="A21" s="206"/>
      <c r="B21" s="207"/>
      <c r="C21" s="208"/>
      <c r="D21" s="208"/>
      <c r="E21" s="209"/>
      <c r="F21" s="210"/>
      <c r="G21" s="211"/>
      <c r="H21" s="212"/>
      <c r="I21" s="212"/>
      <c r="J21" s="213"/>
      <c r="K21" s="213"/>
      <c r="L21" s="213"/>
      <c r="M21" s="212"/>
      <c r="N21" s="212"/>
      <c r="O21" s="212"/>
      <c r="P21" s="127"/>
      <c r="Q21" s="214"/>
      <c r="R21" s="212"/>
      <c r="S21" s="214"/>
      <c r="T21" s="215"/>
      <c r="U21" s="216"/>
      <c r="V21" s="217"/>
      <c r="W21" s="29"/>
      <c r="X21" s="29"/>
      <c r="Y21" s="218" t="n">
        <f aca="false">SUM(U4:U20)</f>
        <v>2674.13</v>
      </c>
      <c r="Z21" s="219" t="n">
        <f aca="false">Y21/V104</f>
        <v>0.0985965605705197</v>
      </c>
      <c r="AA21" s="51"/>
    </row>
    <row r="22" s="10" customFormat="true" ht="13.15" hidden="false" customHeight="true" outlineLevel="0" collapsed="false">
      <c r="A22" s="220" t="s">
        <v>26</v>
      </c>
      <c r="B22" s="221" t="s">
        <v>94</v>
      </c>
      <c r="C22" s="222"/>
      <c r="D22" s="223" t="n">
        <v>4173104</v>
      </c>
      <c r="E22" s="224" t="n">
        <v>45033</v>
      </c>
      <c r="F22" s="225" t="s">
        <v>53</v>
      </c>
      <c r="G22" s="226" t="n">
        <v>45033</v>
      </c>
      <c r="H22" s="227"/>
      <c r="I22" s="228"/>
      <c r="J22" s="228"/>
      <c r="K22" s="228"/>
      <c r="L22" s="228"/>
      <c r="M22" s="227"/>
      <c r="N22" s="228"/>
      <c r="O22" s="227"/>
      <c r="P22" s="229"/>
      <c r="Q22" s="230"/>
      <c r="R22" s="227" t="n">
        <v>435</v>
      </c>
      <c r="S22" s="230" t="n">
        <v>87.5</v>
      </c>
      <c r="T22" s="231" t="n">
        <v>33.71</v>
      </c>
      <c r="U22" s="232" t="n">
        <f aca="false">SUM(H22:T22)</f>
        <v>556.21</v>
      </c>
      <c r="V22" s="233" t="s">
        <v>54</v>
      </c>
      <c r="W22" s="234" t="s">
        <v>74</v>
      </c>
      <c r="X22" s="110" t="s">
        <v>37</v>
      </c>
      <c r="Y22" s="186"/>
      <c r="Z22" s="51"/>
    </row>
    <row r="23" s="10" customFormat="true" ht="13.15" hidden="false" customHeight="true" outlineLevel="0" collapsed="false">
      <c r="A23" s="220" t="s">
        <v>26</v>
      </c>
      <c r="B23" s="221" t="s">
        <v>75</v>
      </c>
      <c r="C23" s="222"/>
      <c r="D23" s="223" t="n">
        <v>4103101</v>
      </c>
      <c r="E23" s="224" t="n">
        <v>45026</v>
      </c>
      <c r="F23" s="225" t="s">
        <v>53</v>
      </c>
      <c r="G23" s="226" t="n">
        <v>45026</v>
      </c>
      <c r="H23" s="227"/>
      <c r="I23" s="228"/>
      <c r="J23" s="228"/>
      <c r="K23" s="228"/>
      <c r="L23" s="228"/>
      <c r="M23" s="227"/>
      <c r="N23" s="228"/>
      <c r="O23" s="227"/>
      <c r="P23" s="229"/>
      <c r="Q23" s="230"/>
      <c r="R23" s="227" t="n">
        <v>415</v>
      </c>
      <c r="S23" s="230" t="n">
        <v>62.5</v>
      </c>
      <c r="T23" s="231" t="n">
        <v>34.24</v>
      </c>
      <c r="U23" s="232" t="n">
        <f aca="false">SUM(H23:T23)</f>
        <v>511.74</v>
      </c>
      <c r="V23" s="233" t="s">
        <v>54</v>
      </c>
      <c r="W23" s="234" t="s">
        <v>74</v>
      </c>
      <c r="X23" s="110" t="s">
        <v>37</v>
      </c>
      <c r="Y23" s="186"/>
      <c r="Z23" s="51"/>
    </row>
    <row r="24" s="10" customFormat="true" ht="13.15" hidden="false" customHeight="true" outlineLevel="0" collapsed="false">
      <c r="A24" s="220" t="s">
        <v>26</v>
      </c>
      <c r="B24" s="221" t="s">
        <v>95</v>
      </c>
      <c r="C24" s="222"/>
      <c r="D24" s="223" t="n">
        <v>4243107</v>
      </c>
      <c r="E24" s="224" t="n">
        <v>45040</v>
      </c>
      <c r="F24" s="225" t="s">
        <v>53</v>
      </c>
      <c r="G24" s="226" t="n">
        <v>45041</v>
      </c>
      <c r="H24" s="227"/>
      <c r="I24" s="228"/>
      <c r="J24" s="228"/>
      <c r="K24" s="228"/>
      <c r="L24" s="228"/>
      <c r="M24" s="227"/>
      <c r="N24" s="228"/>
      <c r="O24" s="227"/>
      <c r="P24" s="229"/>
      <c r="Q24" s="230"/>
      <c r="R24" s="227" t="n">
        <v>317</v>
      </c>
      <c r="S24" s="230" t="n">
        <v>62.5</v>
      </c>
      <c r="T24" s="231" t="n">
        <v>26.15</v>
      </c>
      <c r="U24" s="232" t="n">
        <f aca="false">SUM(H24:T24)</f>
        <v>405.65</v>
      </c>
      <c r="V24" s="233" t="s">
        <v>54</v>
      </c>
      <c r="W24" s="234" t="s">
        <v>74</v>
      </c>
      <c r="X24" s="110" t="s">
        <v>37</v>
      </c>
      <c r="Y24" s="186"/>
      <c r="Z24" s="51"/>
    </row>
    <row r="25" s="10" customFormat="true" ht="13.15" hidden="false" customHeight="true" outlineLevel="0" collapsed="false">
      <c r="A25" s="220" t="s">
        <v>26</v>
      </c>
      <c r="B25" s="221" t="s">
        <v>96</v>
      </c>
      <c r="C25" s="222"/>
      <c r="D25" s="223" t="n">
        <v>4173103</v>
      </c>
      <c r="E25" s="224" t="n">
        <v>45033</v>
      </c>
      <c r="F25" s="225" t="s">
        <v>53</v>
      </c>
      <c r="G25" s="226" t="n">
        <v>45033</v>
      </c>
      <c r="H25" s="227"/>
      <c r="I25" s="228"/>
      <c r="J25" s="228"/>
      <c r="K25" s="228"/>
      <c r="L25" s="228"/>
      <c r="M25" s="227"/>
      <c r="N25" s="228"/>
      <c r="O25" s="227"/>
      <c r="P25" s="229"/>
      <c r="Q25" s="230"/>
      <c r="R25" s="227" t="n">
        <v>195</v>
      </c>
      <c r="S25" s="230" t="n">
        <v>25</v>
      </c>
      <c r="T25" s="231" t="n">
        <v>18.28</v>
      </c>
      <c r="U25" s="232" t="n">
        <f aca="false">SUM(H25:T25)</f>
        <v>238.28</v>
      </c>
      <c r="V25" s="233" t="s">
        <v>54</v>
      </c>
      <c r="W25" s="234" t="s">
        <v>74</v>
      </c>
      <c r="X25" s="110" t="s">
        <v>37</v>
      </c>
      <c r="Y25" s="186"/>
      <c r="Z25" s="51"/>
    </row>
    <row r="26" s="10" customFormat="true" ht="14.1" hidden="false" customHeight="true" outlineLevel="0" collapsed="false">
      <c r="A26" s="220" t="s">
        <v>26</v>
      </c>
      <c r="B26" s="221" t="s">
        <v>97</v>
      </c>
      <c r="C26" s="222" t="s">
        <v>98</v>
      </c>
      <c r="D26" s="223" t="n">
        <v>4073101</v>
      </c>
      <c r="E26" s="224" t="n">
        <v>45023</v>
      </c>
      <c r="F26" s="225" t="s">
        <v>53</v>
      </c>
      <c r="G26" s="226" t="n">
        <v>45023</v>
      </c>
      <c r="H26" s="227"/>
      <c r="I26" s="228"/>
      <c r="J26" s="228"/>
      <c r="K26" s="228"/>
      <c r="L26" s="228"/>
      <c r="M26" s="227"/>
      <c r="N26" s="228"/>
      <c r="O26" s="227"/>
      <c r="P26" s="229"/>
      <c r="Q26" s="230"/>
      <c r="R26" s="227" t="n">
        <v>149</v>
      </c>
      <c r="S26" s="230" t="n">
        <v>37.5</v>
      </c>
      <c r="T26" s="231" t="n">
        <v>15.27</v>
      </c>
      <c r="U26" s="232" t="n">
        <f aca="false">SUM(H26:T26)</f>
        <v>201.77</v>
      </c>
      <c r="V26" s="233" t="s">
        <v>54</v>
      </c>
      <c r="W26" s="234" t="s">
        <v>74</v>
      </c>
      <c r="X26" s="110" t="s">
        <v>37</v>
      </c>
      <c r="Y26" s="186"/>
      <c r="Z26" s="51"/>
    </row>
    <row r="27" s="10" customFormat="true" ht="14.1" hidden="false" customHeight="true" outlineLevel="0" collapsed="false">
      <c r="A27" s="220" t="s">
        <v>45</v>
      </c>
      <c r="B27" s="221" t="s">
        <v>99</v>
      </c>
      <c r="C27" s="222"/>
      <c r="D27" s="223" t="n">
        <v>4143062</v>
      </c>
      <c r="E27" s="224" t="n">
        <v>45030</v>
      </c>
      <c r="F27" s="225" t="s">
        <v>53</v>
      </c>
      <c r="G27" s="226" t="n">
        <v>45030</v>
      </c>
      <c r="H27" s="227"/>
      <c r="I27" s="228"/>
      <c r="J27" s="228"/>
      <c r="K27" s="228"/>
      <c r="L27" s="228"/>
      <c r="M27" s="227"/>
      <c r="N27" s="228"/>
      <c r="O27" s="227"/>
      <c r="P27" s="229"/>
      <c r="Q27" s="230"/>
      <c r="R27" s="227" t="n">
        <v>130</v>
      </c>
      <c r="S27" s="230" t="n">
        <v>25</v>
      </c>
      <c r="T27" s="231" t="n">
        <v>11.21</v>
      </c>
      <c r="U27" s="232" t="n">
        <f aca="false">SUM(H27:T27)</f>
        <v>166.21</v>
      </c>
      <c r="V27" s="233" t="s">
        <v>54</v>
      </c>
      <c r="W27" s="234" t="s">
        <v>45</v>
      </c>
      <c r="X27" s="110" t="s">
        <v>37</v>
      </c>
      <c r="Y27" s="186"/>
      <c r="Z27" s="51"/>
    </row>
    <row r="28" s="10" customFormat="true" ht="14.1" hidden="false" customHeight="true" outlineLevel="0" collapsed="false">
      <c r="A28" s="220" t="s">
        <v>26</v>
      </c>
      <c r="B28" s="221" t="s">
        <v>100</v>
      </c>
      <c r="C28" s="222" t="s">
        <v>101</v>
      </c>
      <c r="D28" s="223" t="n">
        <v>4253102</v>
      </c>
      <c r="E28" s="224" t="n">
        <v>45041</v>
      </c>
      <c r="F28" s="225" t="s">
        <v>53</v>
      </c>
      <c r="G28" s="226" t="n">
        <v>45041</v>
      </c>
      <c r="H28" s="227"/>
      <c r="I28" s="228"/>
      <c r="J28" s="228"/>
      <c r="K28" s="228"/>
      <c r="L28" s="228"/>
      <c r="M28" s="227"/>
      <c r="N28" s="228"/>
      <c r="O28" s="227"/>
      <c r="P28" s="229"/>
      <c r="Q28" s="230"/>
      <c r="R28" s="227" t="n">
        <v>90</v>
      </c>
      <c r="S28" s="230" t="n">
        <v>50</v>
      </c>
      <c r="T28" s="231"/>
      <c r="U28" s="232" t="n">
        <f aca="false">SUM(H28:T28)</f>
        <v>140</v>
      </c>
      <c r="V28" s="233" t="s">
        <v>54</v>
      </c>
      <c r="W28" s="234" t="s">
        <v>74</v>
      </c>
      <c r="X28" s="110" t="s">
        <v>32</v>
      </c>
      <c r="Y28" s="186" t="n">
        <v>70</v>
      </c>
      <c r="Z28" s="51"/>
    </row>
    <row r="29" s="10" customFormat="true" ht="14.1" hidden="false" customHeight="true" outlineLevel="0" collapsed="false">
      <c r="A29" s="220" t="s">
        <v>26</v>
      </c>
      <c r="B29" s="221" t="s">
        <v>102</v>
      </c>
      <c r="C29" s="222"/>
      <c r="D29" s="223" t="n">
        <v>4113106</v>
      </c>
      <c r="E29" s="224" t="n">
        <v>45027</v>
      </c>
      <c r="F29" s="225" t="s">
        <v>53</v>
      </c>
      <c r="G29" s="226" t="n">
        <v>45027</v>
      </c>
      <c r="H29" s="227"/>
      <c r="I29" s="228"/>
      <c r="J29" s="228"/>
      <c r="K29" s="228"/>
      <c r="L29" s="228"/>
      <c r="M29" s="227"/>
      <c r="N29" s="228"/>
      <c r="O29" s="227"/>
      <c r="P29" s="229"/>
      <c r="Q29" s="230"/>
      <c r="R29" s="227" t="n">
        <v>65</v>
      </c>
      <c r="S29" s="230" t="n">
        <v>12.5</v>
      </c>
      <c r="T29" s="231" t="n">
        <v>6.09</v>
      </c>
      <c r="U29" s="232" t="n">
        <f aca="false">SUM(H29:T29)</f>
        <v>83.59</v>
      </c>
      <c r="V29" s="233" t="s">
        <v>54</v>
      </c>
      <c r="W29" s="234" t="s">
        <v>26</v>
      </c>
      <c r="X29" s="110" t="s">
        <v>37</v>
      </c>
      <c r="Y29" s="186"/>
      <c r="Z29" s="51"/>
    </row>
    <row r="30" s="10" customFormat="true" ht="14.1" hidden="false" customHeight="true" outlineLevel="0" collapsed="false">
      <c r="A30" s="220" t="s">
        <v>26</v>
      </c>
      <c r="B30" s="221" t="s">
        <v>103</v>
      </c>
      <c r="C30" s="222"/>
      <c r="D30" s="223" t="n">
        <v>4263104</v>
      </c>
      <c r="E30" s="224" t="n">
        <v>45042</v>
      </c>
      <c r="F30" s="225" t="s">
        <v>53</v>
      </c>
      <c r="G30" s="226" t="n">
        <v>45043</v>
      </c>
      <c r="H30" s="227"/>
      <c r="I30" s="228"/>
      <c r="J30" s="228"/>
      <c r="K30" s="228"/>
      <c r="L30" s="228"/>
      <c r="M30" s="227"/>
      <c r="N30" s="228"/>
      <c r="O30" s="227"/>
      <c r="P30" s="229"/>
      <c r="Q30" s="230"/>
      <c r="R30" s="227" t="n">
        <v>65</v>
      </c>
      <c r="S30" s="230" t="n">
        <v>12.5</v>
      </c>
      <c r="T30" s="231" t="n">
        <v>5.61</v>
      </c>
      <c r="U30" s="232" t="n">
        <f aca="false">SUM(H30:T30)</f>
        <v>83.11</v>
      </c>
      <c r="V30" s="233" t="s">
        <v>54</v>
      </c>
      <c r="W30" s="234" t="s">
        <v>74</v>
      </c>
      <c r="X30" s="110" t="s">
        <v>37</v>
      </c>
      <c r="Y30" s="186"/>
      <c r="Z30" s="51"/>
    </row>
    <row r="31" s="10" customFormat="true" ht="14.1" hidden="false" customHeight="true" outlineLevel="0" collapsed="false">
      <c r="A31" s="220" t="s">
        <v>26</v>
      </c>
      <c r="B31" s="221" t="s">
        <v>104</v>
      </c>
      <c r="C31" s="222"/>
      <c r="D31" s="223" t="n">
        <v>4253101</v>
      </c>
      <c r="E31" s="224" t="n">
        <v>45041</v>
      </c>
      <c r="F31" s="225" t="s">
        <v>53</v>
      </c>
      <c r="G31" s="226" t="n">
        <v>45043</v>
      </c>
      <c r="H31" s="227"/>
      <c r="I31" s="228"/>
      <c r="J31" s="228"/>
      <c r="K31" s="228"/>
      <c r="L31" s="228"/>
      <c r="M31" s="227"/>
      <c r="N31" s="228"/>
      <c r="O31" s="227"/>
      <c r="P31" s="229"/>
      <c r="Q31" s="230"/>
      <c r="R31" s="227" t="n">
        <v>55</v>
      </c>
      <c r="S31" s="230" t="n">
        <v>12.5</v>
      </c>
      <c r="T31" s="231" t="n">
        <v>4.68</v>
      </c>
      <c r="U31" s="232" t="n">
        <f aca="false">SUM(H31:T31)</f>
        <v>72.18</v>
      </c>
      <c r="V31" s="233" t="s">
        <v>54</v>
      </c>
      <c r="W31" s="234" t="s">
        <v>74</v>
      </c>
      <c r="X31" s="110" t="s">
        <v>37</v>
      </c>
      <c r="Y31" s="186"/>
      <c r="Z31" s="51"/>
    </row>
    <row r="32" s="10" customFormat="true" ht="14.1" hidden="false" customHeight="true" outlineLevel="0" collapsed="false">
      <c r="A32" s="206"/>
      <c r="B32" s="207"/>
      <c r="C32" s="208"/>
      <c r="D32" s="208"/>
      <c r="E32" s="209"/>
      <c r="F32" s="210"/>
      <c r="G32" s="211"/>
      <c r="H32" s="212"/>
      <c r="I32" s="212"/>
      <c r="J32" s="213"/>
      <c r="K32" s="213"/>
      <c r="L32" s="213"/>
      <c r="M32" s="212"/>
      <c r="N32" s="212"/>
      <c r="O32" s="212"/>
      <c r="P32" s="127"/>
      <c r="Q32" s="214"/>
      <c r="R32" s="212"/>
      <c r="S32" s="214"/>
      <c r="T32" s="215"/>
      <c r="U32" s="216"/>
      <c r="V32" s="217"/>
      <c r="W32" s="29"/>
      <c r="X32" s="29"/>
      <c r="Y32" s="235" t="n">
        <f aca="false">SUM(U22:U31)</f>
        <v>2458.74</v>
      </c>
      <c r="Z32" s="219" t="n">
        <f aca="false">Y32/V104</f>
        <v>0.0906550195155656</v>
      </c>
      <c r="AA32" s="51"/>
    </row>
    <row r="33" s="10" customFormat="true" ht="14.1" hidden="false" customHeight="true" outlineLevel="0" collapsed="false">
      <c r="A33" s="236" t="s">
        <v>26</v>
      </c>
      <c r="B33" s="237" t="s">
        <v>105</v>
      </c>
      <c r="C33" s="238"/>
      <c r="D33" s="239" t="n">
        <v>5023102</v>
      </c>
      <c r="E33" s="240" t="n">
        <v>45048</v>
      </c>
      <c r="F33" s="241" t="s">
        <v>53</v>
      </c>
      <c r="G33" s="242" t="n">
        <v>45050</v>
      </c>
      <c r="H33" s="243"/>
      <c r="I33" s="244"/>
      <c r="J33" s="244"/>
      <c r="K33" s="244"/>
      <c r="L33" s="244"/>
      <c r="M33" s="243"/>
      <c r="N33" s="244"/>
      <c r="O33" s="243"/>
      <c r="P33" s="245"/>
      <c r="Q33" s="246"/>
      <c r="R33" s="243" t="n">
        <v>2200</v>
      </c>
      <c r="S33" s="246" t="n">
        <v>180</v>
      </c>
      <c r="T33" s="247" t="n">
        <v>203.5</v>
      </c>
      <c r="U33" s="248" t="n">
        <f aca="false">SUM(H33:T33)</f>
        <v>2583.5</v>
      </c>
      <c r="V33" s="249" t="s">
        <v>30</v>
      </c>
      <c r="W33" s="250" t="s">
        <v>26</v>
      </c>
      <c r="X33" s="110" t="s">
        <v>37</v>
      </c>
      <c r="Y33" s="186"/>
      <c r="Z33" s="51"/>
    </row>
    <row r="34" s="10" customFormat="true" ht="14.1" hidden="false" customHeight="true" outlineLevel="0" collapsed="false">
      <c r="A34" s="236" t="s">
        <v>26</v>
      </c>
      <c r="B34" s="237" t="s">
        <v>106</v>
      </c>
      <c r="C34" s="238"/>
      <c r="D34" s="239" t="n">
        <v>5223105</v>
      </c>
      <c r="E34" s="240" t="n">
        <v>45068</v>
      </c>
      <c r="F34" s="241" t="s">
        <v>53</v>
      </c>
      <c r="G34" s="242" t="n">
        <v>45068</v>
      </c>
      <c r="H34" s="243"/>
      <c r="I34" s="244"/>
      <c r="J34" s="244"/>
      <c r="K34" s="244"/>
      <c r="L34" s="244"/>
      <c r="M34" s="243"/>
      <c r="N34" s="244"/>
      <c r="O34" s="243"/>
      <c r="P34" s="245"/>
      <c r="Q34" s="246"/>
      <c r="R34" s="243" t="n">
        <v>360</v>
      </c>
      <c r="S34" s="246" t="n">
        <v>75</v>
      </c>
      <c r="T34" s="247" t="n">
        <v>31.05</v>
      </c>
      <c r="U34" s="248" t="n">
        <f aca="false">SUM(H34:T34)</f>
        <v>466.05</v>
      </c>
      <c r="V34" s="249" t="s">
        <v>54</v>
      </c>
      <c r="W34" s="250" t="s">
        <v>74</v>
      </c>
      <c r="X34" s="110" t="s">
        <v>37</v>
      </c>
      <c r="Y34" s="186"/>
      <c r="Z34" s="51"/>
    </row>
    <row r="35" s="10" customFormat="true" ht="14.1" hidden="false" customHeight="true" outlineLevel="0" collapsed="false">
      <c r="A35" s="236" t="s">
        <v>107</v>
      </c>
      <c r="B35" s="237" t="s">
        <v>108</v>
      </c>
      <c r="C35" s="238"/>
      <c r="D35" s="239" t="n">
        <v>5303105</v>
      </c>
      <c r="E35" s="240" t="n">
        <v>45076</v>
      </c>
      <c r="F35" s="241" t="s">
        <v>53</v>
      </c>
      <c r="G35" s="242" t="n">
        <v>45076</v>
      </c>
      <c r="H35" s="243"/>
      <c r="I35" s="244"/>
      <c r="J35" s="244"/>
      <c r="K35" s="244"/>
      <c r="L35" s="244"/>
      <c r="M35" s="243"/>
      <c r="N35" s="244"/>
      <c r="O35" s="243"/>
      <c r="P35" s="245"/>
      <c r="Q35" s="246"/>
      <c r="R35" s="243" t="n">
        <v>285</v>
      </c>
      <c r="S35" s="246" t="n">
        <v>62.5</v>
      </c>
      <c r="T35" s="247" t="n">
        <v>24.23</v>
      </c>
      <c r="U35" s="248" t="n">
        <f aca="false">SUM(H35:T35)</f>
        <v>371.73</v>
      </c>
      <c r="V35" s="249" t="s">
        <v>54</v>
      </c>
      <c r="W35" s="250" t="s">
        <v>26</v>
      </c>
      <c r="X35" s="110" t="s">
        <v>37</v>
      </c>
      <c r="Y35" s="186"/>
      <c r="Z35" s="51"/>
    </row>
    <row r="36" s="10" customFormat="true" ht="14.1" hidden="false" customHeight="true" outlineLevel="0" collapsed="false">
      <c r="A36" s="236" t="s">
        <v>26</v>
      </c>
      <c r="B36" s="237" t="s">
        <v>109</v>
      </c>
      <c r="C36" s="238"/>
      <c r="D36" s="239" t="n">
        <v>5263106</v>
      </c>
      <c r="E36" s="240" t="n">
        <v>45072</v>
      </c>
      <c r="F36" s="241" t="s">
        <v>53</v>
      </c>
      <c r="G36" s="242" t="n">
        <v>45072</v>
      </c>
      <c r="H36" s="243"/>
      <c r="I36" s="244"/>
      <c r="J36" s="244"/>
      <c r="K36" s="244"/>
      <c r="L36" s="244"/>
      <c r="M36" s="243"/>
      <c r="N36" s="244"/>
      <c r="O36" s="243"/>
      <c r="P36" s="245"/>
      <c r="Q36" s="246"/>
      <c r="R36" s="243" t="n">
        <v>214</v>
      </c>
      <c r="S36" s="246" t="n">
        <v>50</v>
      </c>
      <c r="T36" s="247" t="n">
        <v>20.33</v>
      </c>
      <c r="U36" s="248" t="n">
        <f aca="false">SUM(H36:T36)</f>
        <v>284.33</v>
      </c>
      <c r="V36" s="249" t="s">
        <v>54</v>
      </c>
      <c r="W36" s="250" t="s">
        <v>26</v>
      </c>
      <c r="X36" s="110" t="s">
        <v>37</v>
      </c>
      <c r="Y36" s="186"/>
      <c r="Z36" s="51"/>
    </row>
    <row r="37" s="10" customFormat="true" ht="14.1" hidden="false" customHeight="true" outlineLevel="0" collapsed="false">
      <c r="A37" s="236" t="s">
        <v>38</v>
      </c>
      <c r="B37" s="237" t="s">
        <v>110</v>
      </c>
      <c r="C37" s="238"/>
      <c r="D37" s="239" t="n">
        <v>5153051</v>
      </c>
      <c r="E37" s="240" t="n">
        <v>45061</v>
      </c>
      <c r="F37" s="241" t="s">
        <v>111</v>
      </c>
      <c r="G37" s="242" t="n">
        <v>45061</v>
      </c>
      <c r="H37" s="243"/>
      <c r="I37" s="244" t="n">
        <v>249</v>
      </c>
      <c r="J37" s="244"/>
      <c r="K37" s="244"/>
      <c r="L37" s="244"/>
      <c r="M37" s="243"/>
      <c r="N37" s="244"/>
      <c r="O37" s="243"/>
      <c r="P37" s="245"/>
      <c r="Q37" s="246"/>
      <c r="R37" s="243"/>
      <c r="S37" s="246"/>
      <c r="T37" s="247" t="n">
        <v>20.7</v>
      </c>
      <c r="U37" s="248" t="n">
        <f aca="false">SUM(H37:T37)</f>
        <v>269.7</v>
      </c>
      <c r="V37" s="249" t="s">
        <v>42</v>
      </c>
      <c r="W37" s="250" t="s">
        <v>38</v>
      </c>
      <c r="X37" s="110" t="s">
        <v>37</v>
      </c>
      <c r="Y37" s="186"/>
      <c r="Z37" s="51"/>
    </row>
    <row r="38" s="10" customFormat="true" ht="14.1" hidden="false" customHeight="true" outlineLevel="0" collapsed="false">
      <c r="A38" s="236" t="s">
        <v>26</v>
      </c>
      <c r="B38" s="237" t="s">
        <v>81</v>
      </c>
      <c r="C38" s="238"/>
      <c r="D38" s="239" t="n">
        <v>5153103</v>
      </c>
      <c r="E38" s="240" t="n">
        <v>45061</v>
      </c>
      <c r="F38" s="241" t="s">
        <v>53</v>
      </c>
      <c r="G38" s="242" t="n">
        <v>45061</v>
      </c>
      <c r="H38" s="243"/>
      <c r="I38" s="244"/>
      <c r="J38" s="244"/>
      <c r="K38" s="244"/>
      <c r="L38" s="244"/>
      <c r="M38" s="243"/>
      <c r="N38" s="244"/>
      <c r="O38" s="243"/>
      <c r="P38" s="245"/>
      <c r="Q38" s="246"/>
      <c r="R38" s="243" t="n">
        <v>185</v>
      </c>
      <c r="S38" s="246" t="n">
        <v>37.5</v>
      </c>
      <c r="T38" s="247" t="n">
        <v>18.96</v>
      </c>
      <c r="U38" s="248" t="n">
        <f aca="false">SUM(H38:T38)</f>
        <v>241.46</v>
      </c>
      <c r="V38" s="249" t="s">
        <v>54</v>
      </c>
      <c r="W38" s="250" t="s">
        <v>74</v>
      </c>
      <c r="X38" s="110" t="s">
        <v>37</v>
      </c>
      <c r="Y38" s="186"/>
      <c r="Z38" s="51"/>
    </row>
    <row r="39" s="10" customFormat="true" ht="14.1" hidden="false" customHeight="true" outlineLevel="0" collapsed="false">
      <c r="A39" s="236" t="s">
        <v>26</v>
      </c>
      <c r="B39" s="237" t="s">
        <v>112</v>
      </c>
      <c r="C39" s="238"/>
      <c r="D39" s="239" t="n">
        <v>5153105</v>
      </c>
      <c r="E39" s="240" t="n">
        <v>45061</v>
      </c>
      <c r="F39" s="241" t="s">
        <v>53</v>
      </c>
      <c r="G39" s="242" t="n">
        <v>45061</v>
      </c>
      <c r="H39" s="243"/>
      <c r="I39" s="244"/>
      <c r="J39" s="244"/>
      <c r="K39" s="244"/>
      <c r="L39" s="244"/>
      <c r="M39" s="243"/>
      <c r="N39" s="244"/>
      <c r="O39" s="243"/>
      <c r="P39" s="245"/>
      <c r="Q39" s="246"/>
      <c r="R39" s="243" t="n">
        <v>168</v>
      </c>
      <c r="S39" s="246" t="n">
        <v>37.5</v>
      </c>
      <c r="T39" s="247" t="n">
        <v>17.22</v>
      </c>
      <c r="U39" s="248" t="n">
        <f aca="false">SUM(H39:T39)</f>
        <v>222.72</v>
      </c>
      <c r="V39" s="249" t="s">
        <v>54</v>
      </c>
      <c r="W39" s="250" t="s">
        <v>74</v>
      </c>
      <c r="X39" s="110" t="s">
        <v>37</v>
      </c>
      <c r="Y39" s="186"/>
      <c r="Z39" s="51"/>
    </row>
    <row r="40" s="10" customFormat="true" ht="14.1" hidden="false" customHeight="true" outlineLevel="0" collapsed="false">
      <c r="A40" s="236" t="s">
        <v>26</v>
      </c>
      <c r="B40" s="237" t="s">
        <v>113</v>
      </c>
      <c r="C40" s="238"/>
      <c r="D40" s="239" t="n">
        <v>5053102</v>
      </c>
      <c r="E40" s="240" t="n">
        <v>45051</v>
      </c>
      <c r="F40" s="241" t="s">
        <v>53</v>
      </c>
      <c r="G40" s="242" t="n">
        <v>45051</v>
      </c>
      <c r="H40" s="243"/>
      <c r="I40" s="244"/>
      <c r="J40" s="244"/>
      <c r="K40" s="244"/>
      <c r="L40" s="244"/>
      <c r="M40" s="243"/>
      <c r="N40" s="244"/>
      <c r="O40" s="243"/>
      <c r="P40" s="245"/>
      <c r="Q40" s="246"/>
      <c r="R40" s="243" t="n">
        <v>145</v>
      </c>
      <c r="S40" s="246" t="n">
        <v>50</v>
      </c>
      <c r="T40" s="247" t="n">
        <v>13.41</v>
      </c>
      <c r="U40" s="248" t="n">
        <f aca="false">SUM(H40:T40)</f>
        <v>208.41</v>
      </c>
      <c r="V40" s="249" t="s">
        <v>54</v>
      </c>
      <c r="W40" s="250" t="s">
        <v>74</v>
      </c>
      <c r="X40" s="110" t="s">
        <v>37</v>
      </c>
      <c r="Y40" s="186"/>
      <c r="Z40" s="51"/>
    </row>
    <row r="41" s="10" customFormat="true" ht="14.1" hidden="false" customHeight="true" outlineLevel="0" collapsed="false">
      <c r="A41" s="236" t="s">
        <v>26</v>
      </c>
      <c r="B41" s="237" t="s">
        <v>114</v>
      </c>
      <c r="C41" s="238"/>
      <c r="D41" s="239" t="n">
        <v>5123065</v>
      </c>
      <c r="E41" s="240" t="n">
        <v>45058</v>
      </c>
      <c r="F41" s="241" t="s">
        <v>53</v>
      </c>
      <c r="G41" s="242" t="n">
        <v>45061</v>
      </c>
      <c r="H41" s="243"/>
      <c r="I41" s="244"/>
      <c r="J41" s="244"/>
      <c r="K41" s="244"/>
      <c r="L41" s="244"/>
      <c r="M41" s="243"/>
      <c r="N41" s="244"/>
      <c r="O41" s="243"/>
      <c r="P41" s="245"/>
      <c r="Q41" s="246"/>
      <c r="R41" s="243" t="n">
        <v>149</v>
      </c>
      <c r="S41" s="246" t="n">
        <v>37.5</v>
      </c>
      <c r="T41" s="247" t="n">
        <v>12.85</v>
      </c>
      <c r="U41" s="248" t="n">
        <f aca="false">SUM(H41:T41)</f>
        <v>199.35</v>
      </c>
      <c r="V41" s="249" t="s">
        <v>54</v>
      </c>
      <c r="W41" s="250" t="s">
        <v>74</v>
      </c>
      <c r="X41" s="110" t="s">
        <v>37</v>
      </c>
      <c r="Y41" s="186"/>
      <c r="Z41" s="51"/>
    </row>
    <row r="42" s="10" customFormat="true" ht="14.1" hidden="false" customHeight="true" outlineLevel="0" collapsed="false">
      <c r="A42" s="236" t="s">
        <v>26</v>
      </c>
      <c r="B42" s="237" t="s">
        <v>115</v>
      </c>
      <c r="C42" s="238"/>
      <c r="D42" s="239" t="n">
        <v>5043101</v>
      </c>
      <c r="E42" s="240" t="n">
        <v>45050</v>
      </c>
      <c r="F42" s="241" t="s">
        <v>53</v>
      </c>
      <c r="G42" s="242" t="n">
        <v>45050</v>
      </c>
      <c r="H42" s="243"/>
      <c r="I42" s="244"/>
      <c r="J42" s="244"/>
      <c r="K42" s="244"/>
      <c r="L42" s="244"/>
      <c r="M42" s="243"/>
      <c r="N42" s="244"/>
      <c r="O42" s="243"/>
      <c r="P42" s="245"/>
      <c r="Q42" s="246"/>
      <c r="R42" s="243" t="n">
        <v>130</v>
      </c>
      <c r="S42" s="246" t="n">
        <v>25</v>
      </c>
      <c r="T42" s="247" t="n">
        <v>10.73</v>
      </c>
      <c r="U42" s="248" t="n">
        <f aca="false">SUM(H42:T42)</f>
        <v>165.73</v>
      </c>
      <c r="V42" s="249" t="s">
        <v>54</v>
      </c>
      <c r="W42" s="250" t="s">
        <v>74</v>
      </c>
      <c r="X42" s="110" t="s">
        <v>37</v>
      </c>
      <c r="Y42" s="186"/>
      <c r="Z42" s="51"/>
    </row>
    <row r="43" s="10" customFormat="true" ht="14.1" hidden="false" customHeight="true" outlineLevel="0" collapsed="false">
      <c r="A43" s="236" t="s">
        <v>26</v>
      </c>
      <c r="B43" s="237" t="s">
        <v>116</v>
      </c>
      <c r="C43" s="238"/>
      <c r="D43" s="239" t="n">
        <v>5083105</v>
      </c>
      <c r="E43" s="240" t="n">
        <v>45054</v>
      </c>
      <c r="F43" s="241" t="s">
        <v>53</v>
      </c>
      <c r="G43" s="242" t="n">
        <v>45055</v>
      </c>
      <c r="H43" s="243"/>
      <c r="I43" s="244"/>
      <c r="J43" s="244"/>
      <c r="K43" s="244"/>
      <c r="L43" s="244"/>
      <c r="M43" s="243"/>
      <c r="N43" s="244"/>
      <c r="O43" s="243"/>
      <c r="P43" s="245"/>
      <c r="Q43" s="246"/>
      <c r="R43" s="243" t="n">
        <v>130</v>
      </c>
      <c r="S43" s="246" t="n">
        <v>25</v>
      </c>
      <c r="T43" s="247" t="n">
        <v>10.73</v>
      </c>
      <c r="U43" s="248" t="n">
        <f aca="false">SUM(H43:T43)</f>
        <v>165.73</v>
      </c>
      <c r="V43" s="249" t="s">
        <v>54</v>
      </c>
      <c r="W43" s="250" t="s">
        <v>74</v>
      </c>
      <c r="X43" s="110" t="s">
        <v>37</v>
      </c>
      <c r="Y43" s="186"/>
      <c r="Z43" s="51"/>
    </row>
    <row r="44" s="10" customFormat="true" ht="14.1" hidden="false" customHeight="true" outlineLevel="0" collapsed="false">
      <c r="A44" s="236" t="s">
        <v>26</v>
      </c>
      <c r="B44" s="237" t="s">
        <v>83</v>
      </c>
      <c r="C44" s="238"/>
      <c r="D44" s="239" t="n">
        <v>5153112</v>
      </c>
      <c r="E44" s="240" t="n">
        <v>45061</v>
      </c>
      <c r="F44" s="241" t="s">
        <v>53</v>
      </c>
      <c r="G44" s="242" t="n">
        <v>45061</v>
      </c>
      <c r="H44" s="243"/>
      <c r="I44" s="244"/>
      <c r="J44" s="244"/>
      <c r="K44" s="244"/>
      <c r="L44" s="244"/>
      <c r="M44" s="243"/>
      <c r="N44" s="244"/>
      <c r="O44" s="243"/>
      <c r="P44" s="245"/>
      <c r="Q44" s="246"/>
      <c r="R44" s="243" t="n">
        <v>97.5</v>
      </c>
      <c r="S44" s="246" t="n">
        <v>12.5</v>
      </c>
      <c r="T44" s="247" t="n">
        <v>7.56</v>
      </c>
      <c r="U44" s="248" t="n">
        <f aca="false">SUM(H44:T44)</f>
        <v>117.56</v>
      </c>
      <c r="V44" s="249" t="s">
        <v>54</v>
      </c>
      <c r="W44" s="250" t="s">
        <v>74</v>
      </c>
      <c r="X44" s="110" t="s">
        <v>37</v>
      </c>
      <c r="Y44" s="186"/>
      <c r="Z44" s="51"/>
    </row>
    <row r="45" s="10" customFormat="true" ht="14.1" hidden="false" customHeight="true" outlineLevel="0" collapsed="false">
      <c r="A45" s="236" t="s">
        <v>26</v>
      </c>
      <c r="B45" s="237" t="s">
        <v>117</v>
      </c>
      <c r="C45" s="238"/>
      <c r="D45" s="239" t="n">
        <v>5223106</v>
      </c>
      <c r="E45" s="240" t="n">
        <v>45068</v>
      </c>
      <c r="F45" s="241" t="s">
        <v>53</v>
      </c>
      <c r="G45" s="242" t="n">
        <v>45068</v>
      </c>
      <c r="H45" s="243"/>
      <c r="I45" s="244"/>
      <c r="J45" s="244"/>
      <c r="K45" s="244"/>
      <c r="L45" s="244"/>
      <c r="M45" s="243"/>
      <c r="N45" s="244"/>
      <c r="O45" s="243"/>
      <c r="P45" s="245"/>
      <c r="Q45" s="246"/>
      <c r="R45" s="243" t="n">
        <v>78</v>
      </c>
      <c r="S45" s="246" t="n">
        <v>25</v>
      </c>
      <c r="T45" s="247" t="n">
        <v>6.44</v>
      </c>
      <c r="U45" s="248" t="n">
        <f aca="false">SUM(H45:T45)</f>
        <v>109.44</v>
      </c>
      <c r="V45" s="249" t="s">
        <v>54</v>
      </c>
      <c r="W45" s="250" t="s">
        <v>74</v>
      </c>
      <c r="X45" s="110" t="s">
        <v>37</v>
      </c>
      <c r="Y45" s="186"/>
      <c r="Z45" s="51"/>
    </row>
    <row r="46" s="10" customFormat="true" ht="14.1" hidden="false" customHeight="true" outlineLevel="0" collapsed="false">
      <c r="A46" s="236" t="s">
        <v>26</v>
      </c>
      <c r="B46" s="237" t="s">
        <v>118</v>
      </c>
      <c r="C46" s="238"/>
      <c r="D46" s="239" t="n">
        <v>5263107</v>
      </c>
      <c r="E46" s="240" t="n">
        <v>45072</v>
      </c>
      <c r="F46" s="241" t="s">
        <v>53</v>
      </c>
      <c r="G46" s="242" t="n">
        <v>45072</v>
      </c>
      <c r="H46" s="243"/>
      <c r="I46" s="244"/>
      <c r="J46" s="244"/>
      <c r="K46" s="244"/>
      <c r="L46" s="244"/>
      <c r="M46" s="243"/>
      <c r="N46" s="244"/>
      <c r="O46" s="243"/>
      <c r="P46" s="245"/>
      <c r="Q46" s="246"/>
      <c r="R46" s="243" t="n">
        <v>65</v>
      </c>
      <c r="S46" s="246" t="n">
        <v>12.5</v>
      </c>
      <c r="T46" s="247" t="n">
        <v>6.66</v>
      </c>
      <c r="U46" s="248" t="n">
        <f aca="false">SUM(H46:T46)</f>
        <v>84.16</v>
      </c>
      <c r="V46" s="249" t="s">
        <v>54</v>
      </c>
      <c r="W46" s="250" t="s">
        <v>26</v>
      </c>
      <c r="X46" s="110" t="s">
        <v>37</v>
      </c>
      <c r="Y46" s="186"/>
      <c r="Z46" s="51"/>
    </row>
    <row r="47" s="10" customFormat="true" ht="14.1" hidden="false" customHeight="true" outlineLevel="0" collapsed="false">
      <c r="A47" s="236" t="s">
        <v>119</v>
      </c>
      <c r="B47" s="237" t="s">
        <v>120</v>
      </c>
      <c r="C47" s="238"/>
      <c r="D47" s="239" t="n">
        <v>4283062</v>
      </c>
      <c r="E47" s="240" t="n">
        <v>45044</v>
      </c>
      <c r="F47" s="241" t="s">
        <v>121</v>
      </c>
      <c r="G47" s="242" t="n">
        <v>45047</v>
      </c>
      <c r="H47" s="243"/>
      <c r="I47" s="244"/>
      <c r="J47" s="244"/>
      <c r="K47" s="244"/>
      <c r="L47" s="244"/>
      <c r="M47" s="243"/>
      <c r="N47" s="244"/>
      <c r="O47" s="243"/>
      <c r="P47" s="245"/>
      <c r="Q47" s="246"/>
      <c r="R47" s="243" t="n">
        <v>55</v>
      </c>
      <c r="S47" s="246" t="n">
        <v>12.5</v>
      </c>
      <c r="T47" s="247" t="n">
        <v>5.64</v>
      </c>
      <c r="U47" s="248" t="n">
        <f aca="false">SUM(H47:T47)</f>
        <v>73.14</v>
      </c>
      <c r="V47" s="249" t="s">
        <v>54</v>
      </c>
      <c r="W47" s="250" t="s">
        <v>74</v>
      </c>
      <c r="X47" s="110" t="s">
        <v>37</v>
      </c>
      <c r="Y47" s="186"/>
      <c r="Z47" s="51"/>
    </row>
    <row r="48" s="10" customFormat="true" ht="14.1" hidden="false" customHeight="true" outlineLevel="0" collapsed="false">
      <c r="A48" s="236" t="s">
        <v>26</v>
      </c>
      <c r="B48" s="237" t="s">
        <v>122</v>
      </c>
      <c r="C48" s="238" t="s">
        <v>123</v>
      </c>
      <c r="D48" s="239" t="n">
        <v>5123101</v>
      </c>
      <c r="E48" s="240" t="n">
        <v>45058</v>
      </c>
      <c r="F48" s="241" t="s">
        <v>53</v>
      </c>
      <c r="G48" s="242" t="n">
        <v>45058</v>
      </c>
      <c r="H48" s="243"/>
      <c r="I48" s="244"/>
      <c r="J48" s="244"/>
      <c r="K48" s="244"/>
      <c r="L48" s="244"/>
      <c r="M48" s="243"/>
      <c r="N48" s="244"/>
      <c r="O48" s="243"/>
      <c r="P48" s="245"/>
      <c r="Q48" s="246"/>
      <c r="R48" s="243" t="n">
        <v>45</v>
      </c>
      <c r="S48" s="246" t="n">
        <v>12.5</v>
      </c>
      <c r="T48" s="247" t="n">
        <v>3.49</v>
      </c>
      <c r="U48" s="248" t="n">
        <f aca="false">SUM(H48:T48)</f>
        <v>60.99</v>
      </c>
      <c r="V48" s="249" t="s">
        <v>54</v>
      </c>
      <c r="W48" s="250" t="s">
        <v>74</v>
      </c>
      <c r="X48" s="110" t="s">
        <v>37</v>
      </c>
      <c r="Y48" s="186"/>
      <c r="Z48" s="51"/>
    </row>
    <row r="49" s="10" customFormat="true" ht="14.1" hidden="false" customHeight="true" outlineLevel="0" collapsed="false">
      <c r="A49" s="236" t="s">
        <v>26</v>
      </c>
      <c r="B49" s="237" t="s">
        <v>124</v>
      </c>
      <c r="C49" s="238"/>
      <c r="D49" s="239" t="n">
        <v>5043102</v>
      </c>
      <c r="E49" s="240" t="n">
        <v>45050</v>
      </c>
      <c r="F49" s="241" t="s">
        <v>53</v>
      </c>
      <c r="G49" s="242" t="n">
        <v>45050</v>
      </c>
      <c r="H49" s="243"/>
      <c r="I49" s="244"/>
      <c r="J49" s="244"/>
      <c r="K49" s="244"/>
      <c r="L49" s="244"/>
      <c r="M49" s="243"/>
      <c r="N49" s="244"/>
      <c r="O49" s="243"/>
      <c r="P49" s="245"/>
      <c r="Q49" s="246"/>
      <c r="R49" s="243" t="n">
        <v>39</v>
      </c>
      <c r="S49" s="246" t="n">
        <v>12.5</v>
      </c>
      <c r="T49" s="247" t="n">
        <v>3.36</v>
      </c>
      <c r="U49" s="248" t="n">
        <f aca="false">SUM(H49:T49)</f>
        <v>54.86</v>
      </c>
      <c r="V49" s="249" t="s">
        <v>30</v>
      </c>
      <c r="W49" s="250" t="s">
        <v>125</v>
      </c>
      <c r="X49" s="110" t="s">
        <v>37</v>
      </c>
      <c r="Y49" s="186"/>
      <c r="Z49" s="51"/>
    </row>
    <row r="50" s="10" customFormat="true" ht="14.1" hidden="false" customHeight="true" outlineLevel="0" collapsed="false">
      <c r="A50" s="236" t="s">
        <v>119</v>
      </c>
      <c r="B50" s="237" t="s">
        <v>126</v>
      </c>
      <c r="C50" s="238"/>
      <c r="D50" s="239" t="n">
        <v>5013262</v>
      </c>
      <c r="E50" s="240" t="n">
        <v>45047</v>
      </c>
      <c r="F50" s="241" t="s">
        <v>127</v>
      </c>
      <c r="G50" s="242" t="n">
        <v>45047</v>
      </c>
      <c r="H50" s="243"/>
      <c r="I50" s="244"/>
      <c r="J50" s="244"/>
      <c r="K50" s="244"/>
      <c r="L50" s="244"/>
      <c r="M50" s="243"/>
      <c r="N50" s="244"/>
      <c r="O50" s="243" t="n">
        <v>37.5</v>
      </c>
      <c r="P50" s="245"/>
      <c r="Q50" s="246"/>
      <c r="R50" s="243"/>
      <c r="S50" s="246" t="n">
        <v>12.5</v>
      </c>
      <c r="T50" s="247" t="n">
        <v>3.52</v>
      </c>
      <c r="U50" s="248" t="n">
        <f aca="false">SUM(H50:T50)</f>
        <v>53.52</v>
      </c>
      <c r="V50" s="249" t="s">
        <v>30</v>
      </c>
      <c r="W50" s="250" t="s">
        <v>119</v>
      </c>
      <c r="X50" s="110" t="s">
        <v>37</v>
      </c>
      <c r="Y50" s="186"/>
      <c r="Z50" s="51"/>
    </row>
    <row r="51" s="10" customFormat="true" ht="14.1" hidden="false" customHeight="true" outlineLevel="0" collapsed="false">
      <c r="A51" s="236" t="s">
        <v>26</v>
      </c>
      <c r="B51" s="237" t="s">
        <v>128</v>
      </c>
      <c r="C51" s="238"/>
      <c r="D51" s="239" t="n">
        <v>5303104</v>
      </c>
      <c r="E51" s="240" t="n">
        <v>45076</v>
      </c>
      <c r="F51" s="241" t="s">
        <v>53</v>
      </c>
      <c r="G51" s="242" t="n">
        <v>45076</v>
      </c>
      <c r="H51" s="243"/>
      <c r="I51" s="244"/>
      <c r="J51" s="244"/>
      <c r="K51" s="244"/>
      <c r="L51" s="244"/>
      <c r="M51" s="243"/>
      <c r="N51" s="244"/>
      <c r="O51" s="243"/>
      <c r="P51" s="245"/>
      <c r="Q51" s="246"/>
      <c r="R51" s="243" t="n">
        <v>29</v>
      </c>
      <c r="S51" s="246" t="n">
        <v>12.5</v>
      </c>
      <c r="T51" s="247" t="n">
        <v>2.5</v>
      </c>
      <c r="U51" s="248" t="n">
        <f aca="false">SUM(H51:T51)</f>
        <v>44</v>
      </c>
      <c r="V51" s="249" t="s">
        <v>54</v>
      </c>
      <c r="W51" s="250" t="s">
        <v>26</v>
      </c>
      <c r="X51" s="110" t="s">
        <v>37</v>
      </c>
      <c r="Y51" s="186"/>
      <c r="Z51" s="51"/>
    </row>
    <row r="52" s="10" customFormat="true" ht="14.1" hidden="false" customHeight="true" outlineLevel="0" collapsed="false">
      <c r="A52" s="206"/>
      <c r="B52" s="207"/>
      <c r="C52" s="208"/>
      <c r="D52" s="208"/>
      <c r="E52" s="209"/>
      <c r="F52" s="210"/>
      <c r="G52" s="211"/>
      <c r="H52" s="212"/>
      <c r="I52" s="212"/>
      <c r="J52" s="213"/>
      <c r="K52" s="213"/>
      <c r="L52" s="213"/>
      <c r="M52" s="212"/>
      <c r="N52" s="212"/>
      <c r="O52" s="212"/>
      <c r="P52" s="127"/>
      <c r="Q52" s="214"/>
      <c r="R52" s="212"/>
      <c r="S52" s="214"/>
      <c r="T52" s="215"/>
      <c r="U52" s="216"/>
      <c r="V52" s="217"/>
      <c r="W52" s="29"/>
      <c r="X52" s="29"/>
      <c r="Y52" s="251" t="n">
        <f aca="false">SUM(U33:U51)</f>
        <v>5776.38</v>
      </c>
      <c r="Z52" s="219" t="n">
        <f aca="false">Y52/V104</f>
        <v>0.212978127670808</v>
      </c>
      <c r="AA52" s="51"/>
    </row>
    <row r="53" s="10" customFormat="true" ht="14.1" hidden="false" customHeight="true" outlineLevel="0" collapsed="false">
      <c r="A53" s="100" t="s">
        <v>26</v>
      </c>
      <c r="B53" s="2" t="s">
        <v>129</v>
      </c>
      <c r="C53" s="3"/>
      <c r="D53" s="101" t="n">
        <v>6143062</v>
      </c>
      <c r="E53" s="102" t="n">
        <v>45091</v>
      </c>
      <c r="F53" s="103" t="s">
        <v>53</v>
      </c>
      <c r="G53" s="5" t="n">
        <v>45091</v>
      </c>
      <c r="H53" s="105"/>
      <c r="I53" s="106"/>
      <c r="J53" s="106"/>
      <c r="K53" s="106"/>
      <c r="L53" s="106"/>
      <c r="M53" s="105"/>
      <c r="N53" s="106"/>
      <c r="O53" s="105"/>
      <c r="P53" s="7"/>
      <c r="Q53" s="107"/>
      <c r="R53" s="105" t="n">
        <v>1490</v>
      </c>
      <c r="S53" s="107"/>
      <c r="T53" s="108"/>
      <c r="U53" s="95" t="n">
        <f aca="false">SUM(H53:T53)</f>
        <v>1490</v>
      </c>
      <c r="V53" s="109" t="s">
        <v>85</v>
      </c>
      <c r="W53" s="10" t="s">
        <v>130</v>
      </c>
      <c r="X53" s="110" t="s">
        <v>37</v>
      </c>
      <c r="Y53" s="252"/>
      <c r="Z53" s="253"/>
    </row>
    <row r="54" s="10" customFormat="true" ht="14.1" hidden="false" customHeight="true" outlineLevel="0" collapsed="false">
      <c r="A54" s="100" t="s">
        <v>26</v>
      </c>
      <c r="B54" s="2" t="s">
        <v>131</v>
      </c>
      <c r="C54" s="3"/>
      <c r="D54" s="101" t="n">
        <v>6293107</v>
      </c>
      <c r="E54" s="102" t="n">
        <v>45106</v>
      </c>
      <c r="F54" s="103" t="s">
        <v>53</v>
      </c>
      <c r="G54" s="5" t="n">
        <v>45106</v>
      </c>
      <c r="H54" s="105"/>
      <c r="I54" s="106"/>
      <c r="J54" s="106"/>
      <c r="K54" s="106"/>
      <c r="L54" s="106"/>
      <c r="M54" s="105"/>
      <c r="N54" s="106"/>
      <c r="O54" s="105"/>
      <c r="P54" s="7"/>
      <c r="Q54" s="107"/>
      <c r="R54" s="105" t="n">
        <v>734</v>
      </c>
      <c r="S54" s="107" t="n">
        <v>150</v>
      </c>
      <c r="T54" s="108" t="n">
        <v>67.9</v>
      </c>
      <c r="U54" s="95" t="n">
        <f aca="false">SUM(H54:T54)</f>
        <v>951.9</v>
      </c>
      <c r="V54" s="109" t="s">
        <v>54</v>
      </c>
      <c r="W54" s="10" t="s">
        <v>26</v>
      </c>
      <c r="X54" s="110" t="s">
        <v>37</v>
      </c>
      <c r="Y54" s="252"/>
      <c r="Z54" s="253"/>
    </row>
    <row r="55" s="10" customFormat="true" ht="14.1" hidden="false" customHeight="true" outlineLevel="0" collapsed="false">
      <c r="A55" s="100" t="s">
        <v>26</v>
      </c>
      <c r="B55" s="2" t="s">
        <v>132</v>
      </c>
      <c r="C55" s="3"/>
      <c r="D55" s="101" t="n">
        <v>6083101</v>
      </c>
      <c r="E55" s="102" t="n">
        <v>45085</v>
      </c>
      <c r="F55" s="103" t="s">
        <v>53</v>
      </c>
      <c r="G55" s="5" t="n">
        <v>45085</v>
      </c>
      <c r="H55" s="105"/>
      <c r="I55" s="106"/>
      <c r="J55" s="106"/>
      <c r="K55" s="106"/>
      <c r="L55" s="106"/>
      <c r="M55" s="105"/>
      <c r="N55" s="106"/>
      <c r="O55" s="105"/>
      <c r="P55" s="7"/>
      <c r="Q55" s="107"/>
      <c r="R55" s="105" t="n">
        <v>650</v>
      </c>
      <c r="S55" s="107" t="n">
        <v>125</v>
      </c>
      <c r="T55" s="108" t="n">
        <v>60.13</v>
      </c>
      <c r="U55" s="95" t="n">
        <f aca="false">SUM(H55:T55)</f>
        <v>835.13</v>
      </c>
      <c r="V55" s="109" t="s">
        <v>54</v>
      </c>
      <c r="W55" s="10" t="s">
        <v>26</v>
      </c>
      <c r="X55" s="110" t="s">
        <v>37</v>
      </c>
      <c r="Y55" s="252"/>
      <c r="Z55" s="253"/>
    </row>
    <row r="56" s="10" customFormat="true" ht="14.1" hidden="false" customHeight="true" outlineLevel="0" collapsed="false">
      <c r="A56" s="100" t="s">
        <v>26</v>
      </c>
      <c r="B56" s="2" t="s">
        <v>133</v>
      </c>
      <c r="C56" s="3"/>
      <c r="D56" s="101" t="n">
        <v>6013103</v>
      </c>
      <c r="E56" s="102" t="n">
        <v>45078</v>
      </c>
      <c r="F56" s="103" t="s">
        <v>53</v>
      </c>
      <c r="G56" s="5" t="n">
        <v>45079</v>
      </c>
      <c r="H56" s="105"/>
      <c r="I56" s="106"/>
      <c r="J56" s="106"/>
      <c r="K56" s="106"/>
      <c r="L56" s="106"/>
      <c r="M56" s="105"/>
      <c r="N56" s="106"/>
      <c r="O56" s="105"/>
      <c r="P56" s="7"/>
      <c r="Q56" s="107"/>
      <c r="R56" s="105" t="n">
        <v>545</v>
      </c>
      <c r="S56" s="107" t="n">
        <v>112.5</v>
      </c>
      <c r="T56" s="108" t="n">
        <v>50.41</v>
      </c>
      <c r="U56" s="95" t="n">
        <f aca="false">SUM(H56:T56)</f>
        <v>707.91</v>
      </c>
      <c r="V56" s="109" t="s">
        <v>54</v>
      </c>
      <c r="W56" s="10" t="s">
        <v>74</v>
      </c>
      <c r="X56" s="110" t="s">
        <v>37</v>
      </c>
      <c r="Y56" s="252"/>
      <c r="Z56" s="253"/>
    </row>
    <row r="57" s="10" customFormat="true" ht="14.1" hidden="false" customHeight="true" outlineLevel="0" collapsed="false">
      <c r="A57" s="100" t="s">
        <v>26</v>
      </c>
      <c r="B57" s="2" t="s">
        <v>134</v>
      </c>
      <c r="C57" s="3"/>
      <c r="D57" s="101" t="n">
        <v>6213102</v>
      </c>
      <c r="E57" s="102" t="n">
        <v>45098</v>
      </c>
      <c r="F57" s="103" t="s">
        <v>53</v>
      </c>
      <c r="G57" s="5" t="n">
        <v>45098</v>
      </c>
      <c r="H57" s="105"/>
      <c r="I57" s="106"/>
      <c r="J57" s="106"/>
      <c r="K57" s="106"/>
      <c r="L57" s="106"/>
      <c r="M57" s="105"/>
      <c r="N57" s="106"/>
      <c r="O57" s="105"/>
      <c r="P57" s="7"/>
      <c r="Q57" s="107"/>
      <c r="R57" s="105" t="n">
        <v>455</v>
      </c>
      <c r="S57" s="107" t="n">
        <v>112.5</v>
      </c>
      <c r="T57" s="108" t="n">
        <v>39.24</v>
      </c>
      <c r="U57" s="95" t="n">
        <f aca="false">SUM(H57:T57)</f>
        <v>606.74</v>
      </c>
      <c r="V57" s="109" t="s">
        <v>54</v>
      </c>
      <c r="W57" s="10" t="s">
        <v>74</v>
      </c>
      <c r="X57" s="110" t="s">
        <v>37</v>
      </c>
      <c r="Y57" s="252"/>
      <c r="Z57" s="253"/>
    </row>
    <row r="58" s="10" customFormat="true" ht="14.1" hidden="false" customHeight="true" outlineLevel="0" collapsed="false">
      <c r="A58" s="100" t="s">
        <v>26</v>
      </c>
      <c r="B58" s="2" t="s">
        <v>135</v>
      </c>
      <c r="C58" s="3"/>
      <c r="D58" s="101" t="n">
        <v>6263101</v>
      </c>
      <c r="E58" s="102" t="n">
        <v>45103</v>
      </c>
      <c r="F58" s="103" t="s">
        <v>53</v>
      </c>
      <c r="G58" s="5" t="n">
        <v>45103</v>
      </c>
      <c r="H58" s="105"/>
      <c r="I58" s="106"/>
      <c r="J58" s="106"/>
      <c r="K58" s="106"/>
      <c r="L58" s="106"/>
      <c r="M58" s="105"/>
      <c r="N58" s="106"/>
      <c r="O58" s="105"/>
      <c r="P58" s="7"/>
      <c r="Q58" s="107"/>
      <c r="R58" s="105" t="n">
        <v>447</v>
      </c>
      <c r="S58" s="107" t="n">
        <v>87.5</v>
      </c>
      <c r="T58" s="108" t="n">
        <v>34.64</v>
      </c>
      <c r="U58" s="95" t="n">
        <f aca="false">SUM(H58:T58)</f>
        <v>569.14</v>
      </c>
      <c r="V58" s="109" t="s">
        <v>54</v>
      </c>
      <c r="W58" s="10" t="s">
        <v>26</v>
      </c>
      <c r="X58" s="110" t="s">
        <v>37</v>
      </c>
      <c r="Y58" s="252"/>
      <c r="Z58" s="253"/>
    </row>
    <row r="59" s="10" customFormat="true" ht="14.1" hidden="false" customHeight="true" outlineLevel="0" collapsed="false">
      <c r="A59" s="100" t="s">
        <v>26</v>
      </c>
      <c r="B59" s="2" t="s">
        <v>75</v>
      </c>
      <c r="C59" s="3"/>
      <c r="D59" s="101" t="n">
        <v>6063102</v>
      </c>
      <c r="E59" s="102" t="n">
        <v>45083</v>
      </c>
      <c r="F59" s="103" t="s">
        <v>53</v>
      </c>
      <c r="G59" s="5" t="n">
        <v>45083</v>
      </c>
      <c r="H59" s="105"/>
      <c r="I59" s="106"/>
      <c r="J59" s="106"/>
      <c r="K59" s="106"/>
      <c r="L59" s="106"/>
      <c r="M59" s="105"/>
      <c r="N59" s="106"/>
      <c r="O59" s="105"/>
      <c r="P59" s="7"/>
      <c r="Q59" s="107"/>
      <c r="R59" s="105" t="n">
        <v>415</v>
      </c>
      <c r="S59" s="107" t="n">
        <v>62.5</v>
      </c>
      <c r="T59" s="108" t="n">
        <v>34.24</v>
      </c>
      <c r="U59" s="95" t="n">
        <f aca="false">SUM(H59:T59)</f>
        <v>511.74</v>
      </c>
      <c r="V59" s="109" t="s">
        <v>54</v>
      </c>
      <c r="W59" s="10" t="s">
        <v>74</v>
      </c>
      <c r="X59" s="110" t="s">
        <v>37</v>
      </c>
      <c r="Y59" s="252"/>
      <c r="Z59" s="253"/>
    </row>
    <row r="60" s="10" customFormat="true" ht="14.1" hidden="false" customHeight="true" outlineLevel="0" collapsed="false">
      <c r="A60" s="100" t="s">
        <v>26</v>
      </c>
      <c r="B60" s="2" t="s">
        <v>136</v>
      </c>
      <c r="C60" s="3" t="s">
        <v>137</v>
      </c>
      <c r="D60" s="101" t="n">
        <v>6233102</v>
      </c>
      <c r="E60" s="102" t="n">
        <v>45100</v>
      </c>
      <c r="F60" s="103" t="s">
        <v>53</v>
      </c>
      <c r="G60" s="5" t="n">
        <v>45100</v>
      </c>
      <c r="H60" s="105"/>
      <c r="I60" s="106"/>
      <c r="J60" s="106"/>
      <c r="K60" s="106"/>
      <c r="L60" s="106"/>
      <c r="M60" s="105"/>
      <c r="N60" s="106"/>
      <c r="O60" s="105"/>
      <c r="P60" s="7"/>
      <c r="Q60" s="107"/>
      <c r="R60" s="105" t="n">
        <v>440</v>
      </c>
      <c r="S60" s="107"/>
      <c r="T60" s="108"/>
      <c r="U60" s="95" t="n">
        <f aca="false">SUM(H60:T60)</f>
        <v>440</v>
      </c>
      <c r="V60" s="109" t="s">
        <v>85</v>
      </c>
      <c r="W60" s="10" t="s">
        <v>138</v>
      </c>
      <c r="X60" s="110" t="s">
        <v>37</v>
      </c>
      <c r="Y60" s="252"/>
      <c r="Z60" s="253"/>
    </row>
    <row r="61" s="10" customFormat="true" ht="14.1" hidden="false" customHeight="true" outlineLevel="0" collapsed="false">
      <c r="A61" s="100" t="s">
        <v>26</v>
      </c>
      <c r="B61" s="2" t="s">
        <v>139</v>
      </c>
      <c r="C61" s="3"/>
      <c r="D61" s="101" t="n">
        <v>6093103</v>
      </c>
      <c r="E61" s="102" t="n">
        <v>45086</v>
      </c>
      <c r="F61" s="103" t="s">
        <v>53</v>
      </c>
      <c r="G61" s="5" t="n">
        <v>45086</v>
      </c>
      <c r="H61" s="105"/>
      <c r="I61" s="106"/>
      <c r="J61" s="106"/>
      <c r="K61" s="106"/>
      <c r="L61" s="106"/>
      <c r="M61" s="105"/>
      <c r="N61" s="106"/>
      <c r="O61" s="105"/>
      <c r="P61" s="7"/>
      <c r="Q61" s="107"/>
      <c r="R61" s="105" t="n">
        <v>330</v>
      </c>
      <c r="S61" s="107" t="n">
        <v>75</v>
      </c>
      <c r="T61" s="108" t="n">
        <v>33.83</v>
      </c>
      <c r="U61" s="95" t="n">
        <f aca="false">SUM(H61:T61)</f>
        <v>438.83</v>
      </c>
      <c r="V61" s="109" t="s">
        <v>54</v>
      </c>
      <c r="W61" s="10" t="s">
        <v>26</v>
      </c>
      <c r="X61" s="110" t="s">
        <v>37</v>
      </c>
      <c r="Y61" s="252"/>
      <c r="Z61" s="253"/>
    </row>
    <row r="62" s="10" customFormat="true" ht="14.1" hidden="false" customHeight="true" outlineLevel="0" collapsed="false">
      <c r="A62" s="100" t="s">
        <v>26</v>
      </c>
      <c r="B62" s="2" t="s">
        <v>140</v>
      </c>
      <c r="C62" s="3"/>
      <c r="D62" s="101" t="n">
        <v>6203102</v>
      </c>
      <c r="E62" s="102" t="n">
        <v>45097</v>
      </c>
      <c r="F62" s="103" t="s">
        <v>53</v>
      </c>
      <c r="G62" s="5" t="n">
        <v>45097</v>
      </c>
      <c r="H62" s="105"/>
      <c r="I62" s="106"/>
      <c r="J62" s="106"/>
      <c r="K62" s="106"/>
      <c r="L62" s="106"/>
      <c r="M62" s="105"/>
      <c r="N62" s="106"/>
      <c r="O62" s="105"/>
      <c r="P62" s="7"/>
      <c r="Q62" s="107"/>
      <c r="R62" s="105" t="n">
        <v>330</v>
      </c>
      <c r="S62" s="107" t="n">
        <v>75</v>
      </c>
      <c r="T62" s="108" t="n">
        <v>30.11</v>
      </c>
      <c r="U62" s="95" t="n">
        <f aca="false">SUM(H62:T62)</f>
        <v>435.11</v>
      </c>
      <c r="V62" s="109" t="s">
        <v>54</v>
      </c>
      <c r="W62" s="10" t="s">
        <v>26</v>
      </c>
      <c r="X62" s="110" t="s">
        <v>37</v>
      </c>
      <c r="Y62" s="252"/>
      <c r="Z62" s="253"/>
    </row>
    <row r="63" s="10" customFormat="true" ht="14.1" hidden="false" customHeight="true" outlineLevel="0" collapsed="false">
      <c r="A63" s="100" t="s">
        <v>26</v>
      </c>
      <c r="B63" s="2" t="s">
        <v>141</v>
      </c>
      <c r="C63" s="3"/>
      <c r="D63" s="101" t="n">
        <v>6263104</v>
      </c>
      <c r="E63" s="102" t="n">
        <v>45103</v>
      </c>
      <c r="F63" s="103" t="s">
        <v>53</v>
      </c>
      <c r="G63" s="5" t="n">
        <v>45103</v>
      </c>
      <c r="H63" s="105"/>
      <c r="I63" s="106"/>
      <c r="J63" s="106"/>
      <c r="K63" s="106"/>
      <c r="L63" s="106"/>
      <c r="M63" s="105"/>
      <c r="N63" s="106"/>
      <c r="O63" s="105"/>
      <c r="P63" s="7"/>
      <c r="Q63" s="107"/>
      <c r="R63" s="105" t="n">
        <v>298</v>
      </c>
      <c r="S63" s="107" t="n">
        <v>62.5</v>
      </c>
      <c r="T63" s="108" t="n">
        <v>25.7</v>
      </c>
      <c r="U63" s="95" t="n">
        <f aca="false">SUM(H63:T63)</f>
        <v>386.2</v>
      </c>
      <c r="V63" s="109" t="s">
        <v>54</v>
      </c>
      <c r="W63" s="10" t="s">
        <v>45</v>
      </c>
      <c r="X63" s="110" t="s">
        <v>37</v>
      </c>
      <c r="Y63" s="252"/>
      <c r="Z63" s="253"/>
    </row>
    <row r="64" s="10" customFormat="true" ht="14.1" hidden="false" customHeight="true" outlineLevel="0" collapsed="false">
      <c r="A64" s="100" t="s">
        <v>26</v>
      </c>
      <c r="B64" s="2" t="s">
        <v>142</v>
      </c>
      <c r="C64" s="3"/>
      <c r="D64" s="101" t="n">
        <v>6143103</v>
      </c>
      <c r="E64" s="102" t="n">
        <v>45091</v>
      </c>
      <c r="F64" s="103" t="s">
        <v>53</v>
      </c>
      <c r="G64" s="5" t="n">
        <v>45091</v>
      </c>
      <c r="H64" s="105"/>
      <c r="I64" s="106"/>
      <c r="J64" s="106"/>
      <c r="K64" s="106"/>
      <c r="L64" s="106"/>
      <c r="M64" s="105"/>
      <c r="N64" s="106"/>
      <c r="O64" s="105"/>
      <c r="P64" s="7"/>
      <c r="Q64" s="107"/>
      <c r="R64" s="105" t="n">
        <v>279</v>
      </c>
      <c r="S64" s="107" t="n">
        <v>62.5</v>
      </c>
      <c r="T64" s="108" t="n">
        <v>23.02</v>
      </c>
      <c r="U64" s="95" t="n">
        <f aca="false">SUM(H64:T64)</f>
        <v>364.52</v>
      </c>
      <c r="V64" s="109" t="s">
        <v>54</v>
      </c>
      <c r="W64" s="10" t="s">
        <v>45</v>
      </c>
      <c r="X64" s="110" t="s">
        <v>37</v>
      </c>
      <c r="Y64" s="252"/>
      <c r="Z64" s="253"/>
    </row>
    <row r="65" s="10" customFormat="true" ht="14.1" hidden="false" customHeight="true" outlineLevel="0" collapsed="false">
      <c r="A65" s="100" t="s">
        <v>26</v>
      </c>
      <c r="B65" s="2" t="s">
        <v>143</v>
      </c>
      <c r="C65" s="3"/>
      <c r="D65" s="101" t="n">
        <v>6053106</v>
      </c>
      <c r="E65" s="102" t="n">
        <v>45082</v>
      </c>
      <c r="F65" s="103" t="s">
        <v>53</v>
      </c>
      <c r="G65" s="5" t="n">
        <v>45083</v>
      </c>
      <c r="H65" s="105"/>
      <c r="I65" s="106"/>
      <c r="J65" s="106"/>
      <c r="K65" s="106"/>
      <c r="L65" s="106"/>
      <c r="M65" s="105"/>
      <c r="N65" s="106"/>
      <c r="O65" s="105"/>
      <c r="P65" s="7"/>
      <c r="Q65" s="107"/>
      <c r="R65" s="105" t="n">
        <v>266</v>
      </c>
      <c r="S65" s="107" t="n">
        <v>37.5</v>
      </c>
      <c r="T65" s="108" t="n">
        <v>24.61</v>
      </c>
      <c r="U65" s="95" t="n">
        <f aca="false">SUM(H65:T65)</f>
        <v>328.11</v>
      </c>
      <c r="V65" s="109" t="s">
        <v>54</v>
      </c>
      <c r="W65" s="10" t="s">
        <v>74</v>
      </c>
      <c r="X65" s="110" t="s">
        <v>37</v>
      </c>
      <c r="Y65" s="252"/>
      <c r="Z65" s="253"/>
    </row>
    <row r="66" s="10" customFormat="true" ht="14.1" hidden="false" customHeight="true" outlineLevel="0" collapsed="false">
      <c r="A66" s="100" t="s">
        <v>26</v>
      </c>
      <c r="B66" s="2" t="s">
        <v>144</v>
      </c>
      <c r="C66" s="3" t="s">
        <v>145</v>
      </c>
      <c r="D66" s="101" t="n">
        <v>6293106</v>
      </c>
      <c r="E66" s="102" t="n">
        <v>45106</v>
      </c>
      <c r="F66" s="103" t="s">
        <v>53</v>
      </c>
      <c r="G66" s="5" t="n">
        <v>45106</v>
      </c>
      <c r="H66" s="105"/>
      <c r="I66" s="106"/>
      <c r="J66" s="106"/>
      <c r="K66" s="106"/>
      <c r="L66" s="106"/>
      <c r="M66" s="105"/>
      <c r="N66" s="106"/>
      <c r="O66" s="105"/>
      <c r="P66" s="7"/>
      <c r="Q66" s="107"/>
      <c r="R66" s="105" t="n">
        <v>253</v>
      </c>
      <c r="S66" s="107" t="n">
        <v>50</v>
      </c>
      <c r="T66" s="108" t="n">
        <v>21.82</v>
      </c>
      <c r="U66" s="95" t="n">
        <f aca="false">SUM(H66:T66)</f>
        <v>324.82</v>
      </c>
      <c r="V66" s="109" t="s">
        <v>54</v>
      </c>
      <c r="W66" s="10" t="s">
        <v>26</v>
      </c>
      <c r="X66" s="110" t="s">
        <v>37</v>
      </c>
      <c r="Y66" s="252"/>
      <c r="Z66" s="253"/>
    </row>
    <row r="67" s="10" customFormat="true" ht="14.1" hidden="false" customHeight="true" outlineLevel="0" collapsed="false">
      <c r="A67" s="100" t="s">
        <v>26</v>
      </c>
      <c r="B67" s="2" t="s">
        <v>146</v>
      </c>
      <c r="C67" s="3"/>
      <c r="D67" s="101" t="n">
        <v>6143107</v>
      </c>
      <c r="E67" s="102" t="n">
        <v>45091</v>
      </c>
      <c r="F67" s="103" t="s">
        <v>53</v>
      </c>
      <c r="G67" s="5" t="n">
        <v>45092</v>
      </c>
      <c r="H67" s="105"/>
      <c r="I67" s="106"/>
      <c r="J67" s="106"/>
      <c r="K67" s="106"/>
      <c r="L67" s="106"/>
      <c r="M67" s="105"/>
      <c r="N67" s="106"/>
      <c r="O67" s="105"/>
      <c r="P67" s="7"/>
      <c r="Q67" s="107"/>
      <c r="R67" s="105" t="n">
        <v>308</v>
      </c>
      <c r="S67" s="107"/>
      <c r="T67" s="108"/>
      <c r="U67" s="95" t="n">
        <f aca="false">SUM(H67:T67)</f>
        <v>308</v>
      </c>
      <c r="V67" s="109" t="s">
        <v>54</v>
      </c>
      <c r="W67" s="10" t="s">
        <v>45</v>
      </c>
      <c r="X67" s="110" t="s">
        <v>37</v>
      </c>
      <c r="Y67" s="252"/>
      <c r="Z67" s="253"/>
    </row>
    <row r="68" s="10" customFormat="true" ht="14.1" hidden="false" customHeight="true" outlineLevel="0" collapsed="false">
      <c r="A68" s="100" t="s">
        <v>26</v>
      </c>
      <c r="B68" s="2" t="s">
        <v>147</v>
      </c>
      <c r="C68" s="3"/>
      <c r="D68" s="101" t="n">
        <v>6133101</v>
      </c>
      <c r="E68" s="102" t="n">
        <v>45090</v>
      </c>
      <c r="F68" s="103" t="s">
        <v>53</v>
      </c>
      <c r="G68" s="5" t="n">
        <v>45091</v>
      </c>
      <c r="H68" s="105"/>
      <c r="I68" s="106"/>
      <c r="J68" s="106"/>
      <c r="K68" s="106"/>
      <c r="L68" s="106"/>
      <c r="M68" s="105"/>
      <c r="N68" s="106"/>
      <c r="O68" s="105"/>
      <c r="P68" s="7"/>
      <c r="Q68" s="107"/>
      <c r="R68" s="105" t="n">
        <v>220</v>
      </c>
      <c r="S68" s="107" t="n">
        <v>50</v>
      </c>
      <c r="T68" s="108" t="n">
        <v>18.15</v>
      </c>
      <c r="U68" s="95" t="n">
        <f aca="false">SUM(H68:T68)</f>
        <v>288.15</v>
      </c>
      <c r="V68" s="109" t="s">
        <v>54</v>
      </c>
      <c r="W68" s="10" t="s">
        <v>74</v>
      </c>
      <c r="X68" s="110" t="s">
        <v>37</v>
      </c>
      <c r="Y68" s="252"/>
      <c r="Z68" s="253"/>
    </row>
    <row r="69" s="10" customFormat="true" ht="14.1" hidden="false" customHeight="true" outlineLevel="0" collapsed="false">
      <c r="A69" s="100" t="s">
        <v>26</v>
      </c>
      <c r="B69" s="2" t="s">
        <v>144</v>
      </c>
      <c r="C69" s="3" t="s">
        <v>148</v>
      </c>
      <c r="D69" s="101" t="n">
        <v>6293105</v>
      </c>
      <c r="E69" s="102" t="n">
        <v>45106</v>
      </c>
      <c r="F69" s="103" t="s">
        <v>53</v>
      </c>
      <c r="G69" s="5" t="n">
        <v>45106</v>
      </c>
      <c r="H69" s="105"/>
      <c r="I69" s="106"/>
      <c r="J69" s="106"/>
      <c r="K69" s="106"/>
      <c r="L69" s="106"/>
      <c r="M69" s="105"/>
      <c r="N69" s="106"/>
      <c r="O69" s="105"/>
      <c r="P69" s="7"/>
      <c r="Q69" s="107"/>
      <c r="R69" s="105" t="n">
        <v>227</v>
      </c>
      <c r="S69" s="107" t="n">
        <v>36.5</v>
      </c>
      <c r="T69" s="108" t="n">
        <v>19.58</v>
      </c>
      <c r="U69" s="95" t="n">
        <f aca="false">SUM(H69:T69)</f>
        <v>283.08</v>
      </c>
      <c r="V69" s="109" t="s">
        <v>54</v>
      </c>
      <c r="W69" s="10" t="s">
        <v>26</v>
      </c>
      <c r="X69" s="110" t="s">
        <v>37</v>
      </c>
      <c r="Y69" s="252"/>
      <c r="Z69" s="253"/>
    </row>
    <row r="70" s="10" customFormat="true" ht="14.1" hidden="false" customHeight="true" outlineLevel="0" collapsed="false">
      <c r="A70" s="100" t="s">
        <v>26</v>
      </c>
      <c r="B70" s="2" t="s">
        <v>149</v>
      </c>
      <c r="C70" s="3"/>
      <c r="D70" s="101" t="n">
        <v>6263103</v>
      </c>
      <c r="E70" s="102" t="n">
        <v>45103</v>
      </c>
      <c r="F70" s="103" t="s">
        <v>53</v>
      </c>
      <c r="G70" s="5" t="n">
        <v>45103</v>
      </c>
      <c r="H70" s="105"/>
      <c r="I70" s="106"/>
      <c r="J70" s="106"/>
      <c r="K70" s="106"/>
      <c r="L70" s="106"/>
      <c r="M70" s="105"/>
      <c r="N70" s="106"/>
      <c r="O70" s="105"/>
      <c r="P70" s="7"/>
      <c r="Q70" s="107"/>
      <c r="R70" s="105" t="n">
        <v>204</v>
      </c>
      <c r="S70" s="107" t="n">
        <v>50</v>
      </c>
      <c r="T70" s="108" t="n">
        <v>18.36</v>
      </c>
      <c r="U70" s="95" t="n">
        <f aca="false">SUM(H70:T70)</f>
        <v>272.36</v>
      </c>
      <c r="V70" s="109" t="s">
        <v>54</v>
      </c>
      <c r="W70" s="10" t="s">
        <v>45</v>
      </c>
      <c r="X70" s="110" t="s">
        <v>37</v>
      </c>
      <c r="Y70" s="252"/>
      <c r="Z70" s="253"/>
    </row>
    <row r="71" s="10" customFormat="true" ht="14.1" hidden="false" customHeight="true" outlineLevel="0" collapsed="false">
      <c r="A71" s="100" t="s">
        <v>26</v>
      </c>
      <c r="B71" s="2" t="s">
        <v>150</v>
      </c>
      <c r="C71" s="3"/>
      <c r="D71" s="101" t="n">
        <v>6053102</v>
      </c>
      <c r="E71" s="102" t="n">
        <v>45082</v>
      </c>
      <c r="F71" s="103" t="s">
        <v>53</v>
      </c>
      <c r="G71" s="5" t="n">
        <v>45083</v>
      </c>
      <c r="H71" s="105"/>
      <c r="I71" s="106"/>
      <c r="J71" s="106"/>
      <c r="K71" s="106"/>
      <c r="L71" s="106"/>
      <c r="M71" s="105"/>
      <c r="N71" s="106"/>
      <c r="O71" s="105"/>
      <c r="P71" s="7"/>
      <c r="Q71" s="107"/>
      <c r="R71" s="105" t="n">
        <v>200</v>
      </c>
      <c r="S71" s="107" t="n">
        <v>50</v>
      </c>
      <c r="T71" s="108" t="n">
        <v>17.25</v>
      </c>
      <c r="U71" s="95" t="n">
        <f aca="false">SUM(H71:T71)</f>
        <v>267.25</v>
      </c>
      <c r="V71" s="109" t="s">
        <v>54</v>
      </c>
      <c r="W71" s="10" t="s">
        <v>74</v>
      </c>
      <c r="X71" s="110" t="s">
        <v>37</v>
      </c>
      <c r="Y71" s="252"/>
      <c r="Z71" s="253"/>
    </row>
    <row r="72" s="10" customFormat="true" ht="14.1" hidden="false" customHeight="true" outlineLevel="0" collapsed="false">
      <c r="A72" s="100" t="s">
        <v>26</v>
      </c>
      <c r="B72" s="2" t="s">
        <v>113</v>
      </c>
      <c r="C72" s="3"/>
      <c r="D72" s="101" t="n">
        <v>6203104</v>
      </c>
      <c r="E72" s="102" t="n">
        <v>45097</v>
      </c>
      <c r="F72" s="103" t="s">
        <v>53</v>
      </c>
      <c r="G72" s="5" t="n">
        <v>45097</v>
      </c>
      <c r="H72" s="105"/>
      <c r="I72" s="106"/>
      <c r="J72" s="106"/>
      <c r="K72" s="106"/>
      <c r="L72" s="106"/>
      <c r="M72" s="105"/>
      <c r="N72" s="106"/>
      <c r="O72" s="105"/>
      <c r="P72" s="7"/>
      <c r="Q72" s="107"/>
      <c r="R72" s="105" t="n">
        <v>175</v>
      </c>
      <c r="S72" s="107" t="n">
        <v>62.5</v>
      </c>
      <c r="T72" s="108" t="n">
        <v>16.19</v>
      </c>
      <c r="U72" s="95" t="n">
        <f aca="false">SUM(H72:T72)</f>
        <v>253.69</v>
      </c>
      <c r="V72" s="109" t="s">
        <v>54</v>
      </c>
      <c r="W72" s="10" t="s">
        <v>26</v>
      </c>
      <c r="X72" s="110" t="s">
        <v>37</v>
      </c>
      <c r="Y72" s="252"/>
      <c r="Z72" s="253"/>
    </row>
    <row r="73" s="10" customFormat="true" ht="14.1" hidden="false" customHeight="true" outlineLevel="0" collapsed="false">
      <c r="A73" s="100" t="s">
        <v>26</v>
      </c>
      <c r="B73" s="2" t="s">
        <v>151</v>
      </c>
      <c r="C73" s="3"/>
      <c r="D73" s="101" t="n">
        <v>6283101</v>
      </c>
      <c r="E73" s="102" t="n">
        <v>45105</v>
      </c>
      <c r="F73" s="103" t="s">
        <v>53</v>
      </c>
      <c r="G73" s="5" t="n">
        <v>45105</v>
      </c>
      <c r="H73" s="105"/>
      <c r="I73" s="106"/>
      <c r="J73" s="106"/>
      <c r="K73" s="106"/>
      <c r="L73" s="106"/>
      <c r="M73" s="105"/>
      <c r="N73" s="106"/>
      <c r="O73" s="105"/>
      <c r="P73" s="7"/>
      <c r="Q73" s="107"/>
      <c r="R73" s="105" t="n">
        <v>195</v>
      </c>
      <c r="S73" s="107" t="n">
        <v>37.5</v>
      </c>
      <c r="T73" s="108" t="n">
        <v>18.04</v>
      </c>
      <c r="U73" s="95" t="n">
        <f aca="false">SUM(H73:T73)</f>
        <v>250.54</v>
      </c>
      <c r="V73" s="109" t="s">
        <v>54</v>
      </c>
      <c r="W73" s="10" t="s">
        <v>74</v>
      </c>
      <c r="X73" s="110" t="s">
        <v>37</v>
      </c>
      <c r="Y73" s="252"/>
      <c r="Z73" s="253"/>
    </row>
    <row r="74" s="10" customFormat="true" ht="14.1" hidden="false" customHeight="true" outlineLevel="0" collapsed="false">
      <c r="A74" s="100" t="s">
        <v>26</v>
      </c>
      <c r="B74" s="2" t="s">
        <v>152</v>
      </c>
      <c r="C74" s="3"/>
      <c r="D74" s="101" t="n">
        <v>6013105</v>
      </c>
      <c r="E74" s="102" t="n">
        <v>45078</v>
      </c>
      <c r="F74" s="103" t="s">
        <v>53</v>
      </c>
      <c r="G74" s="5" t="n">
        <v>45079</v>
      </c>
      <c r="H74" s="105"/>
      <c r="I74" s="106"/>
      <c r="J74" s="106"/>
      <c r="K74" s="106"/>
      <c r="L74" s="106"/>
      <c r="M74" s="105"/>
      <c r="N74" s="106"/>
      <c r="O74" s="105"/>
      <c r="P74" s="7"/>
      <c r="Q74" s="107"/>
      <c r="R74" s="105" t="n">
        <v>175</v>
      </c>
      <c r="S74" s="107" t="n">
        <v>37.5</v>
      </c>
      <c r="T74" s="108" t="n">
        <v>16.1</v>
      </c>
      <c r="U74" s="95" t="n">
        <f aca="false">SUM(H74:T74)</f>
        <v>228.6</v>
      </c>
      <c r="V74" s="109" t="s">
        <v>54</v>
      </c>
      <c r="W74" s="10" t="s">
        <v>74</v>
      </c>
      <c r="X74" s="110" t="s">
        <v>37</v>
      </c>
      <c r="Y74" s="252"/>
      <c r="Z74" s="253"/>
    </row>
    <row r="75" s="10" customFormat="true" ht="14.1" hidden="false" customHeight="true" outlineLevel="0" collapsed="false">
      <c r="A75" s="100" t="s">
        <v>26</v>
      </c>
      <c r="B75" s="2" t="s">
        <v>153</v>
      </c>
      <c r="C75" s="3"/>
      <c r="D75" s="101" t="n">
        <v>6083103</v>
      </c>
      <c r="E75" s="102" t="n">
        <v>45084</v>
      </c>
      <c r="F75" s="103" t="s">
        <v>53</v>
      </c>
      <c r="G75" s="5" t="n">
        <v>45085</v>
      </c>
      <c r="H75" s="105"/>
      <c r="I75" s="106"/>
      <c r="J75" s="106"/>
      <c r="K75" s="106"/>
      <c r="L75" s="106"/>
      <c r="M75" s="105"/>
      <c r="N75" s="106"/>
      <c r="O75" s="105"/>
      <c r="P75" s="7"/>
      <c r="Q75" s="107"/>
      <c r="R75" s="105" t="n">
        <v>175</v>
      </c>
      <c r="S75" s="107" t="n">
        <v>37.5</v>
      </c>
      <c r="T75" s="108" t="n">
        <v>15.09</v>
      </c>
      <c r="U75" s="95" t="n">
        <f aca="false">SUM(H75:T75)</f>
        <v>227.59</v>
      </c>
      <c r="V75" s="109" t="s">
        <v>54</v>
      </c>
      <c r="W75" s="10" t="s">
        <v>26</v>
      </c>
      <c r="X75" s="110" t="s">
        <v>37</v>
      </c>
      <c r="Y75" s="252"/>
      <c r="Z75" s="253"/>
    </row>
    <row r="76" s="10" customFormat="true" ht="14.1" hidden="false" customHeight="true" outlineLevel="0" collapsed="false">
      <c r="A76" s="100" t="s">
        <v>26</v>
      </c>
      <c r="B76" s="2" t="s">
        <v>154</v>
      </c>
      <c r="C76" s="3"/>
      <c r="D76" s="101" t="n">
        <v>6203104</v>
      </c>
      <c r="E76" s="102" t="n">
        <v>45097</v>
      </c>
      <c r="F76" s="103" t="s">
        <v>53</v>
      </c>
      <c r="G76" s="5" t="n">
        <v>45097</v>
      </c>
      <c r="H76" s="105"/>
      <c r="I76" s="106"/>
      <c r="J76" s="106"/>
      <c r="K76" s="106"/>
      <c r="L76" s="106"/>
      <c r="M76" s="105"/>
      <c r="N76" s="106"/>
      <c r="O76" s="105"/>
      <c r="P76" s="7"/>
      <c r="Q76" s="107"/>
      <c r="R76" s="105" t="n">
        <v>130</v>
      </c>
      <c r="S76" s="107" t="n">
        <v>25</v>
      </c>
      <c r="T76" s="108" t="n">
        <v>11.21</v>
      </c>
      <c r="U76" s="95" t="n">
        <f aca="false">SUM(H76:T76)</f>
        <v>166.21</v>
      </c>
      <c r="V76" s="109" t="s">
        <v>54</v>
      </c>
      <c r="W76" s="10" t="s">
        <v>26</v>
      </c>
      <c r="X76" s="110" t="s">
        <v>37</v>
      </c>
      <c r="Y76" s="252"/>
      <c r="Z76" s="253"/>
    </row>
    <row r="77" s="10" customFormat="true" ht="14.1" hidden="false" customHeight="true" outlineLevel="0" collapsed="false">
      <c r="A77" s="100" t="s">
        <v>26</v>
      </c>
      <c r="B77" s="2" t="s">
        <v>99</v>
      </c>
      <c r="C77" s="3"/>
      <c r="D77" s="101" t="n">
        <v>6233062</v>
      </c>
      <c r="E77" s="102" t="n">
        <v>45100</v>
      </c>
      <c r="F77" s="103" t="s">
        <v>53</v>
      </c>
      <c r="G77" s="5" t="n">
        <v>45100</v>
      </c>
      <c r="H77" s="105"/>
      <c r="I77" s="106"/>
      <c r="J77" s="106"/>
      <c r="K77" s="106"/>
      <c r="L77" s="106"/>
      <c r="M77" s="105"/>
      <c r="N77" s="106"/>
      <c r="O77" s="105"/>
      <c r="P77" s="7"/>
      <c r="Q77" s="107"/>
      <c r="R77" s="105" t="n">
        <v>130</v>
      </c>
      <c r="S77" s="107" t="n">
        <v>25</v>
      </c>
      <c r="T77" s="108" t="n">
        <v>11.21</v>
      </c>
      <c r="U77" s="95" t="n">
        <f aca="false">SUM(H77:T77)</f>
        <v>166.21</v>
      </c>
      <c r="V77" s="109" t="s">
        <v>54</v>
      </c>
      <c r="W77" s="10" t="s">
        <v>26</v>
      </c>
      <c r="X77" s="110" t="s">
        <v>37</v>
      </c>
      <c r="Y77" s="252"/>
      <c r="Z77" s="253"/>
    </row>
    <row r="78" s="10" customFormat="true" ht="14.1" hidden="false" customHeight="true" outlineLevel="0" collapsed="false">
      <c r="A78" s="100" t="s">
        <v>26</v>
      </c>
      <c r="B78" s="2" t="s">
        <v>122</v>
      </c>
      <c r="C78" s="3" t="s">
        <v>155</v>
      </c>
      <c r="D78" s="101" t="n">
        <v>6233101</v>
      </c>
      <c r="E78" s="102" t="n">
        <v>45100</v>
      </c>
      <c r="F78" s="103" t="s">
        <v>53</v>
      </c>
      <c r="G78" s="5" t="n">
        <v>45100</v>
      </c>
      <c r="H78" s="105"/>
      <c r="I78" s="106"/>
      <c r="J78" s="106"/>
      <c r="K78" s="106"/>
      <c r="L78" s="106"/>
      <c r="M78" s="105"/>
      <c r="N78" s="106"/>
      <c r="O78" s="105"/>
      <c r="P78" s="7"/>
      <c r="Q78" s="107"/>
      <c r="R78" s="105" t="n">
        <v>110</v>
      </c>
      <c r="S78" s="107" t="n">
        <v>25</v>
      </c>
      <c r="T78" s="108" t="n">
        <v>11.83</v>
      </c>
      <c r="U78" s="95" t="n">
        <f aca="false">SUM(H78:T78)</f>
        <v>146.83</v>
      </c>
      <c r="V78" s="109" t="s">
        <v>54</v>
      </c>
      <c r="W78" s="10" t="s">
        <v>26</v>
      </c>
      <c r="X78" s="110" t="s">
        <v>37</v>
      </c>
      <c r="Y78" s="252"/>
      <c r="Z78" s="253"/>
    </row>
    <row r="79" s="10" customFormat="true" ht="14.1" hidden="false" customHeight="true" outlineLevel="0" collapsed="false">
      <c r="A79" s="100" t="s">
        <v>26</v>
      </c>
      <c r="B79" s="2" t="s">
        <v>141</v>
      </c>
      <c r="C79" s="3"/>
      <c r="D79" s="101" t="n">
        <v>6303064</v>
      </c>
      <c r="E79" s="102" t="n">
        <v>45107</v>
      </c>
      <c r="F79" s="103" t="s">
        <v>53</v>
      </c>
      <c r="G79" s="5" t="n">
        <v>45107</v>
      </c>
      <c r="H79" s="105"/>
      <c r="I79" s="106"/>
      <c r="J79" s="106"/>
      <c r="K79" s="106"/>
      <c r="L79" s="106"/>
      <c r="M79" s="105"/>
      <c r="N79" s="106"/>
      <c r="O79" s="105"/>
      <c r="P79" s="7"/>
      <c r="Q79" s="107"/>
      <c r="R79" s="105" t="n">
        <v>110</v>
      </c>
      <c r="S79" s="107" t="n">
        <v>25</v>
      </c>
      <c r="T79" s="108" t="n">
        <v>9.49</v>
      </c>
      <c r="U79" s="95" t="n">
        <f aca="false">SUM(H79:T79)</f>
        <v>144.49</v>
      </c>
      <c r="V79" s="109" t="s">
        <v>54</v>
      </c>
      <c r="W79" s="10" t="s">
        <v>45</v>
      </c>
      <c r="X79" s="110" t="s">
        <v>37</v>
      </c>
      <c r="Y79" s="252"/>
      <c r="Z79" s="253"/>
    </row>
    <row r="80" s="10" customFormat="true" ht="14.1" hidden="false" customHeight="true" outlineLevel="0" collapsed="false">
      <c r="A80" s="100" t="s">
        <v>26</v>
      </c>
      <c r="B80" s="2" t="s">
        <v>156</v>
      </c>
      <c r="C80" s="3"/>
      <c r="D80" s="101" t="n">
        <v>6233103</v>
      </c>
      <c r="E80" s="102" t="n">
        <v>45100</v>
      </c>
      <c r="F80" s="103" t="s">
        <v>53</v>
      </c>
      <c r="G80" s="5" t="n">
        <v>45100</v>
      </c>
      <c r="H80" s="105"/>
      <c r="I80" s="106"/>
      <c r="J80" s="106"/>
      <c r="K80" s="106"/>
      <c r="L80" s="106"/>
      <c r="M80" s="105"/>
      <c r="N80" s="106"/>
      <c r="O80" s="105"/>
      <c r="P80" s="7"/>
      <c r="Q80" s="107"/>
      <c r="R80" s="105" t="n">
        <v>110</v>
      </c>
      <c r="S80" s="107" t="n">
        <v>25</v>
      </c>
      <c r="T80" s="108" t="n">
        <v>9.35</v>
      </c>
      <c r="U80" s="95" t="n">
        <f aca="false">SUM(H80:T80)</f>
        <v>144.35</v>
      </c>
      <c r="V80" s="109" t="s">
        <v>54</v>
      </c>
      <c r="W80" s="10" t="s">
        <v>26</v>
      </c>
      <c r="X80" s="110" t="s">
        <v>37</v>
      </c>
      <c r="Y80" s="252"/>
      <c r="Z80" s="253"/>
    </row>
    <row r="81" s="10" customFormat="true" ht="14.1" hidden="false" customHeight="true" outlineLevel="0" collapsed="false">
      <c r="A81" s="100" t="s">
        <v>26</v>
      </c>
      <c r="B81" s="2" t="s">
        <v>157</v>
      </c>
      <c r="C81" s="3"/>
      <c r="D81" s="101" t="n">
        <v>6283102</v>
      </c>
      <c r="E81" s="102" t="n">
        <v>45105</v>
      </c>
      <c r="F81" s="103" t="s">
        <v>53</v>
      </c>
      <c r="G81" s="5" t="n">
        <v>45105</v>
      </c>
      <c r="H81" s="105"/>
      <c r="I81" s="106"/>
      <c r="J81" s="106"/>
      <c r="K81" s="106"/>
      <c r="L81" s="106"/>
      <c r="M81" s="105"/>
      <c r="N81" s="106"/>
      <c r="O81" s="105"/>
      <c r="P81" s="7"/>
      <c r="Q81" s="107"/>
      <c r="R81" s="105" t="n">
        <v>117</v>
      </c>
      <c r="S81" s="107" t="n">
        <v>12.5</v>
      </c>
      <c r="T81" s="108" t="n">
        <v>10.82</v>
      </c>
      <c r="U81" s="95" t="n">
        <f aca="false">SUM(H81:T81)</f>
        <v>140.32</v>
      </c>
      <c r="V81" s="109" t="s">
        <v>54</v>
      </c>
      <c r="W81" s="10" t="s">
        <v>74</v>
      </c>
      <c r="X81" s="110" t="s">
        <v>37</v>
      </c>
      <c r="Y81" s="252"/>
      <c r="Z81" s="253"/>
    </row>
    <row r="82" s="10" customFormat="true" ht="14.1" hidden="false" customHeight="true" outlineLevel="0" collapsed="false">
      <c r="A82" s="100" t="s">
        <v>26</v>
      </c>
      <c r="B82" s="2" t="s">
        <v>158</v>
      </c>
      <c r="C82" s="3"/>
      <c r="D82" s="101" t="n">
        <v>6303105</v>
      </c>
      <c r="E82" s="102" t="n">
        <v>45107</v>
      </c>
      <c r="F82" s="103" t="s">
        <v>53</v>
      </c>
      <c r="G82" s="5" t="n">
        <v>45107</v>
      </c>
      <c r="H82" s="105"/>
      <c r="I82" s="106"/>
      <c r="J82" s="106"/>
      <c r="K82" s="106"/>
      <c r="L82" s="106"/>
      <c r="M82" s="105"/>
      <c r="N82" s="106"/>
      <c r="O82" s="105"/>
      <c r="P82" s="7"/>
      <c r="Q82" s="107"/>
      <c r="R82" s="105" t="n">
        <v>78</v>
      </c>
      <c r="S82" s="107" t="n">
        <v>25</v>
      </c>
      <c r="T82" s="108" t="n">
        <v>7.22</v>
      </c>
      <c r="U82" s="95" t="n">
        <f aca="false">SUM(H82:T82)</f>
        <v>110.22</v>
      </c>
      <c r="V82" s="109" t="s">
        <v>54</v>
      </c>
      <c r="W82" s="10" t="s">
        <v>45</v>
      </c>
      <c r="X82" s="110" t="s">
        <v>37</v>
      </c>
      <c r="Y82" s="252"/>
      <c r="Z82" s="253"/>
    </row>
    <row r="83" s="10" customFormat="true" ht="14.1" hidden="false" customHeight="true" outlineLevel="0" collapsed="false">
      <c r="A83" s="100" t="s">
        <v>26</v>
      </c>
      <c r="B83" s="2" t="s">
        <v>159</v>
      </c>
      <c r="C83" s="3" t="s">
        <v>160</v>
      </c>
      <c r="D83" s="101" t="n">
        <v>6293111</v>
      </c>
      <c r="E83" s="102" t="n">
        <v>45106</v>
      </c>
      <c r="F83" s="103" t="s">
        <v>53</v>
      </c>
      <c r="G83" s="5" t="n">
        <v>45106</v>
      </c>
      <c r="H83" s="105"/>
      <c r="I83" s="106"/>
      <c r="J83" s="106"/>
      <c r="K83" s="106"/>
      <c r="L83" s="106"/>
      <c r="M83" s="105"/>
      <c r="N83" s="106"/>
      <c r="O83" s="105"/>
      <c r="P83" s="7"/>
      <c r="Q83" s="107"/>
      <c r="R83" s="105" t="n">
        <v>90</v>
      </c>
      <c r="S83" s="107"/>
      <c r="T83" s="108" t="n">
        <v>8.33</v>
      </c>
      <c r="U83" s="95" t="n">
        <f aca="false">SUM(H83:T83)</f>
        <v>98.33</v>
      </c>
      <c r="V83" s="109" t="s">
        <v>30</v>
      </c>
      <c r="W83" s="10" t="s">
        <v>26</v>
      </c>
      <c r="X83" s="110" t="s">
        <v>37</v>
      </c>
      <c r="Y83" s="252"/>
      <c r="Z83" s="253"/>
    </row>
    <row r="84" s="10" customFormat="true" ht="14.1" hidden="false" customHeight="true" outlineLevel="0" collapsed="false">
      <c r="A84" s="100" t="s">
        <v>26</v>
      </c>
      <c r="B84" s="2" t="s">
        <v>161</v>
      </c>
      <c r="C84" s="3"/>
      <c r="D84" s="101" t="n">
        <v>6053041</v>
      </c>
      <c r="E84" s="102" t="n">
        <v>45082</v>
      </c>
      <c r="F84" s="103" t="s">
        <v>53</v>
      </c>
      <c r="G84" s="5" t="n">
        <v>45082</v>
      </c>
      <c r="H84" s="105"/>
      <c r="I84" s="106"/>
      <c r="J84" s="106"/>
      <c r="K84" s="106"/>
      <c r="L84" s="106"/>
      <c r="M84" s="105"/>
      <c r="N84" s="106"/>
      <c r="O84" s="105"/>
      <c r="P84" s="7"/>
      <c r="Q84" s="107"/>
      <c r="R84" s="105" t="n">
        <v>98</v>
      </c>
      <c r="S84" s="107"/>
      <c r="T84" s="108"/>
      <c r="U84" s="95" t="n">
        <f aca="false">SUM(H84:T84)</f>
        <v>98</v>
      </c>
      <c r="V84" s="109" t="s">
        <v>54</v>
      </c>
      <c r="W84" s="10" t="s">
        <v>26</v>
      </c>
      <c r="X84" s="110" t="s">
        <v>37</v>
      </c>
      <c r="Y84" s="252"/>
      <c r="Z84" s="253"/>
    </row>
    <row r="85" s="10" customFormat="true" ht="14.1" hidden="false" customHeight="true" outlineLevel="0" collapsed="false">
      <c r="A85" s="100" t="s">
        <v>26</v>
      </c>
      <c r="B85" s="2" t="s">
        <v>162</v>
      </c>
      <c r="C85" s="3"/>
      <c r="D85" s="101" t="n">
        <v>6063101</v>
      </c>
      <c r="E85" s="102" t="n">
        <v>45083</v>
      </c>
      <c r="F85" s="103" t="s">
        <v>163</v>
      </c>
      <c r="G85" s="5" t="n">
        <v>45083</v>
      </c>
      <c r="H85" s="105" t="n">
        <v>75</v>
      </c>
      <c r="I85" s="106"/>
      <c r="J85" s="106"/>
      <c r="K85" s="106"/>
      <c r="L85" s="106"/>
      <c r="M85" s="105"/>
      <c r="N85" s="106"/>
      <c r="O85" s="105"/>
      <c r="P85" s="7"/>
      <c r="Q85" s="107"/>
      <c r="R85" s="105"/>
      <c r="S85" s="107" t="n">
        <v>12.5</v>
      </c>
      <c r="T85" s="108" t="n">
        <v>6.47</v>
      </c>
      <c r="U85" s="95" t="n">
        <f aca="false">SUM(H85:T85)</f>
        <v>93.97</v>
      </c>
      <c r="V85" s="109" t="s">
        <v>54</v>
      </c>
      <c r="W85" s="10" t="s">
        <v>26</v>
      </c>
      <c r="X85" s="110" t="s">
        <v>37</v>
      </c>
      <c r="Y85" s="252"/>
      <c r="Z85" s="253"/>
    </row>
    <row r="86" s="10" customFormat="true" ht="14.1" hidden="false" customHeight="true" outlineLevel="0" collapsed="false">
      <c r="A86" s="100" t="s">
        <v>26</v>
      </c>
      <c r="B86" s="2" t="s">
        <v>164</v>
      </c>
      <c r="C86" s="3" t="s">
        <v>165</v>
      </c>
      <c r="D86" s="101" t="n">
        <v>6223102</v>
      </c>
      <c r="E86" s="102" t="n">
        <v>45099</v>
      </c>
      <c r="F86" s="103" t="s">
        <v>53</v>
      </c>
      <c r="G86" s="5" t="n">
        <v>45099</v>
      </c>
      <c r="H86" s="105"/>
      <c r="I86" s="106"/>
      <c r="J86" s="106"/>
      <c r="K86" s="106"/>
      <c r="L86" s="106"/>
      <c r="M86" s="105"/>
      <c r="N86" s="106"/>
      <c r="O86" s="105"/>
      <c r="P86" s="7"/>
      <c r="Q86" s="107"/>
      <c r="R86" s="105" t="n">
        <v>65</v>
      </c>
      <c r="S86" s="107" t="n">
        <v>12.5</v>
      </c>
      <c r="T86" s="108" t="n">
        <v>6.01</v>
      </c>
      <c r="U86" s="95" t="n">
        <f aca="false">SUM(H86:T86)</f>
        <v>83.51</v>
      </c>
      <c r="V86" s="109" t="s">
        <v>54</v>
      </c>
      <c r="W86" s="10" t="s">
        <v>45</v>
      </c>
      <c r="X86" s="110" t="s">
        <v>37</v>
      </c>
      <c r="Y86" s="252"/>
      <c r="Z86" s="253"/>
    </row>
    <row r="87" s="10" customFormat="true" ht="14.1" hidden="false" customHeight="true" outlineLevel="0" collapsed="false">
      <c r="A87" s="100" t="s">
        <v>26</v>
      </c>
      <c r="B87" s="2" t="s">
        <v>122</v>
      </c>
      <c r="C87" s="3" t="s">
        <v>166</v>
      </c>
      <c r="D87" s="101" t="n">
        <v>6153104</v>
      </c>
      <c r="E87" s="102" t="n">
        <v>45092</v>
      </c>
      <c r="F87" s="103" t="s">
        <v>53</v>
      </c>
      <c r="G87" s="5" t="n">
        <v>45092</v>
      </c>
      <c r="H87" s="105"/>
      <c r="I87" s="106"/>
      <c r="J87" s="106"/>
      <c r="K87" s="106"/>
      <c r="L87" s="106"/>
      <c r="M87" s="105"/>
      <c r="N87" s="106"/>
      <c r="O87" s="105"/>
      <c r="P87" s="7"/>
      <c r="Q87" s="107"/>
      <c r="R87" s="105" t="n">
        <v>65</v>
      </c>
      <c r="S87" s="107" t="n">
        <v>12.5</v>
      </c>
      <c r="T87" s="108" t="n">
        <v>5.93</v>
      </c>
      <c r="U87" s="95" t="n">
        <f aca="false">SUM(H87:T87)</f>
        <v>83.43</v>
      </c>
      <c r="V87" s="109" t="s">
        <v>54</v>
      </c>
      <c r="W87" s="10" t="s">
        <v>45</v>
      </c>
      <c r="X87" s="110" t="s">
        <v>37</v>
      </c>
      <c r="Y87" s="252"/>
      <c r="Z87" s="253"/>
    </row>
    <row r="88" s="10" customFormat="true" ht="14.1" hidden="false" customHeight="true" outlineLevel="0" collapsed="false">
      <c r="A88" s="100" t="s">
        <v>26</v>
      </c>
      <c r="B88" s="2" t="s">
        <v>122</v>
      </c>
      <c r="C88" s="3" t="s">
        <v>123</v>
      </c>
      <c r="D88" s="101" t="n">
        <v>6153103</v>
      </c>
      <c r="E88" s="102" t="n">
        <v>45092</v>
      </c>
      <c r="F88" s="103" t="s">
        <v>53</v>
      </c>
      <c r="G88" s="5" t="n">
        <v>45092</v>
      </c>
      <c r="H88" s="105"/>
      <c r="I88" s="106"/>
      <c r="J88" s="106"/>
      <c r="K88" s="106"/>
      <c r="L88" s="106"/>
      <c r="M88" s="105"/>
      <c r="N88" s="106"/>
      <c r="O88" s="105"/>
      <c r="P88" s="7"/>
      <c r="Q88" s="107"/>
      <c r="R88" s="105" t="n">
        <v>65</v>
      </c>
      <c r="S88" s="107" t="n">
        <v>12.5</v>
      </c>
      <c r="T88" s="108" t="n">
        <v>5.04</v>
      </c>
      <c r="U88" s="95" t="n">
        <f aca="false">SUM(H88:T88)</f>
        <v>82.54</v>
      </c>
      <c r="V88" s="109" t="s">
        <v>54</v>
      </c>
      <c r="W88" s="10" t="s">
        <v>45</v>
      </c>
      <c r="X88" s="110" t="s">
        <v>37</v>
      </c>
      <c r="Y88" s="252"/>
      <c r="Z88" s="253"/>
    </row>
    <row r="89" s="10" customFormat="true" ht="14.1" hidden="false" customHeight="true" outlineLevel="0" collapsed="false">
      <c r="A89" s="100" t="s">
        <v>26</v>
      </c>
      <c r="B89" s="2" t="s">
        <v>167</v>
      </c>
      <c r="C89" s="3"/>
      <c r="D89" s="101" t="n">
        <v>6223063</v>
      </c>
      <c r="E89" s="102" t="n">
        <v>45099</v>
      </c>
      <c r="F89" s="103" t="s">
        <v>53</v>
      </c>
      <c r="G89" s="5" t="n">
        <v>45099</v>
      </c>
      <c r="H89" s="105"/>
      <c r="I89" s="106"/>
      <c r="J89" s="106"/>
      <c r="K89" s="106"/>
      <c r="L89" s="106"/>
      <c r="M89" s="105"/>
      <c r="N89" s="106"/>
      <c r="O89" s="105"/>
      <c r="P89" s="7"/>
      <c r="Q89" s="107"/>
      <c r="R89" s="105" t="n">
        <v>65</v>
      </c>
      <c r="S89" s="107" t="n">
        <v>12.5</v>
      </c>
      <c r="T89" s="108" t="n">
        <v>5.04</v>
      </c>
      <c r="U89" s="95" t="n">
        <f aca="false">SUM(H89:T89)</f>
        <v>82.54</v>
      </c>
      <c r="V89" s="109" t="s">
        <v>54</v>
      </c>
      <c r="W89" s="10" t="s">
        <v>45</v>
      </c>
      <c r="X89" s="110" t="s">
        <v>37</v>
      </c>
      <c r="Y89" s="252"/>
      <c r="Z89" s="253"/>
    </row>
    <row r="90" s="10" customFormat="true" ht="14.1" hidden="false" customHeight="true" outlineLevel="0" collapsed="false">
      <c r="A90" s="100" t="s">
        <v>26</v>
      </c>
      <c r="B90" s="2" t="s">
        <v>168</v>
      </c>
      <c r="C90" s="3"/>
      <c r="D90" s="101" t="n">
        <v>6303063</v>
      </c>
      <c r="E90" s="102" t="n">
        <v>45107</v>
      </c>
      <c r="F90" s="103" t="s">
        <v>53</v>
      </c>
      <c r="G90" s="5" t="n">
        <v>45107</v>
      </c>
      <c r="H90" s="105"/>
      <c r="I90" s="106"/>
      <c r="J90" s="106"/>
      <c r="K90" s="106"/>
      <c r="L90" s="106"/>
      <c r="M90" s="105"/>
      <c r="N90" s="106"/>
      <c r="O90" s="105"/>
      <c r="P90" s="7"/>
      <c r="Q90" s="107"/>
      <c r="R90" s="105" t="n">
        <v>39</v>
      </c>
      <c r="S90" s="107"/>
      <c r="T90" s="108" t="n">
        <v>3.61</v>
      </c>
      <c r="U90" s="95" t="n">
        <f aca="false">SUM(H90:T90)</f>
        <v>42.61</v>
      </c>
      <c r="V90" s="109" t="s">
        <v>30</v>
      </c>
      <c r="W90" s="10" t="s">
        <v>43</v>
      </c>
      <c r="X90" s="110" t="s">
        <v>37</v>
      </c>
      <c r="Y90" s="252"/>
      <c r="Z90" s="253"/>
    </row>
    <row r="91" s="10" customFormat="true" ht="14.1" hidden="false" customHeight="true" outlineLevel="0" collapsed="false">
      <c r="A91" s="100" t="s">
        <v>119</v>
      </c>
      <c r="B91" s="2" t="s">
        <v>126</v>
      </c>
      <c r="C91" s="3"/>
      <c r="D91" s="101" t="n">
        <v>6203051</v>
      </c>
      <c r="E91" s="102" t="n">
        <v>45097</v>
      </c>
      <c r="F91" s="103" t="s">
        <v>111</v>
      </c>
      <c r="G91" s="5" t="n">
        <v>45103</v>
      </c>
      <c r="H91" s="105"/>
      <c r="I91" s="106" t="n">
        <v>762</v>
      </c>
      <c r="J91" s="106"/>
      <c r="K91" s="106"/>
      <c r="L91" s="106"/>
      <c r="M91" s="105"/>
      <c r="N91" s="106"/>
      <c r="O91" s="105"/>
      <c r="P91" s="7"/>
      <c r="Q91" s="107"/>
      <c r="R91" s="105"/>
      <c r="S91" s="107"/>
      <c r="T91" s="108"/>
      <c r="U91" s="95" t="n">
        <f aca="false">SUM(H91:T91)</f>
        <v>762</v>
      </c>
      <c r="V91" s="109" t="s">
        <v>42</v>
      </c>
      <c r="W91" s="10" t="s">
        <v>119</v>
      </c>
      <c r="X91" s="110" t="s">
        <v>37</v>
      </c>
      <c r="Y91" s="252"/>
      <c r="Z91" s="253"/>
    </row>
    <row r="92" s="10" customFormat="true" ht="14.1" hidden="false" customHeight="true" outlineLevel="0" collapsed="false">
      <c r="A92" s="100" t="s">
        <v>38</v>
      </c>
      <c r="B92" s="2" t="s">
        <v>110</v>
      </c>
      <c r="C92" s="3" t="s">
        <v>165</v>
      </c>
      <c r="D92" s="101" t="n">
        <v>6153054</v>
      </c>
      <c r="E92" s="102" t="n">
        <v>45092</v>
      </c>
      <c r="F92" s="103" t="s">
        <v>111</v>
      </c>
      <c r="G92" s="5" t="n">
        <v>45092</v>
      </c>
      <c r="H92" s="105"/>
      <c r="I92" s="106" t="n">
        <v>249</v>
      </c>
      <c r="J92" s="106"/>
      <c r="K92" s="106"/>
      <c r="L92" s="106"/>
      <c r="M92" s="105"/>
      <c r="N92" s="106"/>
      <c r="O92" s="105"/>
      <c r="P92" s="7"/>
      <c r="Q92" s="107"/>
      <c r="R92" s="105"/>
      <c r="S92" s="107"/>
      <c r="T92" s="108" t="n">
        <v>20.7</v>
      </c>
      <c r="U92" s="95" t="n">
        <f aca="false">SUM(H92:T92)</f>
        <v>269.7</v>
      </c>
      <c r="V92" s="109" t="s">
        <v>42</v>
      </c>
      <c r="W92" s="10" t="s">
        <v>38</v>
      </c>
      <c r="X92" s="110" t="s">
        <v>37</v>
      </c>
      <c r="Y92" s="252"/>
      <c r="Z92" s="253"/>
    </row>
    <row r="93" s="10" customFormat="true" ht="14.1" hidden="false" customHeight="true" outlineLevel="0" collapsed="false">
      <c r="A93" s="100" t="s">
        <v>38</v>
      </c>
      <c r="B93" s="2" t="s">
        <v>39</v>
      </c>
      <c r="C93" s="3"/>
      <c r="D93" s="101" t="n">
        <v>6013051</v>
      </c>
      <c r="E93" s="102" t="n">
        <v>45078</v>
      </c>
      <c r="F93" s="103" t="s">
        <v>111</v>
      </c>
      <c r="G93" s="5" t="n">
        <v>45078</v>
      </c>
      <c r="H93" s="105"/>
      <c r="I93" s="106"/>
      <c r="J93" s="106"/>
      <c r="K93" s="106"/>
      <c r="L93" s="106"/>
      <c r="M93" s="105" t="n">
        <v>49</v>
      </c>
      <c r="N93" s="106" t="n">
        <v>39</v>
      </c>
      <c r="O93" s="105"/>
      <c r="P93" s="7"/>
      <c r="Q93" s="107"/>
      <c r="R93" s="105"/>
      <c r="S93" s="107"/>
      <c r="T93" s="108"/>
      <c r="U93" s="95" t="n">
        <f aca="false">SUM(H93:T93)</f>
        <v>88</v>
      </c>
      <c r="V93" s="109" t="s">
        <v>42</v>
      </c>
      <c r="W93" s="10" t="s">
        <v>45</v>
      </c>
      <c r="X93" s="110" t="s">
        <v>37</v>
      </c>
      <c r="Y93" s="252"/>
      <c r="Z93" s="253"/>
    </row>
    <row r="94" s="10" customFormat="true" ht="14.1" hidden="false" customHeight="true" outlineLevel="0" collapsed="false">
      <c r="A94" s="100" t="s">
        <v>38</v>
      </c>
      <c r="B94" s="2" t="s">
        <v>169</v>
      </c>
      <c r="C94" s="3"/>
      <c r="D94" s="101" t="n">
        <v>6263051</v>
      </c>
      <c r="E94" s="102" t="n">
        <v>45103</v>
      </c>
      <c r="F94" s="103" t="s">
        <v>13</v>
      </c>
      <c r="G94" s="5" t="n">
        <v>45103</v>
      </c>
      <c r="H94" s="105"/>
      <c r="I94" s="106"/>
      <c r="J94" s="106"/>
      <c r="K94" s="106"/>
      <c r="L94" s="106"/>
      <c r="M94" s="105" t="n">
        <v>49</v>
      </c>
      <c r="N94" s="106"/>
      <c r="O94" s="105"/>
      <c r="P94" s="7"/>
      <c r="Q94" s="107"/>
      <c r="R94" s="105"/>
      <c r="S94" s="107"/>
      <c r="T94" s="108"/>
      <c r="U94" s="95" t="n">
        <f aca="false">SUM(H94:T94)</f>
        <v>49</v>
      </c>
      <c r="V94" s="109" t="s">
        <v>42</v>
      </c>
      <c r="W94" s="10" t="s">
        <v>43</v>
      </c>
      <c r="X94" s="110" t="s">
        <v>37</v>
      </c>
      <c r="Y94" s="252"/>
      <c r="Z94" s="253"/>
    </row>
    <row r="95" s="10" customFormat="true" ht="14.1" hidden="false" customHeight="true" outlineLevel="0" collapsed="false">
      <c r="A95" s="100" t="s">
        <v>45</v>
      </c>
      <c r="B95" s="2" t="s">
        <v>161</v>
      </c>
      <c r="C95" s="3"/>
      <c r="D95" s="101" t="n">
        <v>6273062</v>
      </c>
      <c r="E95" s="102" t="n">
        <v>45104</v>
      </c>
      <c r="F95" s="103" t="s">
        <v>53</v>
      </c>
      <c r="G95" s="5" t="n">
        <v>45104</v>
      </c>
      <c r="H95" s="105"/>
      <c r="I95" s="106"/>
      <c r="J95" s="106"/>
      <c r="K95" s="106"/>
      <c r="L95" s="106"/>
      <c r="M95" s="105"/>
      <c r="N95" s="106"/>
      <c r="O95" s="105"/>
      <c r="P95" s="7"/>
      <c r="Q95" s="107"/>
      <c r="R95" s="105" t="n">
        <v>1182</v>
      </c>
      <c r="S95" s="107"/>
      <c r="T95" s="108"/>
      <c r="U95" s="95" t="n">
        <f aca="false">SUM(H95:T95)</f>
        <v>1182</v>
      </c>
      <c r="V95" s="109" t="s">
        <v>54</v>
      </c>
      <c r="W95" s="10" t="s">
        <v>45</v>
      </c>
      <c r="X95" s="110" t="s">
        <v>37</v>
      </c>
      <c r="Y95" s="252"/>
      <c r="Z95" s="253"/>
    </row>
    <row r="96" s="10" customFormat="true" ht="14.1" hidden="false" customHeight="true" outlineLevel="0" collapsed="false">
      <c r="A96" s="100" t="s">
        <v>45</v>
      </c>
      <c r="B96" s="2" t="s">
        <v>161</v>
      </c>
      <c r="C96" s="3" t="n">
        <v>331921</v>
      </c>
      <c r="D96" s="101" t="n">
        <v>6133068</v>
      </c>
      <c r="E96" s="102" t="n">
        <v>45090</v>
      </c>
      <c r="F96" s="103" t="s">
        <v>53</v>
      </c>
      <c r="G96" s="5" t="n">
        <v>45091</v>
      </c>
      <c r="H96" s="105"/>
      <c r="I96" s="106"/>
      <c r="J96" s="106"/>
      <c r="K96" s="106"/>
      <c r="L96" s="106"/>
      <c r="M96" s="105"/>
      <c r="N96" s="106"/>
      <c r="O96" s="105"/>
      <c r="P96" s="7"/>
      <c r="Q96" s="107"/>
      <c r="R96" s="105" t="n">
        <v>1024</v>
      </c>
      <c r="S96" s="107"/>
      <c r="T96" s="108"/>
      <c r="U96" s="95" t="n">
        <f aca="false">SUM(H96:T96)</f>
        <v>1024</v>
      </c>
      <c r="V96" s="109" t="s">
        <v>54</v>
      </c>
      <c r="W96" s="10" t="s">
        <v>45</v>
      </c>
      <c r="X96" s="110" t="s">
        <v>37</v>
      </c>
      <c r="Y96" s="252"/>
      <c r="Z96" s="253"/>
    </row>
    <row r="97" s="10" customFormat="true" ht="14.1" hidden="false" customHeight="true" outlineLevel="0" collapsed="false">
      <c r="A97" s="100" t="s">
        <v>45</v>
      </c>
      <c r="B97" s="2" t="s">
        <v>161</v>
      </c>
      <c r="C97" s="3"/>
      <c r="D97" s="101" t="n">
        <v>6163062</v>
      </c>
      <c r="E97" s="102" t="n">
        <v>45093</v>
      </c>
      <c r="F97" s="103" t="s">
        <v>53</v>
      </c>
      <c r="G97" s="5" t="n">
        <v>45093</v>
      </c>
      <c r="H97" s="105"/>
      <c r="I97" s="106"/>
      <c r="J97" s="106"/>
      <c r="K97" s="106"/>
      <c r="L97" s="106"/>
      <c r="M97" s="105"/>
      <c r="N97" s="106"/>
      <c r="O97" s="105"/>
      <c r="P97" s="7"/>
      <c r="Q97" s="107"/>
      <c r="R97" s="105" t="n">
        <v>207</v>
      </c>
      <c r="S97" s="107"/>
      <c r="T97" s="108"/>
      <c r="U97" s="95" t="n">
        <f aca="false">SUM(H97:T97)</f>
        <v>207</v>
      </c>
      <c r="V97" s="109" t="s">
        <v>54</v>
      </c>
      <c r="W97" s="10" t="s">
        <v>45</v>
      </c>
      <c r="X97" s="110" t="s">
        <v>37</v>
      </c>
      <c r="Y97" s="252"/>
      <c r="Z97" s="253"/>
    </row>
    <row r="98" s="10" customFormat="true" ht="14.1" hidden="false" customHeight="true" outlineLevel="0" collapsed="false">
      <c r="A98" s="100" t="s">
        <v>45</v>
      </c>
      <c r="B98" s="2" t="s">
        <v>170</v>
      </c>
      <c r="C98" s="3"/>
      <c r="D98" s="101" t="n">
        <v>6223062</v>
      </c>
      <c r="E98" s="102" t="n">
        <v>45099</v>
      </c>
      <c r="F98" s="103" t="s">
        <v>53</v>
      </c>
      <c r="G98" s="5" t="n">
        <v>45099</v>
      </c>
      <c r="H98" s="105"/>
      <c r="I98" s="106"/>
      <c r="J98" s="106"/>
      <c r="K98" s="106"/>
      <c r="L98" s="106"/>
      <c r="M98" s="105"/>
      <c r="N98" s="106"/>
      <c r="O98" s="105"/>
      <c r="P98" s="7"/>
      <c r="Q98" s="107"/>
      <c r="R98" s="105" t="n">
        <v>105</v>
      </c>
      <c r="S98" s="107" t="n">
        <v>12.5</v>
      </c>
      <c r="T98" s="108" t="n">
        <v>8.66</v>
      </c>
      <c r="U98" s="95" t="n">
        <f aca="false">SUM(H98:T98)</f>
        <v>126.16</v>
      </c>
      <c r="V98" s="109" t="s">
        <v>54</v>
      </c>
      <c r="W98" s="10" t="s">
        <v>45</v>
      </c>
      <c r="X98" s="110" t="s">
        <v>37</v>
      </c>
      <c r="Y98" s="252"/>
      <c r="Z98" s="253"/>
    </row>
    <row r="99" s="10" customFormat="true" ht="14.1" hidden="false" customHeight="true" outlineLevel="0" collapsed="false">
      <c r="A99" s="100" t="s">
        <v>45</v>
      </c>
      <c r="B99" s="2" t="s">
        <v>171</v>
      </c>
      <c r="C99" s="3"/>
      <c r="D99" s="101" t="n">
        <v>6153053</v>
      </c>
      <c r="E99" s="102" t="n">
        <v>45092</v>
      </c>
      <c r="F99" s="103" t="s">
        <v>13</v>
      </c>
      <c r="G99" s="5" t="n">
        <v>45092</v>
      </c>
      <c r="H99" s="105"/>
      <c r="I99" s="106"/>
      <c r="J99" s="106"/>
      <c r="K99" s="106"/>
      <c r="L99" s="106"/>
      <c r="M99" s="105" t="n">
        <v>95</v>
      </c>
      <c r="N99" s="106"/>
      <c r="O99" s="105"/>
      <c r="P99" s="7"/>
      <c r="Q99" s="107"/>
      <c r="R99" s="105"/>
      <c r="S99" s="107"/>
      <c r="T99" s="108"/>
      <c r="U99" s="95" t="n">
        <f aca="false">SUM(H99:T99)</f>
        <v>95</v>
      </c>
      <c r="V99" s="109" t="s">
        <v>42</v>
      </c>
      <c r="W99" s="10" t="s">
        <v>172</v>
      </c>
      <c r="X99" s="110" t="s">
        <v>37</v>
      </c>
      <c r="Y99" s="252"/>
      <c r="Z99" s="253"/>
    </row>
    <row r="100" s="10" customFormat="true" ht="14.1" hidden="false" customHeight="true" outlineLevel="0" collapsed="false">
      <c r="A100" s="100" t="s">
        <v>45</v>
      </c>
      <c r="B100" s="2" t="s">
        <v>173</v>
      </c>
      <c r="C100" s="3"/>
      <c r="D100" s="101" t="n">
        <v>6193062</v>
      </c>
      <c r="E100" s="102" t="n">
        <v>45096</v>
      </c>
      <c r="F100" s="103" t="s">
        <v>53</v>
      </c>
      <c r="G100" s="5" t="n">
        <v>45096</v>
      </c>
      <c r="H100" s="105"/>
      <c r="I100" s="106"/>
      <c r="J100" s="106"/>
      <c r="K100" s="106"/>
      <c r="L100" s="106"/>
      <c r="M100" s="105"/>
      <c r="N100" s="106"/>
      <c r="O100" s="105"/>
      <c r="P100" s="7"/>
      <c r="Q100" s="107"/>
      <c r="R100" s="105" t="n">
        <v>39</v>
      </c>
      <c r="S100" s="107" t="n">
        <v>12.5</v>
      </c>
      <c r="T100" s="108" t="n">
        <v>3.36</v>
      </c>
      <c r="U100" s="95" t="n">
        <f aca="false">SUM(H100:T100)</f>
        <v>54.86</v>
      </c>
      <c r="V100" s="109" t="s">
        <v>54</v>
      </c>
      <c r="W100" s="10" t="s">
        <v>26</v>
      </c>
      <c r="X100" s="110" t="s">
        <v>37</v>
      </c>
      <c r="Y100" s="252"/>
      <c r="Z100" s="253"/>
    </row>
    <row r="101" s="10" customFormat="true" ht="14.1" hidden="false" customHeight="true" outlineLevel="0" collapsed="false">
      <c r="A101" s="100" t="s">
        <v>45</v>
      </c>
      <c r="B101" s="2" t="s">
        <v>161</v>
      </c>
      <c r="C101" s="3"/>
      <c r="D101" s="101" t="n">
        <v>6133062</v>
      </c>
      <c r="E101" s="102" t="n">
        <v>45090</v>
      </c>
      <c r="F101" s="103" t="s">
        <v>53</v>
      </c>
      <c r="G101" s="5" t="n">
        <v>45092</v>
      </c>
      <c r="H101" s="105"/>
      <c r="I101" s="106"/>
      <c r="J101" s="106"/>
      <c r="K101" s="106"/>
      <c r="L101" s="106"/>
      <c r="M101" s="105"/>
      <c r="N101" s="106"/>
      <c r="O101" s="105"/>
      <c r="P101" s="7"/>
      <c r="Q101" s="107"/>
      <c r="R101" s="105" t="n">
        <v>-98</v>
      </c>
      <c r="S101" s="107"/>
      <c r="T101" s="108"/>
      <c r="U101" s="95" t="n">
        <f aca="false">SUM(H101:T101)</f>
        <v>-98</v>
      </c>
      <c r="V101" s="109" t="s">
        <v>54</v>
      </c>
      <c r="W101" s="10" t="s">
        <v>45</v>
      </c>
      <c r="X101" s="110" t="s">
        <v>37</v>
      </c>
      <c r="Y101" s="252"/>
      <c r="Z101" s="253"/>
    </row>
    <row r="102" s="10" customFormat="true" ht="14.1" hidden="false" customHeight="true" outlineLevel="0" collapsed="false">
      <c r="A102" s="206"/>
      <c r="B102" s="207"/>
      <c r="C102" s="208"/>
      <c r="D102" s="208"/>
      <c r="E102" s="209"/>
      <c r="F102" s="210"/>
      <c r="G102" s="211"/>
      <c r="H102" s="212"/>
      <c r="I102" s="212"/>
      <c r="J102" s="213"/>
      <c r="K102" s="213"/>
      <c r="L102" s="213"/>
      <c r="M102" s="212"/>
      <c r="N102" s="212"/>
      <c r="O102" s="212"/>
      <c r="P102" s="127"/>
      <c r="Q102" s="214"/>
      <c r="R102" s="212"/>
      <c r="S102" s="214"/>
      <c r="T102" s="215"/>
      <c r="U102" s="216"/>
      <c r="V102" s="217"/>
      <c r="W102" s="29"/>
      <c r="X102" s="29"/>
      <c r="Y102" s="254" t="n">
        <f aca="false">SUM(U53:U101)</f>
        <v>16212.69</v>
      </c>
      <c r="Z102" s="219" t="n">
        <f aca="false">Y102/V104</f>
        <v>0.597770292243107</v>
      </c>
      <c r="AA102" s="51"/>
    </row>
    <row r="103" s="10" customFormat="true" ht="19.5" hidden="false" customHeight="true" outlineLevel="0" collapsed="false">
      <c r="A103" s="255"/>
      <c r="B103" s="256"/>
      <c r="C103" s="256"/>
      <c r="D103" s="49"/>
      <c r="E103" s="49"/>
      <c r="F103" s="257"/>
      <c r="G103" s="49"/>
      <c r="H103" s="258" t="n">
        <f aca="false">SUM(H4:H101)</f>
        <v>75</v>
      </c>
      <c r="I103" s="258" t="n">
        <f aca="false">SUM(I4:I101)</f>
        <v>1260</v>
      </c>
      <c r="J103" s="258" t="n">
        <f aca="false">SUM(J4:J101)</f>
        <v>0</v>
      </c>
      <c r="K103" s="258" t="n">
        <f aca="false">SUM(K4:K101)</f>
        <v>0</v>
      </c>
      <c r="L103" s="258" t="n">
        <f aca="false">SUM(L4:L101)</f>
        <v>0</v>
      </c>
      <c r="M103" s="258" t="n">
        <f aca="false">SUM(M4:M101)</f>
        <v>193</v>
      </c>
      <c r="N103" s="258" t="n">
        <f aca="false">SUM(N4:N101)</f>
        <v>39</v>
      </c>
      <c r="O103" s="258" t="n">
        <f aca="false">SUM(O4:O101)</f>
        <v>37.5</v>
      </c>
      <c r="P103" s="258" t="n">
        <f aca="false">SUM(P4:P101)</f>
        <v>0</v>
      </c>
      <c r="Q103" s="258" t="n">
        <f aca="false">SUM(Q4:Q101)</f>
        <v>0</v>
      </c>
      <c r="R103" s="258" t="n">
        <f aca="false">SUM(R4:R101)</f>
        <v>20877.5</v>
      </c>
      <c r="S103" s="258" t="n">
        <f aca="false">SUM(S4:S101)</f>
        <v>3156.5</v>
      </c>
      <c r="T103" s="258" t="n">
        <f aca="false">SUM(T4:T101)</f>
        <v>1483.44</v>
      </c>
      <c r="U103" s="258" t="n">
        <f aca="false">SUM(U4:U101)</f>
        <v>27121.94</v>
      </c>
      <c r="V103" s="259"/>
      <c r="W103" s="11"/>
      <c r="X103" s="11"/>
      <c r="Y103" s="3"/>
      <c r="Z103" s="2"/>
      <c r="AA103" s="260"/>
      <c r="AB103" s="260"/>
      <c r="AC103" s="260"/>
    </row>
    <row r="104" s="10" customFormat="true" ht="14.1" hidden="false" customHeight="true" outlineLevel="0" collapsed="false">
      <c r="A104" s="2"/>
      <c r="B104" s="2"/>
      <c r="C104" s="3"/>
      <c r="D104" s="3"/>
      <c r="E104" s="4"/>
      <c r="F104" s="3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8"/>
      <c r="U104" s="9"/>
      <c r="V104" s="261" t="n">
        <f aca="false">SUM(H103:T103)</f>
        <v>27121.94</v>
      </c>
      <c r="Y104" s="262"/>
      <c r="Z104" s="12"/>
    </row>
    <row r="105" s="10" customFormat="true" ht="14.1" hidden="false" customHeight="true" outlineLevel="0" collapsed="false">
      <c r="A105" s="2"/>
      <c r="B105" s="2"/>
      <c r="C105" s="3"/>
      <c r="D105" s="3"/>
      <c r="E105" s="4"/>
      <c r="F105" s="3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8"/>
      <c r="U105" s="9"/>
      <c r="V105" s="2"/>
      <c r="Y105" s="262"/>
      <c r="Z105" s="12"/>
    </row>
    <row r="106" s="10" customFormat="true" ht="14.1" hidden="false" customHeight="true" outlineLevel="0" collapsed="false">
      <c r="A106" s="2"/>
      <c r="B106" s="2"/>
      <c r="C106" s="3"/>
      <c r="D106" s="3"/>
      <c r="E106" s="4"/>
      <c r="F106" s="3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8"/>
      <c r="U106" s="9"/>
      <c r="V106" s="2"/>
      <c r="Y106" s="262"/>
      <c r="Z106" s="12"/>
    </row>
    <row r="107" s="10" customFormat="true" ht="14.1" hidden="false" customHeight="true" outlineLevel="0" collapsed="false">
      <c r="A107" s="2"/>
      <c r="B107" s="2"/>
      <c r="C107" s="3"/>
      <c r="D107" s="3"/>
      <c r="E107" s="4"/>
      <c r="F107" s="3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8"/>
      <c r="U107" s="9"/>
      <c r="V107" s="2"/>
      <c r="Y107" s="262"/>
      <c r="Z107" s="12"/>
    </row>
    <row r="108" s="10" customFormat="true" ht="14.1" hidden="false" customHeight="true" outlineLevel="0" collapsed="false">
      <c r="A108" s="2"/>
      <c r="B108" s="2"/>
      <c r="C108" s="3"/>
      <c r="D108" s="3"/>
      <c r="E108" s="4"/>
      <c r="F108" s="3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8"/>
      <c r="U108" s="9"/>
      <c r="V108" s="2"/>
      <c r="Y108" s="262"/>
      <c r="Z108" s="12"/>
    </row>
    <row r="109" s="10" customFormat="true" ht="14.1" hidden="false" customHeight="true" outlineLevel="0" collapsed="false">
      <c r="A109" s="2"/>
      <c r="B109" s="2"/>
      <c r="C109" s="3"/>
      <c r="D109" s="3"/>
      <c r="E109" s="4"/>
      <c r="F109" s="3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8"/>
      <c r="U109" s="9"/>
      <c r="V109" s="2"/>
      <c r="Y109" s="262"/>
      <c r="Z109" s="12"/>
    </row>
    <row r="110" s="10" customFormat="true" ht="14.1" hidden="false" customHeight="true" outlineLevel="0" collapsed="false">
      <c r="A110" s="2"/>
      <c r="B110" s="2"/>
      <c r="C110" s="3"/>
      <c r="D110" s="3"/>
      <c r="E110" s="4"/>
      <c r="F110" s="3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8"/>
      <c r="U110" s="9"/>
      <c r="V110" s="2"/>
      <c r="Y110" s="262"/>
      <c r="Z110" s="12"/>
    </row>
    <row r="111" s="10" customFormat="true" ht="14.1" hidden="false" customHeight="true" outlineLevel="0" collapsed="false">
      <c r="A111" s="2"/>
      <c r="B111" s="2"/>
      <c r="C111" s="3"/>
      <c r="D111" s="3"/>
      <c r="E111" s="4"/>
      <c r="F111" s="3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8"/>
      <c r="U111" s="9"/>
      <c r="V111" s="2"/>
      <c r="Y111" s="262"/>
      <c r="Z111" s="12"/>
    </row>
    <row r="112" s="10" customFormat="true" ht="14.1" hidden="false" customHeight="true" outlineLevel="0" collapsed="false">
      <c r="A112" s="2"/>
      <c r="B112" s="2"/>
      <c r="C112" s="3"/>
      <c r="D112" s="3"/>
      <c r="E112" s="4"/>
      <c r="F112" s="3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8"/>
      <c r="U112" s="9"/>
      <c r="V112" s="2"/>
      <c r="Y112" s="262"/>
      <c r="Z112" s="12"/>
    </row>
    <row r="113" s="10" customFormat="true" ht="14.1" hidden="false" customHeight="true" outlineLevel="0" collapsed="false">
      <c r="A113" s="2"/>
      <c r="B113" s="2"/>
      <c r="C113" s="263"/>
      <c r="D113" s="3"/>
      <c r="E113" s="4"/>
      <c r="F113" s="3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8"/>
      <c r="T113" s="8"/>
      <c r="V113" s="264"/>
      <c r="W113" s="265"/>
      <c r="X113" s="265"/>
      <c r="Y113" s="266"/>
      <c r="Z113" s="2"/>
    </row>
    <row r="114" s="10" customFormat="true" ht="14.1" hidden="false" customHeight="true" outlineLevel="0" collapsed="false">
      <c r="A114" s="2"/>
      <c r="B114" s="2"/>
      <c r="C114" s="3"/>
      <c r="D114" s="3"/>
      <c r="E114" s="4"/>
      <c r="F114" s="3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8"/>
      <c r="U114" s="9"/>
      <c r="V114" s="2"/>
      <c r="Y114" s="262"/>
      <c r="Z114" s="12"/>
    </row>
    <row r="115" s="10" customFormat="true" ht="14.1" hidden="false" customHeight="true" outlineLevel="0" collapsed="false">
      <c r="A115" s="2"/>
      <c r="B115" s="2"/>
      <c r="C115" s="3"/>
      <c r="D115" s="3"/>
      <c r="E115" s="4"/>
      <c r="F115" s="3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8"/>
      <c r="U115" s="9"/>
      <c r="V115" s="2"/>
      <c r="Y115" s="262"/>
      <c r="Z115" s="12"/>
    </row>
    <row r="116" s="10" customFormat="true" ht="14.1" hidden="false" customHeight="true" outlineLevel="0" collapsed="false">
      <c r="A116" s="2"/>
      <c r="B116" s="2"/>
      <c r="C116" s="3"/>
      <c r="D116" s="3"/>
      <c r="E116" s="4"/>
      <c r="F116" s="3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8"/>
      <c r="U116" s="9"/>
      <c r="V116" s="2"/>
      <c r="Y116" s="262"/>
      <c r="Z116" s="12"/>
    </row>
    <row r="117" s="10" customFormat="true" ht="14.1" hidden="false" customHeight="true" outlineLevel="0" collapsed="false">
      <c r="A117" s="2"/>
      <c r="B117" s="2"/>
      <c r="C117" s="3"/>
      <c r="D117" s="3"/>
      <c r="E117" s="4"/>
      <c r="F117" s="3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8"/>
      <c r="U117" s="9"/>
      <c r="V117" s="2"/>
      <c r="Y117" s="262"/>
      <c r="Z117" s="12"/>
    </row>
    <row r="118" s="10" customFormat="true" ht="14.1" hidden="false" customHeight="true" outlineLevel="0" collapsed="false">
      <c r="A118" s="2"/>
      <c r="B118" s="2"/>
      <c r="C118" s="3"/>
      <c r="D118" s="3"/>
      <c r="E118" s="4"/>
      <c r="F118" s="3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8"/>
      <c r="U118" s="9"/>
      <c r="V118" s="2"/>
      <c r="Y118" s="262"/>
      <c r="Z118" s="12"/>
    </row>
    <row r="119" s="10" customFormat="true" ht="14.1" hidden="false" customHeight="true" outlineLevel="0" collapsed="false">
      <c r="A119" s="2"/>
      <c r="B119" s="2"/>
      <c r="C119" s="3"/>
      <c r="D119" s="3"/>
      <c r="E119" s="4"/>
      <c r="F119" s="3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8"/>
      <c r="U119" s="9"/>
      <c r="V119" s="2"/>
      <c r="Y119" s="262"/>
      <c r="Z119" s="12"/>
    </row>
    <row r="120" s="10" customFormat="true" ht="14.1" hidden="false" customHeight="true" outlineLevel="0" collapsed="false">
      <c r="A120" s="2"/>
      <c r="B120" s="2"/>
      <c r="C120" s="3"/>
      <c r="D120" s="3"/>
      <c r="E120" s="4"/>
      <c r="F120" s="3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8"/>
      <c r="U120" s="9"/>
      <c r="V120" s="2"/>
      <c r="Y120" s="262"/>
      <c r="Z120" s="12"/>
    </row>
    <row r="121" s="10" customFormat="true" ht="14.1" hidden="false" customHeight="true" outlineLevel="0" collapsed="false">
      <c r="A121" s="2"/>
      <c r="B121" s="2"/>
      <c r="C121" s="3"/>
      <c r="D121" s="3"/>
      <c r="E121" s="4"/>
      <c r="F121" s="3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8"/>
      <c r="U121" s="9"/>
      <c r="V121" s="2"/>
      <c r="Y121" s="262"/>
      <c r="Z121" s="12"/>
    </row>
    <row r="122" s="10" customFormat="true" ht="14.1" hidden="false" customHeight="true" outlineLevel="0" collapsed="false">
      <c r="A122" s="2"/>
      <c r="B122" s="2"/>
      <c r="C122" s="3"/>
      <c r="D122" s="3"/>
      <c r="E122" s="4"/>
      <c r="F122" s="3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8"/>
      <c r="U122" s="9"/>
      <c r="V122" s="2"/>
      <c r="Y122" s="262"/>
      <c r="Z122" s="12"/>
    </row>
    <row r="123" s="10" customFormat="true" ht="14.1" hidden="false" customHeight="true" outlineLevel="0" collapsed="false">
      <c r="A123" s="2"/>
      <c r="B123" s="2"/>
      <c r="C123" s="3"/>
      <c r="D123" s="3"/>
      <c r="E123" s="4"/>
      <c r="F123" s="3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8"/>
      <c r="U123" s="9"/>
      <c r="V123" s="2"/>
      <c r="Y123" s="262"/>
      <c r="Z123" s="12"/>
    </row>
    <row r="124" s="10" customFormat="true" ht="14.1" hidden="false" customHeight="true" outlineLevel="0" collapsed="false">
      <c r="A124" s="2"/>
      <c r="B124" s="2"/>
      <c r="C124" s="3"/>
      <c r="D124" s="3"/>
      <c r="E124" s="4"/>
      <c r="F124" s="3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8"/>
      <c r="U124" s="9"/>
      <c r="V124" s="2"/>
      <c r="Y124" s="262"/>
      <c r="Z124" s="12"/>
    </row>
    <row r="125" s="10" customFormat="true" ht="14.1" hidden="false" customHeight="true" outlineLevel="0" collapsed="false">
      <c r="A125" s="2"/>
      <c r="B125" s="2"/>
      <c r="C125" s="3"/>
      <c r="D125" s="3"/>
      <c r="E125" s="4"/>
      <c r="F125" s="3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8"/>
      <c r="U125" s="9"/>
      <c r="V125" s="2"/>
      <c r="Y125" s="262"/>
      <c r="Z125" s="12"/>
    </row>
    <row r="126" s="10" customFormat="true" ht="14.1" hidden="false" customHeight="true" outlineLevel="0" collapsed="false">
      <c r="A126" s="2"/>
      <c r="B126" s="2"/>
      <c r="C126" s="3"/>
      <c r="D126" s="3"/>
      <c r="E126" s="4"/>
      <c r="F126" s="3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8"/>
      <c r="U126" s="9"/>
      <c r="V126" s="2"/>
      <c r="Y126" s="262"/>
      <c r="Z126" s="12"/>
    </row>
    <row r="127" s="10" customFormat="true" ht="14.1" hidden="false" customHeight="true" outlineLevel="0" collapsed="false">
      <c r="A127" s="2"/>
      <c r="B127" s="2"/>
      <c r="C127" s="3"/>
      <c r="D127" s="3"/>
      <c r="E127" s="4"/>
      <c r="F127" s="3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8"/>
      <c r="U127" s="9"/>
      <c r="V127" s="2"/>
      <c r="Y127" s="262"/>
      <c r="Z127" s="12"/>
    </row>
    <row r="128" s="10" customFormat="true" ht="14.1" hidden="false" customHeight="true" outlineLevel="0" collapsed="false">
      <c r="A128" s="2"/>
      <c r="B128" s="2"/>
      <c r="C128" s="3"/>
      <c r="D128" s="3"/>
      <c r="E128" s="4"/>
      <c r="F128" s="3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8"/>
      <c r="U128" s="9"/>
      <c r="V128" s="2"/>
      <c r="Y128" s="262"/>
      <c r="Z128" s="12"/>
    </row>
    <row r="129" s="10" customFormat="true" ht="14.1" hidden="false" customHeight="true" outlineLevel="0" collapsed="false">
      <c r="A129" s="2"/>
      <c r="B129" s="2"/>
      <c r="C129" s="3"/>
      <c r="D129" s="3"/>
      <c r="E129" s="4"/>
      <c r="F129" s="3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8"/>
      <c r="U129" s="9"/>
      <c r="V129" s="2"/>
      <c r="Y129" s="262"/>
      <c r="Z129" s="12"/>
    </row>
    <row r="130" s="10" customFormat="true" ht="14.1" hidden="false" customHeight="true" outlineLevel="0" collapsed="false">
      <c r="A130" s="2"/>
      <c r="B130" s="2"/>
      <c r="C130" s="3"/>
      <c r="D130" s="3"/>
      <c r="E130" s="4"/>
      <c r="F130" s="3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8"/>
      <c r="U130" s="9"/>
      <c r="V130" s="2"/>
      <c r="Y130" s="262"/>
      <c r="Z130" s="12"/>
    </row>
    <row r="131" s="10" customFormat="true" ht="14.1" hidden="false" customHeight="true" outlineLevel="0" collapsed="false">
      <c r="A131" s="2"/>
      <c r="B131" s="2"/>
      <c r="C131" s="3"/>
      <c r="D131" s="3"/>
      <c r="E131" s="4"/>
      <c r="F131" s="3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8"/>
      <c r="U131" s="9"/>
      <c r="V131" s="2"/>
      <c r="Y131" s="262"/>
      <c r="Z131" s="12"/>
    </row>
    <row r="132" s="10" customFormat="true" ht="14.1" hidden="false" customHeight="true" outlineLevel="0" collapsed="false">
      <c r="A132" s="2"/>
      <c r="B132" s="2"/>
      <c r="C132" s="3"/>
      <c r="D132" s="3"/>
      <c r="E132" s="4"/>
      <c r="F132" s="3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8"/>
      <c r="U132" s="9"/>
      <c r="V132" s="2"/>
      <c r="Y132" s="262"/>
      <c r="Z132" s="12"/>
    </row>
    <row r="133" s="10" customFormat="true" ht="14.1" hidden="false" customHeight="true" outlineLevel="0" collapsed="false">
      <c r="A133" s="2"/>
      <c r="B133" s="2"/>
      <c r="C133" s="3"/>
      <c r="D133" s="3"/>
      <c r="E133" s="4"/>
      <c r="F133" s="3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8"/>
      <c r="U133" s="9"/>
      <c r="V133" s="2"/>
      <c r="Y133" s="262"/>
      <c r="Z133" s="12"/>
    </row>
    <row r="134" s="10" customFormat="true" ht="14.1" hidden="false" customHeight="true" outlineLevel="0" collapsed="false">
      <c r="A134" s="2"/>
      <c r="B134" s="2"/>
      <c r="C134" s="3"/>
      <c r="D134" s="3"/>
      <c r="E134" s="4"/>
      <c r="F134" s="3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8"/>
      <c r="U134" s="9"/>
      <c r="V134" s="2"/>
      <c r="Y134" s="262"/>
      <c r="Z134" s="12"/>
    </row>
    <row r="135" s="10" customFormat="true" ht="14.1" hidden="false" customHeight="true" outlineLevel="0" collapsed="false">
      <c r="A135" s="2"/>
      <c r="B135" s="2"/>
      <c r="C135" s="3"/>
      <c r="D135" s="3"/>
      <c r="E135" s="4"/>
      <c r="F135" s="3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8"/>
      <c r="U135" s="9"/>
      <c r="V135" s="2"/>
      <c r="Y135" s="262"/>
      <c r="Z135" s="12"/>
    </row>
    <row r="136" s="10" customFormat="true" ht="14.1" hidden="false" customHeight="true" outlineLevel="0" collapsed="false">
      <c r="A136" s="2"/>
      <c r="B136" s="2"/>
      <c r="C136" s="3"/>
      <c r="D136" s="3"/>
      <c r="E136" s="4"/>
      <c r="F136" s="3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8"/>
      <c r="U136" s="9"/>
      <c r="V136" s="2"/>
      <c r="Y136" s="262"/>
      <c r="Z136" s="12"/>
    </row>
    <row r="137" s="10" customFormat="true" ht="14.1" hidden="false" customHeight="true" outlineLevel="0" collapsed="false">
      <c r="A137" s="2"/>
      <c r="B137" s="2"/>
      <c r="C137" s="3"/>
      <c r="D137" s="3"/>
      <c r="E137" s="4"/>
      <c r="F137" s="3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8"/>
      <c r="U137" s="9"/>
      <c r="V137" s="2"/>
      <c r="Y137" s="262"/>
      <c r="Z137" s="12"/>
    </row>
    <row r="138" s="10" customFormat="true" ht="14.1" hidden="false" customHeight="true" outlineLevel="0" collapsed="false">
      <c r="A138" s="2"/>
      <c r="B138" s="2"/>
      <c r="C138" s="3"/>
      <c r="D138" s="3"/>
      <c r="E138" s="4"/>
      <c r="F138" s="3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8"/>
      <c r="U138" s="9"/>
      <c r="V138" s="2"/>
      <c r="Y138" s="262"/>
      <c r="Z138" s="12"/>
    </row>
    <row r="139" s="10" customFormat="true" ht="14.1" hidden="false" customHeight="true" outlineLevel="0" collapsed="false">
      <c r="A139" s="2"/>
      <c r="B139" s="2"/>
      <c r="C139" s="3"/>
      <c r="D139" s="3"/>
      <c r="E139" s="4"/>
      <c r="F139" s="3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8"/>
      <c r="U139" s="9"/>
      <c r="V139" s="2"/>
      <c r="Y139" s="262"/>
      <c r="Z139" s="12"/>
    </row>
    <row r="140" s="10" customFormat="true" ht="14.1" hidden="false" customHeight="true" outlineLevel="0" collapsed="false">
      <c r="A140" s="2"/>
      <c r="B140" s="2"/>
      <c r="C140" s="3"/>
      <c r="D140" s="3"/>
      <c r="E140" s="4"/>
      <c r="F140" s="3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8"/>
      <c r="U140" s="9"/>
      <c r="V140" s="2"/>
      <c r="Y140" s="262"/>
      <c r="Z140" s="12"/>
    </row>
    <row r="141" s="10" customFormat="true" ht="14.1" hidden="false" customHeight="true" outlineLevel="0" collapsed="false">
      <c r="A141" s="2"/>
      <c r="B141" s="2"/>
      <c r="C141" s="3"/>
      <c r="D141" s="3"/>
      <c r="E141" s="4"/>
      <c r="F141" s="3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8"/>
      <c r="U141" s="9"/>
      <c r="V141" s="2"/>
      <c r="Y141" s="262"/>
      <c r="Z141" s="12"/>
    </row>
    <row r="142" s="10" customFormat="true" ht="14.1" hidden="false" customHeight="true" outlineLevel="0" collapsed="false">
      <c r="A142" s="2"/>
      <c r="B142" s="2"/>
      <c r="C142" s="3"/>
      <c r="D142" s="3"/>
      <c r="E142" s="4"/>
      <c r="F142" s="3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8"/>
      <c r="U142" s="9"/>
      <c r="V142" s="2"/>
      <c r="Y142" s="262"/>
      <c r="Z142" s="12"/>
    </row>
    <row r="143" s="10" customFormat="true" ht="14.1" hidden="false" customHeight="true" outlineLevel="0" collapsed="false">
      <c r="A143" s="2"/>
      <c r="B143" s="2"/>
      <c r="C143" s="3"/>
      <c r="D143" s="3"/>
      <c r="E143" s="4"/>
      <c r="F143" s="3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8"/>
      <c r="U143" s="9"/>
      <c r="V143" s="2"/>
      <c r="Y143" s="262"/>
      <c r="Z143" s="12"/>
    </row>
    <row r="144" s="10" customFormat="true" ht="14.1" hidden="false" customHeight="true" outlineLevel="0" collapsed="false">
      <c r="A144" s="2"/>
      <c r="B144" s="2"/>
      <c r="C144" s="3"/>
      <c r="D144" s="3"/>
      <c r="E144" s="4"/>
      <c r="F144" s="3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8"/>
      <c r="U144" s="9"/>
      <c r="V144" s="2"/>
      <c r="Y144" s="262"/>
      <c r="Z144" s="12"/>
    </row>
    <row r="145" s="10" customFormat="true" ht="14.1" hidden="false" customHeight="true" outlineLevel="0" collapsed="false">
      <c r="A145" s="2"/>
      <c r="B145" s="2"/>
      <c r="C145" s="3"/>
      <c r="D145" s="3"/>
      <c r="E145" s="4"/>
      <c r="F145" s="3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8"/>
      <c r="U145" s="9"/>
      <c r="V145" s="2"/>
      <c r="Y145" s="262"/>
      <c r="Z145" s="12"/>
    </row>
    <row r="146" s="10" customFormat="true" ht="14.1" hidden="false" customHeight="true" outlineLevel="0" collapsed="false">
      <c r="A146" s="2"/>
      <c r="B146" s="2"/>
      <c r="C146" s="3"/>
      <c r="D146" s="3"/>
      <c r="E146" s="4"/>
      <c r="F146" s="3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8"/>
      <c r="U146" s="9"/>
      <c r="V146" s="2"/>
      <c r="Y146" s="262"/>
      <c r="Z146" s="12"/>
    </row>
    <row r="147" s="10" customFormat="true" ht="14.1" hidden="false" customHeight="true" outlineLevel="0" collapsed="false">
      <c r="A147" s="2"/>
      <c r="B147" s="2"/>
      <c r="C147" s="3"/>
      <c r="D147" s="3"/>
      <c r="E147" s="4"/>
      <c r="F147" s="3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8"/>
      <c r="U147" s="9"/>
      <c r="V147" s="2"/>
      <c r="Y147" s="262"/>
      <c r="Z147" s="12"/>
    </row>
    <row r="148" s="10" customFormat="true" ht="14.1" hidden="false" customHeight="true" outlineLevel="0" collapsed="false">
      <c r="A148" s="2"/>
      <c r="B148" s="2"/>
      <c r="C148" s="3"/>
      <c r="D148" s="3"/>
      <c r="E148" s="4"/>
      <c r="F148" s="3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8"/>
      <c r="U148" s="9"/>
      <c r="V148" s="2"/>
      <c r="Y148" s="262"/>
      <c r="Z148" s="12"/>
    </row>
    <row r="149" s="10" customFormat="true" ht="14.1" hidden="false" customHeight="true" outlineLevel="0" collapsed="false">
      <c r="A149" s="2"/>
      <c r="B149" s="2"/>
      <c r="C149" s="3"/>
      <c r="D149" s="3"/>
      <c r="E149" s="4"/>
      <c r="F149" s="3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8"/>
      <c r="U149" s="9"/>
      <c r="V149" s="2"/>
      <c r="Y149" s="262"/>
      <c r="Z149" s="12"/>
    </row>
    <row r="150" s="10" customFormat="true" ht="14.1" hidden="false" customHeight="true" outlineLevel="0" collapsed="false">
      <c r="A150" s="2"/>
      <c r="B150" s="2"/>
      <c r="C150" s="3"/>
      <c r="D150" s="3"/>
      <c r="E150" s="4"/>
      <c r="F150" s="3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8"/>
      <c r="U150" s="9"/>
      <c r="V150" s="2"/>
      <c r="Y150" s="262"/>
      <c r="Z150" s="12"/>
    </row>
    <row r="151" s="10" customFormat="true" ht="14.1" hidden="false" customHeight="true" outlineLevel="0" collapsed="false">
      <c r="A151" s="2"/>
      <c r="B151" s="2"/>
      <c r="C151" s="3"/>
      <c r="D151" s="3"/>
      <c r="E151" s="4"/>
      <c r="F151" s="3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8"/>
      <c r="U151" s="9"/>
      <c r="V151" s="2"/>
      <c r="Y151" s="262"/>
      <c r="Z151" s="12"/>
    </row>
    <row r="152" s="10" customFormat="true" ht="14.1" hidden="false" customHeight="true" outlineLevel="0" collapsed="false">
      <c r="A152" s="2"/>
      <c r="B152" s="2"/>
      <c r="C152" s="3"/>
      <c r="D152" s="3"/>
      <c r="E152" s="4"/>
      <c r="F152" s="3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8"/>
      <c r="U152" s="9"/>
      <c r="V152" s="2"/>
      <c r="Y152" s="262"/>
      <c r="Z152" s="12"/>
    </row>
    <row r="153" s="10" customFormat="true" ht="14.1" hidden="false" customHeight="true" outlineLevel="0" collapsed="false">
      <c r="A153" s="2"/>
      <c r="B153" s="2"/>
      <c r="C153" s="3"/>
      <c r="D153" s="3"/>
      <c r="E153" s="4"/>
      <c r="F153" s="3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8"/>
      <c r="U153" s="9"/>
      <c r="V153" s="2"/>
      <c r="Y153" s="262"/>
      <c r="Z153" s="12"/>
    </row>
    <row r="154" s="10" customFormat="true" ht="14.1" hidden="false" customHeight="true" outlineLevel="0" collapsed="false">
      <c r="A154" s="2"/>
      <c r="B154" s="2"/>
      <c r="C154" s="3"/>
      <c r="D154" s="3"/>
      <c r="E154" s="4"/>
      <c r="F154" s="3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8"/>
      <c r="U154" s="9"/>
      <c r="V154" s="2"/>
      <c r="Y154" s="262"/>
      <c r="Z154" s="12"/>
    </row>
    <row r="155" s="10" customFormat="true" ht="14.1" hidden="false" customHeight="true" outlineLevel="0" collapsed="false">
      <c r="A155" s="2"/>
      <c r="B155" s="2"/>
      <c r="C155" s="3"/>
      <c r="D155" s="3"/>
      <c r="E155" s="4"/>
      <c r="F155" s="3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8"/>
      <c r="U155" s="9"/>
      <c r="V155" s="2"/>
      <c r="Y155" s="262"/>
      <c r="Z155" s="12"/>
    </row>
    <row r="156" s="10" customFormat="true" ht="14.1" hidden="false" customHeight="true" outlineLevel="0" collapsed="false">
      <c r="A156" s="2"/>
      <c r="B156" s="2"/>
      <c r="C156" s="3"/>
      <c r="D156" s="3"/>
      <c r="E156" s="4"/>
      <c r="F156" s="3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8"/>
      <c r="U156" s="9"/>
      <c r="V156" s="2"/>
      <c r="Y156" s="262"/>
      <c r="Z156" s="12"/>
    </row>
    <row r="157" s="10" customFormat="true" ht="14.1" hidden="false" customHeight="true" outlineLevel="0" collapsed="false">
      <c r="A157" s="2"/>
      <c r="B157" s="2"/>
      <c r="C157" s="3"/>
      <c r="D157" s="3"/>
      <c r="E157" s="4"/>
      <c r="F157" s="3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8"/>
      <c r="U157" s="9"/>
      <c r="V157" s="2"/>
      <c r="Y157" s="262"/>
      <c r="Z157" s="12"/>
    </row>
    <row r="158" s="10" customFormat="true" ht="14.1" hidden="false" customHeight="true" outlineLevel="0" collapsed="false">
      <c r="A158" s="2"/>
      <c r="B158" s="2"/>
      <c r="C158" s="3"/>
      <c r="D158" s="3"/>
      <c r="E158" s="4"/>
      <c r="F158" s="3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8"/>
      <c r="U158" s="9"/>
      <c r="V158" s="2"/>
      <c r="Y158" s="262"/>
      <c r="Z158" s="12"/>
    </row>
    <row r="159" s="10" customFormat="true" ht="14.1" hidden="false" customHeight="true" outlineLevel="0" collapsed="false">
      <c r="A159" s="2"/>
      <c r="B159" s="2"/>
      <c r="C159" s="3"/>
      <c r="D159" s="3"/>
      <c r="E159" s="4"/>
      <c r="F159" s="3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8"/>
      <c r="U159" s="9"/>
      <c r="V159" s="2"/>
      <c r="Y159" s="262"/>
      <c r="Z159" s="12"/>
    </row>
    <row r="160" s="10" customFormat="true" ht="14.1" hidden="false" customHeight="true" outlineLevel="0" collapsed="false">
      <c r="A160" s="2"/>
      <c r="B160" s="2"/>
      <c r="C160" s="3"/>
      <c r="D160" s="3"/>
      <c r="E160" s="4"/>
      <c r="F160" s="3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8"/>
      <c r="U160" s="9"/>
      <c r="V160" s="2"/>
      <c r="Y160" s="262"/>
      <c r="Z160" s="12"/>
    </row>
    <row r="161" s="10" customFormat="true" ht="14.1" hidden="false" customHeight="true" outlineLevel="0" collapsed="false">
      <c r="A161" s="2"/>
      <c r="B161" s="2"/>
      <c r="C161" s="3"/>
      <c r="D161" s="3"/>
      <c r="E161" s="4"/>
      <c r="F161" s="3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8"/>
      <c r="U161" s="9"/>
      <c r="V161" s="2"/>
      <c r="Y161" s="262"/>
      <c r="Z161" s="12"/>
    </row>
    <row r="162" s="10" customFormat="true" ht="14.1" hidden="false" customHeight="true" outlineLevel="0" collapsed="false">
      <c r="A162" s="2"/>
      <c r="B162" s="2"/>
      <c r="C162" s="3"/>
      <c r="D162" s="3"/>
      <c r="E162" s="4"/>
      <c r="F162" s="3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8"/>
      <c r="U162" s="9"/>
      <c r="V162" s="2"/>
      <c r="Y162" s="262"/>
      <c r="Z162" s="12"/>
    </row>
    <row r="163" s="10" customFormat="true" ht="14.1" hidden="false" customHeight="true" outlineLevel="0" collapsed="false">
      <c r="A163" s="2"/>
      <c r="B163" s="2"/>
      <c r="C163" s="3"/>
      <c r="D163" s="3"/>
      <c r="E163" s="4"/>
      <c r="F163" s="3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8"/>
      <c r="U163" s="9"/>
      <c r="V163" s="2"/>
      <c r="Y163" s="262"/>
      <c r="Z163" s="12"/>
    </row>
    <row r="164" s="10" customFormat="true" ht="14.1" hidden="false" customHeight="true" outlineLevel="0" collapsed="false">
      <c r="A164" s="2"/>
      <c r="B164" s="2"/>
      <c r="C164" s="3"/>
      <c r="D164" s="3"/>
      <c r="E164" s="4"/>
      <c r="F164" s="3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8"/>
      <c r="U164" s="9"/>
      <c r="V164" s="2"/>
      <c r="Y164" s="262"/>
      <c r="Z164" s="12"/>
    </row>
    <row r="165" s="10" customFormat="true" ht="14.1" hidden="false" customHeight="true" outlineLevel="0" collapsed="false">
      <c r="A165" s="2"/>
      <c r="B165" s="2"/>
      <c r="C165" s="3"/>
      <c r="D165" s="3"/>
      <c r="E165" s="4"/>
      <c r="F165" s="3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8"/>
      <c r="U165" s="9"/>
      <c r="V165" s="2"/>
      <c r="Y165" s="262"/>
      <c r="Z165" s="12"/>
    </row>
    <row r="166" s="10" customFormat="true" ht="14.1" hidden="false" customHeight="true" outlineLevel="0" collapsed="false">
      <c r="A166" s="2"/>
      <c r="B166" s="2"/>
      <c r="C166" s="3"/>
      <c r="D166" s="3"/>
      <c r="E166" s="4"/>
      <c r="F166" s="3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8"/>
      <c r="U166" s="9"/>
      <c r="V166" s="2"/>
      <c r="Y166" s="262"/>
      <c r="Z166" s="12"/>
    </row>
    <row r="167" s="10" customFormat="true" ht="14.1" hidden="false" customHeight="true" outlineLevel="0" collapsed="false">
      <c r="A167" s="2"/>
      <c r="B167" s="2"/>
      <c r="C167" s="3"/>
      <c r="D167" s="3"/>
      <c r="E167" s="4"/>
      <c r="F167" s="3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8"/>
      <c r="U167" s="9"/>
      <c r="V167" s="2"/>
      <c r="Y167" s="262"/>
      <c r="Z167" s="12"/>
    </row>
    <row r="168" s="10" customFormat="true" ht="14.1" hidden="false" customHeight="true" outlineLevel="0" collapsed="false">
      <c r="A168" s="2"/>
      <c r="B168" s="2"/>
      <c r="C168" s="3"/>
      <c r="D168" s="3"/>
      <c r="E168" s="4"/>
      <c r="F168" s="3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8"/>
      <c r="U168" s="9"/>
      <c r="V168" s="2"/>
      <c r="Y168" s="262"/>
      <c r="Z168" s="12"/>
    </row>
    <row r="169" s="10" customFormat="true" ht="14.1" hidden="false" customHeight="true" outlineLevel="0" collapsed="false">
      <c r="A169" s="2"/>
      <c r="B169" s="2"/>
      <c r="C169" s="3"/>
      <c r="D169" s="3"/>
      <c r="E169" s="4"/>
      <c r="F169" s="3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8"/>
      <c r="U169" s="9"/>
      <c r="V169" s="2"/>
      <c r="Y169" s="262"/>
      <c r="Z169" s="12"/>
    </row>
    <row r="170" s="10" customFormat="true" ht="14.1" hidden="false" customHeight="true" outlineLevel="0" collapsed="false">
      <c r="A170" s="2"/>
      <c r="B170" s="2"/>
      <c r="C170" s="3"/>
      <c r="D170" s="3"/>
      <c r="E170" s="4"/>
      <c r="F170" s="3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8"/>
      <c r="U170" s="9"/>
      <c r="V170" s="2"/>
      <c r="Y170" s="262"/>
      <c r="Z170" s="12"/>
    </row>
    <row r="171" s="10" customFormat="true" ht="14.1" hidden="false" customHeight="true" outlineLevel="0" collapsed="false">
      <c r="A171" s="2"/>
      <c r="B171" s="2"/>
      <c r="C171" s="3"/>
      <c r="D171" s="3"/>
      <c r="E171" s="4"/>
      <c r="F171" s="3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8"/>
      <c r="U171" s="9"/>
      <c r="V171" s="2"/>
      <c r="Y171" s="262"/>
      <c r="Z171" s="12"/>
    </row>
    <row r="172" s="10" customFormat="true" ht="14.1" hidden="false" customHeight="true" outlineLevel="0" collapsed="false">
      <c r="A172" s="2"/>
      <c r="B172" s="2"/>
      <c r="C172" s="3"/>
      <c r="D172" s="3"/>
      <c r="E172" s="4"/>
      <c r="F172" s="3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8"/>
      <c r="U172" s="9"/>
      <c r="V172" s="2"/>
      <c r="Y172" s="262"/>
      <c r="Z172" s="12"/>
    </row>
    <row r="173" s="10" customFormat="true" ht="14.1" hidden="false" customHeight="true" outlineLevel="0" collapsed="false">
      <c r="A173" s="2"/>
      <c r="B173" s="2"/>
      <c r="C173" s="3"/>
      <c r="D173" s="3"/>
      <c r="E173" s="4"/>
      <c r="F173" s="3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8"/>
      <c r="U173" s="9"/>
      <c r="V173" s="2"/>
      <c r="Y173" s="262"/>
      <c r="Z173" s="12"/>
    </row>
    <row r="174" s="10" customFormat="true" ht="14.1" hidden="false" customHeight="true" outlineLevel="0" collapsed="false">
      <c r="A174" s="2"/>
      <c r="B174" s="2"/>
      <c r="C174" s="3"/>
      <c r="D174" s="3"/>
      <c r="E174" s="4"/>
      <c r="F174" s="3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8"/>
      <c r="U174" s="9"/>
      <c r="V174" s="2"/>
      <c r="Y174" s="262"/>
      <c r="Z174" s="12"/>
    </row>
    <row r="175" s="10" customFormat="true" ht="14.1" hidden="false" customHeight="true" outlineLevel="0" collapsed="false">
      <c r="A175" s="2"/>
      <c r="B175" s="2"/>
      <c r="C175" s="3"/>
      <c r="D175" s="3"/>
      <c r="E175" s="4"/>
      <c r="F175" s="3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8"/>
      <c r="U175" s="9"/>
      <c r="V175" s="2"/>
      <c r="Y175" s="262"/>
      <c r="Z175" s="12"/>
    </row>
    <row r="176" s="10" customFormat="true" ht="14.1" hidden="false" customHeight="true" outlineLevel="0" collapsed="false">
      <c r="A176" s="2"/>
      <c r="B176" s="2"/>
      <c r="C176" s="3"/>
      <c r="D176" s="3"/>
      <c r="E176" s="4"/>
      <c r="F176" s="3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8"/>
      <c r="U176" s="9"/>
      <c r="V176" s="2"/>
      <c r="Y176" s="262"/>
      <c r="Z176" s="12"/>
    </row>
    <row r="177" s="10" customFormat="true" ht="14.1" hidden="false" customHeight="true" outlineLevel="0" collapsed="false">
      <c r="A177" s="2"/>
      <c r="B177" s="2"/>
      <c r="C177" s="3"/>
      <c r="D177" s="3"/>
      <c r="E177" s="4"/>
      <c r="F177" s="3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8"/>
      <c r="U177" s="9"/>
      <c r="V177" s="2"/>
      <c r="Y177" s="262"/>
      <c r="Z177" s="12"/>
    </row>
    <row r="178" s="10" customFormat="true" ht="14.1" hidden="false" customHeight="true" outlineLevel="0" collapsed="false">
      <c r="A178" s="2"/>
      <c r="B178" s="2"/>
      <c r="C178" s="3"/>
      <c r="D178" s="3"/>
      <c r="E178" s="4"/>
      <c r="F178" s="3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8"/>
      <c r="U178" s="9"/>
      <c r="V178" s="2"/>
      <c r="Y178" s="262"/>
      <c r="Z178" s="12"/>
    </row>
    <row r="179" s="10" customFormat="true" ht="14.1" hidden="false" customHeight="true" outlineLevel="0" collapsed="false">
      <c r="A179" s="2"/>
      <c r="B179" s="2"/>
      <c r="C179" s="3"/>
      <c r="D179" s="3"/>
      <c r="E179" s="4"/>
      <c r="F179" s="3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8"/>
      <c r="U179" s="9"/>
      <c r="V179" s="2"/>
      <c r="Y179" s="262"/>
      <c r="Z179" s="12"/>
    </row>
    <row r="180" s="10" customFormat="true" ht="14.1" hidden="false" customHeight="true" outlineLevel="0" collapsed="false">
      <c r="A180" s="2"/>
      <c r="B180" s="2"/>
      <c r="C180" s="3"/>
      <c r="D180" s="3"/>
      <c r="E180" s="4"/>
      <c r="F180" s="3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8"/>
      <c r="U180" s="9"/>
      <c r="V180" s="2"/>
      <c r="Y180" s="262"/>
      <c r="Z180" s="12"/>
    </row>
    <row r="181" s="10" customFormat="true" ht="14.1" hidden="false" customHeight="true" outlineLevel="0" collapsed="false">
      <c r="A181" s="2"/>
      <c r="B181" s="2"/>
      <c r="C181" s="3"/>
      <c r="D181" s="3"/>
      <c r="E181" s="4"/>
      <c r="F181" s="3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8"/>
      <c r="U181" s="9"/>
      <c r="V181" s="2"/>
      <c r="Y181" s="262"/>
      <c r="Z181" s="12"/>
    </row>
    <row r="182" s="10" customFormat="true" ht="14.1" hidden="false" customHeight="true" outlineLevel="0" collapsed="false">
      <c r="A182" s="2"/>
      <c r="B182" s="2"/>
      <c r="C182" s="3"/>
      <c r="D182" s="3"/>
      <c r="E182" s="4"/>
      <c r="F182" s="3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8"/>
      <c r="U182" s="9"/>
      <c r="V182" s="2"/>
      <c r="Y182" s="262"/>
      <c r="Z182" s="12"/>
    </row>
    <row r="183" s="10" customFormat="true" ht="14.1" hidden="false" customHeight="true" outlineLevel="0" collapsed="false">
      <c r="A183" s="2"/>
      <c r="B183" s="2"/>
      <c r="C183" s="3"/>
      <c r="D183" s="3"/>
      <c r="E183" s="4"/>
      <c r="F183" s="3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8"/>
      <c r="U183" s="9"/>
      <c r="V183" s="2"/>
      <c r="Y183" s="262"/>
      <c r="Z183" s="12"/>
    </row>
    <row r="184" s="10" customFormat="true" ht="14.1" hidden="false" customHeight="true" outlineLevel="0" collapsed="false">
      <c r="A184" s="2"/>
      <c r="B184" s="2"/>
      <c r="C184" s="3"/>
      <c r="D184" s="3"/>
      <c r="E184" s="4"/>
      <c r="F184" s="3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8"/>
      <c r="U184" s="9"/>
      <c r="V184" s="2"/>
      <c r="Y184" s="262"/>
      <c r="Z184" s="12"/>
    </row>
    <row r="185" s="10" customFormat="true" ht="14.1" hidden="false" customHeight="true" outlineLevel="0" collapsed="false">
      <c r="A185" s="2"/>
      <c r="B185" s="2"/>
      <c r="C185" s="3"/>
      <c r="D185" s="3"/>
      <c r="E185" s="4"/>
      <c r="F185" s="3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8"/>
      <c r="U185" s="9"/>
      <c r="V185" s="2"/>
      <c r="Y185" s="262"/>
      <c r="Z185" s="12"/>
    </row>
    <row r="186" s="10" customFormat="true" ht="14.1" hidden="false" customHeight="true" outlineLevel="0" collapsed="false">
      <c r="A186" s="2"/>
      <c r="B186" s="2"/>
      <c r="C186" s="3"/>
      <c r="D186" s="3"/>
      <c r="E186" s="4"/>
      <c r="F186" s="3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8"/>
      <c r="U186" s="9"/>
      <c r="V186" s="2"/>
      <c r="Y186" s="262"/>
      <c r="Z186" s="12"/>
    </row>
    <row r="187" s="10" customFormat="true" ht="14.1" hidden="false" customHeight="true" outlineLevel="0" collapsed="false">
      <c r="A187" s="2"/>
      <c r="B187" s="2"/>
      <c r="C187" s="3"/>
      <c r="D187" s="3"/>
      <c r="E187" s="4"/>
      <c r="F187" s="3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8"/>
      <c r="U187" s="9"/>
      <c r="V187" s="2"/>
      <c r="Y187" s="262"/>
      <c r="Z187" s="12"/>
    </row>
    <row r="188" s="10" customFormat="true" ht="14.1" hidden="false" customHeight="true" outlineLevel="0" collapsed="false">
      <c r="A188" s="2"/>
      <c r="B188" s="2"/>
      <c r="C188" s="3"/>
      <c r="D188" s="3"/>
      <c r="E188" s="4"/>
      <c r="F188" s="3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8"/>
      <c r="U188" s="9"/>
      <c r="V188" s="2"/>
      <c r="Y188" s="262"/>
      <c r="Z188" s="12"/>
    </row>
    <row r="189" s="10" customFormat="true" ht="14.1" hidden="false" customHeight="true" outlineLevel="0" collapsed="false">
      <c r="A189" s="2"/>
      <c r="B189" s="2"/>
      <c r="C189" s="3"/>
      <c r="D189" s="3"/>
      <c r="E189" s="4"/>
      <c r="F189" s="3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8"/>
      <c r="U189" s="9"/>
      <c r="V189" s="2"/>
      <c r="Y189" s="262"/>
      <c r="Z189" s="12"/>
    </row>
    <row r="190" s="10" customFormat="true" ht="14.1" hidden="false" customHeight="true" outlineLevel="0" collapsed="false">
      <c r="A190" s="2"/>
      <c r="B190" s="2"/>
      <c r="C190" s="3"/>
      <c r="D190" s="3"/>
      <c r="E190" s="4"/>
      <c r="F190" s="3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8"/>
      <c r="U190" s="9"/>
      <c r="V190" s="2"/>
      <c r="Y190" s="262"/>
      <c r="Z190" s="12"/>
    </row>
    <row r="191" s="10" customFormat="true" ht="14.1" hidden="false" customHeight="true" outlineLevel="0" collapsed="false">
      <c r="A191" s="2"/>
      <c r="B191" s="2"/>
      <c r="C191" s="3"/>
      <c r="D191" s="3"/>
      <c r="E191" s="4"/>
      <c r="F191" s="3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8"/>
      <c r="U191" s="9"/>
      <c r="V191" s="2"/>
      <c r="Y191" s="262"/>
      <c r="Z191" s="12"/>
    </row>
    <row r="192" s="10" customFormat="true" ht="14.1" hidden="false" customHeight="true" outlineLevel="0" collapsed="false">
      <c r="A192" s="2"/>
      <c r="B192" s="2"/>
      <c r="C192" s="3"/>
      <c r="D192" s="3"/>
      <c r="E192" s="4"/>
      <c r="F192" s="3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8"/>
      <c r="U192" s="9"/>
      <c r="V192" s="2"/>
      <c r="Y192" s="262"/>
      <c r="Z192" s="12"/>
    </row>
    <row r="193" s="10" customFormat="true" ht="14.1" hidden="false" customHeight="true" outlineLevel="0" collapsed="false">
      <c r="A193" s="2"/>
      <c r="B193" s="2"/>
      <c r="C193" s="3"/>
      <c r="D193" s="3"/>
      <c r="E193" s="4"/>
      <c r="F193" s="3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8"/>
      <c r="U193" s="9"/>
      <c r="V193" s="2"/>
      <c r="Y193" s="262"/>
      <c r="Z193" s="12"/>
    </row>
    <row r="194" s="10" customFormat="true" ht="14.1" hidden="false" customHeight="true" outlineLevel="0" collapsed="false">
      <c r="A194" s="2"/>
      <c r="B194" s="2"/>
      <c r="C194" s="3"/>
      <c r="D194" s="3"/>
      <c r="E194" s="4"/>
      <c r="F194" s="3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8"/>
      <c r="U194" s="9"/>
      <c r="V194" s="2"/>
      <c r="Y194" s="262"/>
      <c r="Z194" s="12"/>
    </row>
    <row r="195" s="10" customFormat="true" ht="14.1" hidden="false" customHeight="true" outlineLevel="0" collapsed="false">
      <c r="A195" s="2"/>
      <c r="B195" s="2"/>
      <c r="C195" s="3"/>
      <c r="D195" s="3"/>
      <c r="E195" s="4"/>
      <c r="F195" s="3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8"/>
      <c r="U195" s="9"/>
      <c r="V195" s="2"/>
      <c r="Y195" s="262"/>
      <c r="Z195" s="12"/>
    </row>
    <row r="196" s="10" customFormat="true" ht="14.1" hidden="false" customHeight="true" outlineLevel="0" collapsed="false">
      <c r="A196" s="2"/>
      <c r="B196" s="2"/>
      <c r="C196" s="3"/>
      <c r="D196" s="3"/>
      <c r="E196" s="4"/>
      <c r="F196" s="3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8"/>
      <c r="U196" s="9"/>
      <c r="V196" s="2"/>
      <c r="Y196" s="262"/>
      <c r="Z196" s="12"/>
    </row>
    <row r="197" s="10" customFormat="true" ht="14.1" hidden="false" customHeight="true" outlineLevel="0" collapsed="false">
      <c r="A197" s="2"/>
      <c r="B197" s="2"/>
      <c r="C197" s="3"/>
      <c r="D197" s="3"/>
      <c r="E197" s="4"/>
      <c r="F197" s="3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8"/>
      <c r="U197" s="9"/>
      <c r="V197" s="2"/>
      <c r="Y197" s="262"/>
      <c r="Z197" s="12"/>
    </row>
    <row r="198" s="10" customFormat="true" ht="14.1" hidden="false" customHeight="true" outlineLevel="0" collapsed="false">
      <c r="A198" s="2"/>
      <c r="B198" s="2"/>
      <c r="C198" s="3"/>
      <c r="D198" s="3"/>
      <c r="E198" s="4"/>
      <c r="F198" s="3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8"/>
      <c r="U198" s="9"/>
      <c r="V198" s="2"/>
      <c r="Y198" s="262"/>
      <c r="Z198" s="12"/>
    </row>
    <row r="199" s="10" customFormat="true" ht="14.1" hidden="false" customHeight="true" outlineLevel="0" collapsed="false">
      <c r="A199" s="2"/>
      <c r="B199" s="2"/>
      <c r="C199" s="3"/>
      <c r="D199" s="3"/>
      <c r="E199" s="4"/>
      <c r="F199" s="3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8"/>
      <c r="U199" s="9"/>
      <c r="V199" s="2"/>
      <c r="Y199" s="262"/>
      <c r="Z199" s="12"/>
    </row>
    <row r="200" s="10" customFormat="true" ht="14.1" hidden="false" customHeight="true" outlineLevel="0" collapsed="false">
      <c r="A200" s="2"/>
      <c r="B200" s="2"/>
      <c r="C200" s="3"/>
      <c r="D200" s="3"/>
      <c r="E200" s="4"/>
      <c r="F200" s="3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8"/>
      <c r="U200" s="9"/>
      <c r="V200" s="2"/>
      <c r="Y200" s="262"/>
      <c r="Z200" s="12"/>
    </row>
    <row r="201" s="10" customFormat="true" ht="14.1" hidden="false" customHeight="true" outlineLevel="0" collapsed="false">
      <c r="A201" s="2"/>
      <c r="B201" s="2"/>
      <c r="C201" s="3"/>
      <c r="D201" s="3"/>
      <c r="E201" s="4"/>
      <c r="F201" s="3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8"/>
      <c r="U201" s="9"/>
      <c r="V201" s="2"/>
      <c r="Y201" s="262"/>
      <c r="Z201" s="12"/>
    </row>
    <row r="202" s="10" customFormat="true" ht="14.1" hidden="false" customHeight="true" outlineLevel="0" collapsed="false">
      <c r="A202" s="2"/>
      <c r="B202" s="2"/>
      <c r="C202" s="3"/>
      <c r="D202" s="3"/>
      <c r="E202" s="4"/>
      <c r="F202" s="3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8"/>
      <c r="U202" s="9"/>
      <c r="V202" s="2"/>
      <c r="Y202" s="262"/>
      <c r="Z202" s="12"/>
    </row>
    <row r="203" s="10" customFormat="true" ht="14.1" hidden="false" customHeight="true" outlineLevel="0" collapsed="false">
      <c r="A203" s="2"/>
      <c r="B203" s="2"/>
      <c r="C203" s="3"/>
      <c r="D203" s="3"/>
      <c r="E203" s="4"/>
      <c r="F203" s="3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8"/>
      <c r="U203" s="9"/>
      <c r="V203" s="2"/>
      <c r="Y203" s="262"/>
      <c r="Z203" s="12"/>
    </row>
    <row r="204" s="10" customFormat="true" ht="14.1" hidden="false" customHeight="true" outlineLevel="0" collapsed="false">
      <c r="A204" s="2"/>
      <c r="B204" s="2"/>
      <c r="C204" s="3"/>
      <c r="D204" s="3"/>
      <c r="E204" s="4"/>
      <c r="F204" s="3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8"/>
      <c r="U204" s="9"/>
      <c r="V204" s="2"/>
      <c r="Y204" s="262"/>
      <c r="Z204" s="12"/>
    </row>
    <row r="205" s="10" customFormat="true" ht="14.1" hidden="false" customHeight="true" outlineLevel="0" collapsed="false">
      <c r="A205" s="2"/>
      <c r="B205" s="2"/>
      <c r="C205" s="3"/>
      <c r="D205" s="3"/>
      <c r="E205" s="4"/>
      <c r="F205" s="3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8"/>
      <c r="U205" s="9"/>
      <c r="V205" s="2"/>
      <c r="Y205" s="262"/>
      <c r="Z205" s="12"/>
    </row>
    <row r="206" s="10" customFormat="true" ht="14.1" hidden="false" customHeight="true" outlineLevel="0" collapsed="false">
      <c r="A206" s="2"/>
      <c r="B206" s="2"/>
      <c r="C206" s="3"/>
      <c r="D206" s="3"/>
      <c r="E206" s="4"/>
      <c r="F206" s="3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8"/>
      <c r="U206" s="9"/>
      <c r="V206" s="2"/>
      <c r="Y206" s="262"/>
      <c r="Z206" s="12"/>
    </row>
    <row r="207" s="10" customFormat="true" ht="14.1" hidden="false" customHeight="true" outlineLevel="0" collapsed="false">
      <c r="A207" s="2"/>
      <c r="B207" s="2"/>
      <c r="C207" s="3"/>
      <c r="D207" s="3"/>
      <c r="E207" s="4"/>
      <c r="F207" s="3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8"/>
      <c r="U207" s="9"/>
      <c r="V207" s="2"/>
      <c r="Y207" s="262"/>
      <c r="Z207" s="12"/>
    </row>
    <row r="208" s="10" customFormat="true" ht="14.1" hidden="false" customHeight="true" outlineLevel="0" collapsed="false">
      <c r="A208" s="2"/>
      <c r="B208" s="2"/>
      <c r="C208" s="3"/>
      <c r="D208" s="3"/>
      <c r="E208" s="4"/>
      <c r="F208" s="3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8"/>
      <c r="U208" s="9"/>
      <c r="V208" s="2"/>
      <c r="Y208" s="262"/>
      <c r="Z208" s="12"/>
    </row>
    <row r="209" s="10" customFormat="true" ht="14.1" hidden="false" customHeight="true" outlineLevel="0" collapsed="false">
      <c r="A209" s="2"/>
      <c r="B209" s="2"/>
      <c r="C209" s="3"/>
      <c r="D209" s="3"/>
      <c r="E209" s="4"/>
      <c r="F209" s="3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8"/>
      <c r="U209" s="9"/>
      <c r="V209" s="2"/>
      <c r="Y209" s="262"/>
      <c r="Z209" s="12"/>
    </row>
    <row r="210" s="10" customFormat="true" ht="14.1" hidden="false" customHeight="true" outlineLevel="0" collapsed="false">
      <c r="A210" s="2"/>
      <c r="B210" s="2"/>
      <c r="C210" s="3"/>
      <c r="D210" s="3"/>
      <c r="E210" s="4"/>
      <c r="F210" s="3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8"/>
      <c r="U210" s="9"/>
      <c r="V210" s="2"/>
      <c r="Y210" s="262"/>
      <c r="Z210" s="12"/>
    </row>
    <row r="211" s="10" customFormat="true" ht="14.1" hidden="false" customHeight="true" outlineLevel="0" collapsed="false">
      <c r="A211" s="2"/>
      <c r="B211" s="2"/>
      <c r="C211" s="3"/>
      <c r="D211" s="3"/>
      <c r="E211" s="4"/>
      <c r="F211" s="3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8"/>
      <c r="U211" s="9"/>
      <c r="V211" s="2"/>
      <c r="Y211" s="262"/>
      <c r="Z211" s="12"/>
    </row>
    <row r="212" s="10" customFormat="true" ht="14.1" hidden="false" customHeight="true" outlineLevel="0" collapsed="false">
      <c r="A212" s="2"/>
      <c r="B212" s="2"/>
      <c r="C212" s="3"/>
      <c r="D212" s="3"/>
      <c r="E212" s="4"/>
      <c r="F212" s="3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8"/>
      <c r="U212" s="9"/>
      <c r="V212" s="2"/>
      <c r="Y212" s="262"/>
      <c r="Z212" s="12"/>
    </row>
    <row r="213" s="10" customFormat="true" ht="14.1" hidden="false" customHeight="true" outlineLevel="0" collapsed="false">
      <c r="A213" s="2"/>
      <c r="B213" s="2"/>
      <c r="C213" s="3"/>
      <c r="D213" s="3"/>
      <c r="E213" s="4"/>
      <c r="F213" s="3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8"/>
      <c r="U213" s="9"/>
      <c r="V213" s="2"/>
      <c r="Y213" s="262"/>
      <c r="Z213" s="12"/>
    </row>
    <row r="214" s="10" customFormat="true" ht="14.1" hidden="false" customHeight="true" outlineLevel="0" collapsed="false">
      <c r="A214" s="2"/>
      <c r="B214" s="2"/>
      <c r="C214" s="3"/>
      <c r="D214" s="3"/>
      <c r="E214" s="4"/>
      <c r="F214" s="3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8"/>
      <c r="U214" s="9"/>
      <c r="V214" s="2"/>
      <c r="Y214" s="262"/>
      <c r="Z214" s="12"/>
    </row>
    <row r="215" s="10" customFormat="true" ht="14.1" hidden="false" customHeight="true" outlineLevel="0" collapsed="false">
      <c r="A215" s="2"/>
      <c r="B215" s="2"/>
      <c r="C215" s="3"/>
      <c r="D215" s="3"/>
      <c r="E215" s="4"/>
      <c r="F215" s="3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8"/>
      <c r="U215" s="9"/>
      <c r="V215" s="2"/>
      <c r="Y215" s="262"/>
      <c r="Z215" s="12"/>
    </row>
    <row r="216" s="10" customFormat="true" ht="14.1" hidden="false" customHeight="true" outlineLevel="0" collapsed="false">
      <c r="A216" s="2"/>
      <c r="B216" s="2"/>
      <c r="C216" s="3"/>
      <c r="D216" s="3"/>
      <c r="E216" s="4"/>
      <c r="F216" s="3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8"/>
      <c r="U216" s="9"/>
      <c r="V216" s="2"/>
      <c r="Y216" s="262"/>
      <c r="Z216" s="12"/>
    </row>
    <row r="217" s="10" customFormat="true" ht="14.1" hidden="false" customHeight="true" outlineLevel="0" collapsed="false">
      <c r="A217" s="2"/>
      <c r="B217" s="2"/>
      <c r="C217" s="3"/>
      <c r="D217" s="3"/>
      <c r="E217" s="4"/>
      <c r="F217" s="3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8"/>
      <c r="U217" s="9"/>
      <c r="V217" s="2"/>
      <c r="Y217" s="262"/>
      <c r="Z217" s="12"/>
    </row>
    <row r="218" s="10" customFormat="true" ht="14.1" hidden="false" customHeight="true" outlineLevel="0" collapsed="false">
      <c r="A218" s="2"/>
      <c r="B218" s="2"/>
      <c r="C218" s="3"/>
      <c r="D218" s="3"/>
      <c r="E218" s="4"/>
      <c r="F218" s="3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8"/>
      <c r="U218" s="9"/>
      <c r="V218" s="2"/>
      <c r="Y218" s="262"/>
      <c r="Z218" s="12"/>
    </row>
    <row r="219" s="10" customFormat="true" ht="14.1" hidden="false" customHeight="true" outlineLevel="0" collapsed="false">
      <c r="A219" s="2"/>
      <c r="B219" s="2"/>
      <c r="C219" s="3"/>
      <c r="D219" s="3"/>
      <c r="E219" s="4"/>
      <c r="F219" s="3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8"/>
      <c r="U219" s="9"/>
      <c r="V219" s="2"/>
      <c r="Y219" s="262"/>
      <c r="Z219" s="12"/>
    </row>
    <row r="220" s="10" customFormat="true" ht="14.1" hidden="false" customHeight="true" outlineLevel="0" collapsed="false">
      <c r="A220" s="2"/>
      <c r="B220" s="2"/>
      <c r="C220" s="3"/>
      <c r="D220" s="3"/>
      <c r="E220" s="4"/>
      <c r="F220" s="3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8"/>
      <c r="U220" s="9"/>
      <c r="V220" s="2"/>
      <c r="Y220" s="262"/>
      <c r="Z220" s="12"/>
    </row>
    <row r="221" s="10" customFormat="true" ht="14.1" hidden="false" customHeight="true" outlineLevel="0" collapsed="false">
      <c r="A221" s="2"/>
      <c r="B221" s="2"/>
      <c r="C221" s="3"/>
      <c r="D221" s="3"/>
      <c r="E221" s="4"/>
      <c r="F221" s="3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8"/>
      <c r="U221" s="9"/>
      <c r="V221" s="2"/>
      <c r="Y221" s="262"/>
      <c r="Z221" s="12"/>
    </row>
    <row r="222" s="10" customFormat="true" ht="14.1" hidden="false" customHeight="true" outlineLevel="0" collapsed="false">
      <c r="A222" s="2"/>
      <c r="B222" s="2"/>
      <c r="C222" s="3"/>
      <c r="D222" s="3"/>
      <c r="E222" s="4"/>
      <c r="F222" s="3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8"/>
      <c r="U222" s="9"/>
      <c r="V222" s="2"/>
      <c r="Y222" s="262"/>
      <c r="Z222" s="12"/>
    </row>
    <row r="223" s="10" customFormat="true" ht="14.1" hidden="false" customHeight="true" outlineLevel="0" collapsed="false">
      <c r="A223" s="2"/>
      <c r="B223" s="2"/>
      <c r="C223" s="3"/>
      <c r="D223" s="3"/>
      <c r="E223" s="4"/>
      <c r="F223" s="3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8"/>
      <c r="U223" s="9"/>
      <c r="V223" s="2"/>
      <c r="Y223" s="262"/>
      <c r="Z223" s="12"/>
    </row>
    <row r="224" s="10" customFormat="true" ht="14.1" hidden="false" customHeight="true" outlineLevel="0" collapsed="false">
      <c r="A224" s="2"/>
      <c r="B224" s="2"/>
      <c r="C224" s="3"/>
      <c r="D224" s="3"/>
      <c r="E224" s="4"/>
      <c r="F224" s="3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8"/>
      <c r="U224" s="9"/>
      <c r="V224" s="2"/>
      <c r="Y224" s="262"/>
      <c r="Z224" s="12"/>
    </row>
    <row r="225" s="10" customFormat="true" ht="14.1" hidden="false" customHeight="true" outlineLevel="0" collapsed="false">
      <c r="A225" s="2"/>
      <c r="B225" s="2"/>
      <c r="C225" s="3"/>
      <c r="D225" s="3"/>
      <c r="E225" s="4"/>
      <c r="F225" s="3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8"/>
      <c r="U225" s="9"/>
      <c r="V225" s="2"/>
      <c r="Y225" s="262"/>
      <c r="Z225" s="12"/>
    </row>
    <row r="226" s="10" customFormat="true" ht="14.1" hidden="false" customHeight="true" outlineLevel="0" collapsed="false">
      <c r="A226" s="2"/>
      <c r="B226" s="2"/>
      <c r="C226" s="3"/>
      <c r="D226" s="3"/>
      <c r="E226" s="4"/>
      <c r="F226" s="3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8"/>
      <c r="U226" s="9"/>
      <c r="V226" s="2"/>
      <c r="Y226" s="262"/>
      <c r="Z226" s="12"/>
    </row>
    <row r="227" s="10" customFormat="true" ht="14.1" hidden="false" customHeight="true" outlineLevel="0" collapsed="false">
      <c r="A227" s="2"/>
      <c r="B227" s="2"/>
      <c r="C227" s="3"/>
      <c r="D227" s="3"/>
      <c r="E227" s="4"/>
      <c r="F227" s="3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8"/>
      <c r="U227" s="9"/>
      <c r="V227" s="2"/>
      <c r="Y227" s="262"/>
      <c r="Z227" s="12"/>
    </row>
    <row r="228" s="10" customFormat="true" ht="14.1" hidden="false" customHeight="true" outlineLevel="0" collapsed="false">
      <c r="A228" s="2"/>
      <c r="B228" s="2"/>
      <c r="C228" s="3"/>
      <c r="D228" s="3"/>
      <c r="E228" s="4"/>
      <c r="F228" s="3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8"/>
      <c r="U228" s="9"/>
      <c r="V228" s="2"/>
      <c r="Y228" s="262"/>
      <c r="Z228" s="12"/>
    </row>
    <row r="229" s="10" customFormat="true" ht="14.1" hidden="false" customHeight="true" outlineLevel="0" collapsed="false">
      <c r="A229" s="2"/>
      <c r="B229" s="2"/>
      <c r="C229" s="3"/>
      <c r="D229" s="3"/>
      <c r="E229" s="4"/>
      <c r="F229" s="3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8"/>
      <c r="U229" s="9"/>
      <c r="V229" s="2"/>
      <c r="Y229" s="262"/>
      <c r="Z229" s="12"/>
    </row>
    <row r="230" s="10" customFormat="true" ht="14.1" hidden="false" customHeight="true" outlineLevel="0" collapsed="false">
      <c r="A230" s="2"/>
      <c r="B230" s="2"/>
      <c r="C230" s="3"/>
      <c r="D230" s="3"/>
      <c r="E230" s="4"/>
      <c r="F230" s="3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8"/>
      <c r="U230" s="9"/>
      <c r="V230" s="2"/>
      <c r="Y230" s="262"/>
      <c r="Z230" s="12"/>
    </row>
    <row r="231" s="10" customFormat="true" ht="14.1" hidden="false" customHeight="true" outlineLevel="0" collapsed="false">
      <c r="A231" s="2"/>
      <c r="B231" s="2"/>
      <c r="C231" s="3"/>
      <c r="D231" s="3"/>
      <c r="E231" s="4"/>
      <c r="F231" s="3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8"/>
      <c r="U231" s="9"/>
      <c r="V231" s="2"/>
      <c r="Y231" s="262"/>
      <c r="Z231" s="12"/>
    </row>
    <row r="232" s="10" customFormat="true" ht="14.1" hidden="false" customHeight="true" outlineLevel="0" collapsed="false">
      <c r="A232" s="2"/>
      <c r="B232" s="2"/>
      <c r="C232" s="3"/>
      <c r="D232" s="3"/>
      <c r="E232" s="4"/>
      <c r="F232" s="3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8"/>
      <c r="U232" s="9"/>
      <c r="V232" s="2"/>
      <c r="Y232" s="262"/>
      <c r="Z232" s="12"/>
    </row>
    <row r="233" s="10" customFormat="true" ht="14.1" hidden="false" customHeight="true" outlineLevel="0" collapsed="false">
      <c r="A233" s="2"/>
      <c r="B233" s="2"/>
      <c r="C233" s="3"/>
      <c r="D233" s="3"/>
      <c r="E233" s="4"/>
      <c r="F233" s="3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8"/>
      <c r="U233" s="9"/>
      <c r="V233" s="2"/>
      <c r="Y233" s="262"/>
      <c r="Z233" s="12"/>
    </row>
    <row r="234" s="10" customFormat="true" ht="14.1" hidden="false" customHeight="true" outlineLevel="0" collapsed="false">
      <c r="A234" s="2"/>
      <c r="B234" s="2"/>
      <c r="C234" s="3"/>
      <c r="D234" s="3"/>
      <c r="E234" s="4"/>
      <c r="F234" s="3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8"/>
      <c r="U234" s="9"/>
      <c r="V234" s="2"/>
      <c r="Y234" s="262"/>
      <c r="Z234" s="12"/>
    </row>
    <row r="235" s="10" customFormat="true" ht="14.1" hidden="false" customHeight="true" outlineLevel="0" collapsed="false">
      <c r="A235" s="2"/>
      <c r="B235" s="2"/>
      <c r="C235" s="3"/>
      <c r="D235" s="3"/>
      <c r="E235" s="4"/>
      <c r="F235" s="3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8"/>
      <c r="U235" s="9"/>
      <c r="V235" s="2"/>
      <c r="Y235" s="262"/>
      <c r="Z235" s="12"/>
    </row>
    <row r="236" s="10" customFormat="true" ht="14.1" hidden="false" customHeight="true" outlineLevel="0" collapsed="false">
      <c r="A236" s="2"/>
      <c r="B236" s="2"/>
      <c r="C236" s="3"/>
      <c r="D236" s="3"/>
      <c r="E236" s="4"/>
      <c r="F236" s="3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8"/>
      <c r="U236" s="9"/>
      <c r="V236" s="2"/>
      <c r="Y236" s="262"/>
      <c r="Z236" s="12"/>
    </row>
    <row r="237" s="10" customFormat="true" ht="14.1" hidden="false" customHeight="true" outlineLevel="0" collapsed="false">
      <c r="A237" s="2"/>
      <c r="B237" s="2"/>
      <c r="C237" s="3"/>
      <c r="D237" s="3"/>
      <c r="E237" s="4"/>
      <c r="F237" s="3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8"/>
      <c r="U237" s="9"/>
      <c r="V237" s="2"/>
      <c r="Y237" s="262"/>
      <c r="Z237" s="12"/>
    </row>
    <row r="238" s="10" customFormat="true" ht="14.1" hidden="false" customHeight="true" outlineLevel="0" collapsed="false">
      <c r="A238" s="2"/>
      <c r="B238" s="2"/>
      <c r="C238" s="3"/>
      <c r="D238" s="3"/>
      <c r="E238" s="4"/>
      <c r="F238" s="3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8"/>
      <c r="U238" s="9"/>
      <c r="V238" s="2"/>
      <c r="Y238" s="262"/>
      <c r="Z238" s="12"/>
    </row>
    <row r="239" s="10" customFormat="true" ht="14.1" hidden="false" customHeight="true" outlineLevel="0" collapsed="false">
      <c r="A239" s="2"/>
      <c r="B239" s="2"/>
      <c r="C239" s="3"/>
      <c r="D239" s="3"/>
      <c r="E239" s="4"/>
      <c r="F239" s="3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8"/>
      <c r="U239" s="9"/>
      <c r="V239" s="2"/>
      <c r="Y239" s="262"/>
      <c r="Z239" s="12"/>
    </row>
    <row r="240" s="10" customFormat="true" ht="14.1" hidden="false" customHeight="true" outlineLevel="0" collapsed="false">
      <c r="A240" s="2"/>
      <c r="B240" s="2"/>
      <c r="C240" s="3"/>
      <c r="D240" s="3"/>
      <c r="E240" s="4"/>
      <c r="F240" s="3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8"/>
      <c r="U240" s="9"/>
      <c r="V240" s="2"/>
      <c r="Y240" s="262"/>
      <c r="Z240" s="12"/>
    </row>
    <row r="241" s="10" customFormat="true" ht="14.1" hidden="false" customHeight="true" outlineLevel="0" collapsed="false">
      <c r="A241" s="2"/>
      <c r="B241" s="2"/>
      <c r="C241" s="3"/>
      <c r="D241" s="3"/>
      <c r="E241" s="4"/>
      <c r="F241" s="3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8"/>
      <c r="U241" s="9"/>
      <c r="V241" s="2"/>
      <c r="Y241" s="262"/>
      <c r="Z241" s="12"/>
    </row>
    <row r="242" s="10" customFormat="true" ht="14.1" hidden="false" customHeight="true" outlineLevel="0" collapsed="false">
      <c r="A242" s="2"/>
      <c r="B242" s="2"/>
      <c r="C242" s="3"/>
      <c r="D242" s="3"/>
      <c r="E242" s="4"/>
      <c r="F242" s="3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8"/>
      <c r="U242" s="9"/>
      <c r="V242" s="2"/>
      <c r="Y242" s="262"/>
      <c r="Z242" s="12"/>
    </row>
    <row r="243" s="10" customFormat="true" ht="14.1" hidden="false" customHeight="true" outlineLevel="0" collapsed="false">
      <c r="A243" s="2"/>
      <c r="B243" s="2"/>
      <c r="C243" s="3"/>
      <c r="D243" s="3"/>
      <c r="E243" s="4"/>
      <c r="F243" s="3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8"/>
      <c r="U243" s="9"/>
      <c r="V243" s="2"/>
      <c r="Y243" s="262"/>
      <c r="Z243" s="12"/>
    </row>
    <row r="244" s="10" customFormat="true" ht="14.1" hidden="false" customHeight="true" outlineLevel="0" collapsed="false">
      <c r="A244" s="2"/>
      <c r="B244" s="2"/>
      <c r="C244" s="3"/>
      <c r="D244" s="3"/>
      <c r="E244" s="4"/>
      <c r="F244" s="3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8"/>
      <c r="U244" s="9"/>
      <c r="V244" s="2"/>
      <c r="Y244" s="262"/>
      <c r="Z244" s="12"/>
    </row>
    <row r="245" s="10" customFormat="true" ht="14.1" hidden="false" customHeight="true" outlineLevel="0" collapsed="false">
      <c r="A245" s="2"/>
      <c r="B245" s="2"/>
      <c r="C245" s="3"/>
      <c r="D245" s="3"/>
      <c r="E245" s="4"/>
      <c r="F245" s="3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8"/>
      <c r="U245" s="9"/>
      <c r="V245" s="2"/>
      <c r="Y245" s="262"/>
      <c r="Z245" s="12"/>
    </row>
    <row r="246" s="10" customFormat="true" ht="14.1" hidden="false" customHeight="true" outlineLevel="0" collapsed="false">
      <c r="A246" s="2"/>
      <c r="B246" s="2"/>
      <c r="C246" s="3"/>
      <c r="D246" s="3"/>
      <c r="E246" s="4"/>
      <c r="F246" s="3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8"/>
      <c r="U246" s="9"/>
      <c r="V246" s="2"/>
      <c r="Y246" s="262"/>
      <c r="Z246" s="12"/>
    </row>
    <row r="247" s="10" customFormat="true" ht="14.1" hidden="false" customHeight="true" outlineLevel="0" collapsed="false">
      <c r="A247" s="2"/>
      <c r="B247" s="2"/>
      <c r="C247" s="3"/>
      <c r="D247" s="3"/>
      <c r="E247" s="4"/>
      <c r="F247" s="3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8"/>
      <c r="U247" s="9"/>
      <c r="V247" s="2"/>
      <c r="Y247" s="262"/>
      <c r="Z247" s="12"/>
    </row>
    <row r="248" s="10" customFormat="true" ht="14.1" hidden="false" customHeight="true" outlineLevel="0" collapsed="false">
      <c r="A248" s="2"/>
      <c r="B248" s="2"/>
      <c r="C248" s="3"/>
      <c r="D248" s="3"/>
      <c r="E248" s="4"/>
      <c r="F248" s="3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8"/>
      <c r="U248" s="9"/>
      <c r="V248" s="2"/>
      <c r="Y248" s="262"/>
      <c r="Z248" s="12"/>
    </row>
    <row r="249" s="10" customFormat="true" ht="14.1" hidden="false" customHeight="true" outlineLevel="0" collapsed="false">
      <c r="A249" s="2"/>
      <c r="B249" s="2"/>
      <c r="C249" s="3"/>
      <c r="D249" s="3"/>
      <c r="E249" s="4"/>
      <c r="F249" s="3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8"/>
      <c r="U249" s="9"/>
      <c r="V249" s="2"/>
      <c r="Y249" s="262"/>
      <c r="Z249" s="12"/>
    </row>
    <row r="250" s="10" customFormat="true" ht="14.1" hidden="false" customHeight="true" outlineLevel="0" collapsed="false">
      <c r="A250" s="2"/>
      <c r="B250" s="2"/>
      <c r="C250" s="3"/>
      <c r="D250" s="3"/>
      <c r="E250" s="4"/>
      <c r="F250" s="3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8"/>
      <c r="U250" s="9"/>
      <c r="V250" s="2"/>
      <c r="Y250" s="262"/>
      <c r="Z250" s="12"/>
    </row>
    <row r="251" s="10" customFormat="true" ht="14.1" hidden="false" customHeight="true" outlineLevel="0" collapsed="false">
      <c r="A251" s="2"/>
      <c r="B251" s="2"/>
      <c r="C251" s="3"/>
      <c r="D251" s="3"/>
      <c r="E251" s="4"/>
      <c r="F251" s="3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8"/>
      <c r="U251" s="9"/>
      <c r="V251" s="2"/>
      <c r="Y251" s="262"/>
      <c r="Z251" s="12"/>
    </row>
    <row r="252" s="10" customFormat="true" ht="14.1" hidden="false" customHeight="true" outlineLevel="0" collapsed="false">
      <c r="A252" s="2"/>
      <c r="B252" s="2"/>
      <c r="C252" s="3"/>
      <c r="D252" s="3"/>
      <c r="E252" s="4"/>
      <c r="F252" s="3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8"/>
      <c r="U252" s="9"/>
      <c r="V252" s="2"/>
      <c r="Y252" s="262"/>
      <c r="Z252" s="12"/>
    </row>
    <row r="253" s="10" customFormat="true" ht="14.1" hidden="false" customHeight="true" outlineLevel="0" collapsed="false">
      <c r="A253" s="2"/>
      <c r="B253" s="2"/>
      <c r="C253" s="3"/>
      <c r="D253" s="3"/>
      <c r="E253" s="4"/>
      <c r="F253" s="3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8"/>
      <c r="U253" s="9"/>
      <c r="V253" s="2"/>
      <c r="Y253" s="262"/>
      <c r="Z253" s="12"/>
    </row>
    <row r="254" s="10" customFormat="true" ht="14.1" hidden="false" customHeight="true" outlineLevel="0" collapsed="false">
      <c r="A254" s="2"/>
      <c r="B254" s="2"/>
      <c r="C254" s="3"/>
      <c r="D254" s="3"/>
      <c r="E254" s="4"/>
      <c r="F254" s="3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8"/>
      <c r="U254" s="9"/>
      <c r="V254" s="2"/>
      <c r="Y254" s="262"/>
      <c r="Z254" s="12"/>
    </row>
    <row r="255" s="10" customFormat="true" ht="14.1" hidden="false" customHeight="true" outlineLevel="0" collapsed="false">
      <c r="A255" s="2"/>
      <c r="B255" s="2"/>
      <c r="C255" s="3"/>
      <c r="D255" s="3"/>
      <c r="E255" s="4"/>
      <c r="F255" s="3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8"/>
      <c r="U255" s="9"/>
      <c r="V255" s="2"/>
      <c r="Y255" s="262"/>
      <c r="Z255" s="12"/>
    </row>
    <row r="256" s="10" customFormat="true" ht="14.1" hidden="false" customHeight="true" outlineLevel="0" collapsed="false">
      <c r="A256" s="2"/>
      <c r="B256" s="2"/>
      <c r="C256" s="3"/>
      <c r="D256" s="3"/>
      <c r="E256" s="4"/>
      <c r="F256" s="3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8"/>
      <c r="U256" s="9"/>
      <c r="V256" s="2"/>
      <c r="Y256" s="262"/>
      <c r="Z256" s="12"/>
    </row>
    <row r="257" s="10" customFormat="true" ht="14.1" hidden="false" customHeight="true" outlineLevel="0" collapsed="false">
      <c r="A257" s="2"/>
      <c r="B257" s="2"/>
      <c r="C257" s="3"/>
      <c r="D257" s="3"/>
      <c r="E257" s="4"/>
      <c r="F257" s="3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8"/>
      <c r="U257" s="9"/>
      <c r="V257" s="2"/>
      <c r="Y257" s="262"/>
      <c r="Z257" s="12"/>
    </row>
    <row r="258" s="10" customFormat="true" ht="14.1" hidden="false" customHeight="true" outlineLevel="0" collapsed="false">
      <c r="A258" s="2"/>
      <c r="B258" s="2"/>
      <c r="C258" s="3"/>
      <c r="D258" s="3"/>
      <c r="E258" s="4"/>
      <c r="F258" s="3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8"/>
      <c r="U258" s="9"/>
      <c r="V258" s="2"/>
      <c r="Y258" s="262"/>
      <c r="Z258" s="12"/>
    </row>
    <row r="259" s="10" customFormat="true" ht="14.1" hidden="false" customHeight="true" outlineLevel="0" collapsed="false">
      <c r="A259" s="2"/>
      <c r="B259" s="2"/>
      <c r="C259" s="3"/>
      <c r="D259" s="3"/>
      <c r="E259" s="4"/>
      <c r="F259" s="3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8"/>
      <c r="U259" s="9"/>
      <c r="V259" s="2"/>
      <c r="Y259" s="262"/>
      <c r="Z259" s="12"/>
    </row>
    <row r="260" s="10" customFormat="true" ht="14.1" hidden="false" customHeight="true" outlineLevel="0" collapsed="false">
      <c r="A260" s="2"/>
      <c r="B260" s="2"/>
      <c r="C260" s="3"/>
      <c r="D260" s="3"/>
      <c r="E260" s="4"/>
      <c r="F260" s="3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8"/>
      <c r="U260" s="9"/>
      <c r="V260" s="2"/>
      <c r="Y260" s="262"/>
      <c r="Z260" s="12"/>
    </row>
    <row r="261" s="10" customFormat="true" ht="14.1" hidden="false" customHeight="true" outlineLevel="0" collapsed="false">
      <c r="A261" s="2"/>
      <c r="B261" s="2"/>
      <c r="C261" s="3"/>
      <c r="D261" s="3"/>
      <c r="E261" s="4"/>
      <c r="F261" s="3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8"/>
      <c r="U261" s="9"/>
      <c r="V261" s="2"/>
      <c r="Y261" s="262"/>
      <c r="Z261" s="12"/>
    </row>
    <row r="262" s="10" customFormat="true" ht="14.1" hidden="false" customHeight="true" outlineLevel="0" collapsed="false">
      <c r="A262" s="2"/>
      <c r="B262" s="2"/>
      <c r="C262" s="3"/>
      <c r="D262" s="3"/>
      <c r="E262" s="4"/>
      <c r="F262" s="3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8"/>
      <c r="U262" s="9"/>
      <c r="V262" s="2"/>
      <c r="Y262" s="262"/>
      <c r="Z262" s="12"/>
    </row>
    <row r="263" s="10" customFormat="true" ht="14.1" hidden="false" customHeight="true" outlineLevel="0" collapsed="false">
      <c r="A263" s="2"/>
      <c r="B263" s="2"/>
      <c r="C263" s="3"/>
      <c r="D263" s="3"/>
      <c r="E263" s="4"/>
      <c r="F263" s="3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8"/>
      <c r="U263" s="9"/>
      <c r="V263" s="2"/>
      <c r="Y263" s="262"/>
      <c r="Z263" s="12"/>
    </row>
    <row r="264" s="10" customFormat="true" ht="14.1" hidden="false" customHeight="true" outlineLevel="0" collapsed="false">
      <c r="A264" s="2"/>
      <c r="B264" s="2"/>
      <c r="C264" s="3"/>
      <c r="D264" s="3"/>
      <c r="E264" s="4"/>
      <c r="F264" s="3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8"/>
      <c r="U264" s="9"/>
      <c r="V264" s="2"/>
      <c r="Y264" s="262"/>
      <c r="Z264" s="12"/>
    </row>
    <row r="265" s="10" customFormat="true" ht="14.1" hidden="false" customHeight="true" outlineLevel="0" collapsed="false">
      <c r="A265" s="2"/>
      <c r="B265" s="2"/>
      <c r="C265" s="3"/>
      <c r="D265" s="3"/>
      <c r="E265" s="4"/>
      <c r="F265" s="3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8"/>
      <c r="U265" s="9"/>
      <c r="V265" s="2"/>
      <c r="Y265" s="262"/>
      <c r="Z265" s="12"/>
    </row>
    <row r="266" s="10" customFormat="true" ht="14.1" hidden="false" customHeight="true" outlineLevel="0" collapsed="false">
      <c r="A266" s="2"/>
      <c r="B266" s="2"/>
      <c r="C266" s="3"/>
      <c r="D266" s="3"/>
      <c r="E266" s="4"/>
      <c r="F266" s="3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8"/>
      <c r="U266" s="9"/>
      <c r="V266" s="2"/>
      <c r="Y266" s="262"/>
      <c r="Z266" s="12"/>
    </row>
    <row r="267" s="10" customFormat="true" ht="14.1" hidden="false" customHeight="true" outlineLevel="0" collapsed="false">
      <c r="A267" s="2"/>
      <c r="B267" s="2"/>
      <c r="C267" s="3"/>
      <c r="D267" s="3"/>
      <c r="E267" s="4"/>
      <c r="F267" s="3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8"/>
      <c r="U267" s="9"/>
      <c r="V267" s="2"/>
      <c r="Y267" s="262"/>
      <c r="Z267" s="12"/>
    </row>
    <row r="268" s="10" customFormat="true" ht="14.1" hidden="false" customHeight="true" outlineLevel="0" collapsed="false">
      <c r="A268" s="2"/>
      <c r="B268" s="2"/>
      <c r="C268" s="3"/>
      <c r="D268" s="3"/>
      <c r="E268" s="4"/>
      <c r="F268" s="3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8"/>
      <c r="U268" s="9"/>
      <c r="V268" s="2"/>
      <c r="Y268" s="262"/>
      <c r="Z268" s="12"/>
    </row>
    <row r="269" s="10" customFormat="true" ht="14.1" hidden="false" customHeight="true" outlineLevel="0" collapsed="false">
      <c r="A269" s="2"/>
      <c r="B269" s="2"/>
      <c r="C269" s="3"/>
      <c r="D269" s="3"/>
      <c r="E269" s="4"/>
      <c r="F269" s="3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8"/>
      <c r="U269" s="9"/>
      <c r="V269" s="2"/>
      <c r="Y269" s="262"/>
      <c r="Z269" s="12"/>
    </row>
    <row r="270" s="10" customFormat="true" ht="14.1" hidden="false" customHeight="true" outlineLevel="0" collapsed="false">
      <c r="A270" s="2"/>
      <c r="B270" s="2"/>
      <c r="C270" s="3"/>
      <c r="D270" s="3"/>
      <c r="E270" s="4"/>
      <c r="F270" s="3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8"/>
      <c r="U270" s="9"/>
      <c r="V270" s="2"/>
      <c r="Y270" s="262"/>
      <c r="Z270" s="12"/>
    </row>
    <row r="271" s="10" customFormat="true" ht="14.1" hidden="false" customHeight="true" outlineLevel="0" collapsed="false">
      <c r="A271" s="2"/>
      <c r="B271" s="2"/>
      <c r="C271" s="3"/>
      <c r="D271" s="3"/>
      <c r="E271" s="4"/>
      <c r="F271" s="3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8"/>
      <c r="U271" s="9"/>
      <c r="V271" s="2"/>
      <c r="Y271" s="262"/>
      <c r="Z271" s="12"/>
    </row>
    <row r="272" s="10" customFormat="true" ht="14.1" hidden="false" customHeight="true" outlineLevel="0" collapsed="false">
      <c r="A272" s="2"/>
      <c r="B272" s="2"/>
      <c r="C272" s="3"/>
      <c r="D272" s="3"/>
      <c r="E272" s="4"/>
      <c r="F272" s="3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8"/>
      <c r="U272" s="9"/>
      <c r="V272" s="2"/>
      <c r="Y272" s="262"/>
      <c r="Z272" s="12"/>
    </row>
    <row r="273" s="10" customFormat="true" ht="14.1" hidden="false" customHeight="true" outlineLevel="0" collapsed="false">
      <c r="A273" s="2"/>
      <c r="B273" s="2"/>
      <c r="C273" s="3"/>
      <c r="D273" s="3"/>
      <c r="E273" s="4"/>
      <c r="F273" s="3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8"/>
      <c r="U273" s="9"/>
      <c r="V273" s="2"/>
      <c r="Y273" s="262"/>
      <c r="Z273" s="12"/>
    </row>
    <row r="274" s="10" customFormat="true" ht="14.1" hidden="false" customHeight="true" outlineLevel="0" collapsed="false">
      <c r="A274" s="2"/>
      <c r="B274" s="2"/>
      <c r="C274" s="3"/>
      <c r="D274" s="3"/>
      <c r="E274" s="4"/>
      <c r="F274" s="3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8"/>
      <c r="U274" s="9"/>
      <c r="V274" s="2"/>
      <c r="Y274" s="262"/>
      <c r="Z274" s="12"/>
    </row>
    <row r="275" s="10" customFormat="true" ht="14.1" hidden="false" customHeight="true" outlineLevel="0" collapsed="false">
      <c r="A275" s="2"/>
      <c r="B275" s="2"/>
      <c r="C275" s="3"/>
      <c r="D275" s="3"/>
      <c r="E275" s="4"/>
      <c r="F275" s="3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8"/>
      <c r="U275" s="9"/>
      <c r="V275" s="2"/>
      <c r="Y275" s="262"/>
      <c r="Z275" s="12"/>
    </row>
    <row r="276" s="10" customFormat="true" ht="14.1" hidden="false" customHeight="true" outlineLevel="0" collapsed="false">
      <c r="A276" s="2"/>
      <c r="B276" s="2"/>
      <c r="C276" s="3"/>
      <c r="D276" s="3"/>
      <c r="E276" s="4"/>
      <c r="F276" s="3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8"/>
      <c r="U276" s="9"/>
      <c r="V276" s="2"/>
      <c r="Y276" s="262"/>
      <c r="Z276" s="12"/>
    </row>
    <row r="277" s="10" customFormat="true" ht="14.1" hidden="false" customHeight="true" outlineLevel="0" collapsed="false">
      <c r="A277" s="2"/>
      <c r="B277" s="2"/>
      <c r="C277" s="3"/>
      <c r="D277" s="3"/>
      <c r="E277" s="4"/>
      <c r="F277" s="3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8"/>
      <c r="U277" s="9"/>
      <c r="V277" s="2"/>
      <c r="Y277" s="262"/>
      <c r="Z277" s="12"/>
    </row>
    <row r="278" s="10" customFormat="true" ht="14.1" hidden="false" customHeight="true" outlineLevel="0" collapsed="false">
      <c r="A278" s="2"/>
      <c r="B278" s="2"/>
      <c r="C278" s="3"/>
      <c r="D278" s="3"/>
      <c r="E278" s="4"/>
      <c r="F278" s="3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8"/>
      <c r="U278" s="9"/>
      <c r="V278" s="2"/>
      <c r="Y278" s="262"/>
      <c r="Z278" s="12"/>
    </row>
    <row r="279" s="10" customFormat="true" ht="14.1" hidden="false" customHeight="true" outlineLevel="0" collapsed="false">
      <c r="A279" s="2"/>
      <c r="B279" s="2"/>
      <c r="C279" s="3"/>
      <c r="D279" s="3"/>
      <c r="E279" s="4"/>
      <c r="F279" s="3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8"/>
      <c r="U279" s="9"/>
      <c r="V279" s="2"/>
      <c r="Y279" s="262"/>
      <c r="Z279" s="12"/>
    </row>
    <row r="280" s="10" customFormat="true" ht="14.1" hidden="false" customHeight="true" outlineLevel="0" collapsed="false">
      <c r="A280" s="2"/>
      <c r="B280" s="2"/>
      <c r="C280" s="3"/>
      <c r="D280" s="3"/>
      <c r="E280" s="4"/>
      <c r="F280" s="3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8"/>
      <c r="U280" s="9"/>
      <c r="V280" s="2"/>
      <c r="Y280" s="262"/>
      <c r="Z280" s="12"/>
    </row>
    <row r="281" s="10" customFormat="true" ht="14.1" hidden="false" customHeight="true" outlineLevel="0" collapsed="false">
      <c r="A281" s="2"/>
      <c r="B281" s="2"/>
      <c r="C281" s="3"/>
      <c r="D281" s="3"/>
      <c r="E281" s="4"/>
      <c r="F281" s="3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8"/>
      <c r="U281" s="9"/>
      <c r="V281" s="2"/>
      <c r="Y281" s="262"/>
      <c r="Z281" s="12"/>
    </row>
    <row r="282" s="10" customFormat="true" ht="14.1" hidden="false" customHeight="true" outlineLevel="0" collapsed="false">
      <c r="A282" s="2"/>
      <c r="B282" s="2"/>
      <c r="C282" s="3"/>
      <c r="D282" s="3"/>
      <c r="E282" s="4"/>
      <c r="F282" s="3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8"/>
      <c r="U282" s="9"/>
      <c r="V282" s="2"/>
      <c r="Y282" s="262"/>
      <c r="Z282" s="12"/>
    </row>
    <row r="283" s="10" customFormat="true" ht="14.1" hidden="false" customHeight="true" outlineLevel="0" collapsed="false">
      <c r="A283" s="2"/>
      <c r="B283" s="2"/>
      <c r="C283" s="3"/>
      <c r="D283" s="3"/>
      <c r="E283" s="4"/>
      <c r="F283" s="3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8"/>
      <c r="U283" s="9"/>
      <c r="V283" s="2"/>
      <c r="Y283" s="262"/>
      <c r="Z283" s="12"/>
    </row>
    <row r="284" s="10" customFormat="true" ht="14.1" hidden="false" customHeight="true" outlineLevel="0" collapsed="false">
      <c r="A284" s="2"/>
      <c r="B284" s="2"/>
      <c r="C284" s="3"/>
      <c r="D284" s="3"/>
      <c r="E284" s="4"/>
      <c r="F284" s="3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8"/>
      <c r="U284" s="9"/>
      <c r="V284" s="2"/>
      <c r="Y284" s="262"/>
      <c r="Z284" s="12"/>
    </row>
    <row r="285" s="10" customFormat="true" ht="14.1" hidden="false" customHeight="true" outlineLevel="0" collapsed="false">
      <c r="A285" s="2"/>
      <c r="B285" s="2"/>
      <c r="C285" s="3"/>
      <c r="D285" s="3"/>
      <c r="E285" s="4"/>
      <c r="F285" s="3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8"/>
      <c r="U285" s="9"/>
      <c r="V285" s="2"/>
      <c r="Y285" s="262"/>
      <c r="Z285" s="12"/>
    </row>
    <row r="286" s="10" customFormat="true" ht="14.1" hidden="false" customHeight="true" outlineLevel="0" collapsed="false">
      <c r="A286" s="2"/>
      <c r="B286" s="2"/>
      <c r="C286" s="3"/>
      <c r="D286" s="3"/>
      <c r="E286" s="4"/>
      <c r="F286" s="3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8"/>
      <c r="U286" s="9"/>
      <c r="V286" s="2"/>
      <c r="Y286" s="262"/>
      <c r="Z286" s="12"/>
    </row>
    <row r="287" s="10" customFormat="true" ht="14.1" hidden="false" customHeight="true" outlineLevel="0" collapsed="false">
      <c r="A287" s="2"/>
      <c r="B287" s="2"/>
      <c r="C287" s="3"/>
      <c r="D287" s="3"/>
      <c r="E287" s="4"/>
      <c r="F287" s="3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8"/>
      <c r="U287" s="9"/>
      <c r="V287" s="2"/>
      <c r="Y287" s="262"/>
      <c r="Z287" s="12"/>
    </row>
    <row r="288" s="10" customFormat="true" ht="14.1" hidden="false" customHeight="true" outlineLevel="0" collapsed="false">
      <c r="A288" s="2"/>
      <c r="B288" s="2"/>
      <c r="C288" s="3"/>
      <c r="D288" s="3"/>
      <c r="E288" s="4"/>
      <c r="F288" s="3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8"/>
      <c r="U288" s="9"/>
      <c r="V288" s="2"/>
      <c r="Y288" s="262"/>
      <c r="Z288" s="12"/>
    </row>
    <row r="289" s="10" customFormat="true" ht="14.1" hidden="false" customHeight="true" outlineLevel="0" collapsed="false">
      <c r="A289" s="2"/>
      <c r="B289" s="2"/>
      <c r="C289" s="3"/>
      <c r="D289" s="3"/>
      <c r="E289" s="4"/>
      <c r="F289" s="3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8"/>
      <c r="U289" s="9"/>
      <c r="V289" s="2"/>
      <c r="Y289" s="262"/>
      <c r="Z289" s="12"/>
    </row>
    <row r="290" s="10" customFormat="true" ht="14.1" hidden="false" customHeight="true" outlineLevel="0" collapsed="false">
      <c r="A290" s="2"/>
      <c r="B290" s="2"/>
      <c r="C290" s="3"/>
      <c r="D290" s="3"/>
      <c r="E290" s="4"/>
      <c r="F290" s="3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8"/>
      <c r="U290" s="9"/>
      <c r="V290" s="2"/>
      <c r="Y290" s="262"/>
      <c r="Z290" s="12"/>
    </row>
    <row r="291" s="10" customFormat="true" ht="14.1" hidden="false" customHeight="true" outlineLevel="0" collapsed="false">
      <c r="A291" s="2"/>
      <c r="B291" s="2"/>
      <c r="C291" s="3"/>
      <c r="D291" s="3"/>
      <c r="E291" s="4"/>
      <c r="F291" s="3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8"/>
      <c r="U291" s="9"/>
      <c r="V291" s="2"/>
      <c r="Y291" s="262"/>
      <c r="Z291" s="12"/>
    </row>
    <row r="292" s="10" customFormat="true" ht="14.1" hidden="false" customHeight="true" outlineLevel="0" collapsed="false">
      <c r="A292" s="2"/>
      <c r="B292" s="2"/>
      <c r="C292" s="3"/>
      <c r="D292" s="3"/>
      <c r="E292" s="4"/>
      <c r="F292" s="3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8"/>
      <c r="U292" s="9"/>
      <c r="V292" s="2"/>
      <c r="Y292" s="262"/>
      <c r="Z292" s="12"/>
    </row>
    <row r="293" s="10" customFormat="true" ht="14.1" hidden="false" customHeight="true" outlineLevel="0" collapsed="false">
      <c r="A293" s="2"/>
      <c r="B293" s="2"/>
      <c r="C293" s="3"/>
      <c r="D293" s="3"/>
      <c r="E293" s="4"/>
      <c r="F293" s="3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8"/>
      <c r="U293" s="9"/>
      <c r="V293" s="2"/>
      <c r="Y293" s="262"/>
      <c r="Z293" s="12"/>
    </row>
    <row r="294" s="10" customFormat="true" ht="14.1" hidden="false" customHeight="true" outlineLevel="0" collapsed="false">
      <c r="A294" s="2"/>
      <c r="B294" s="2"/>
      <c r="C294" s="3"/>
      <c r="D294" s="3"/>
      <c r="E294" s="4"/>
      <c r="F294" s="3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8"/>
      <c r="U294" s="9"/>
      <c r="V294" s="2"/>
      <c r="Y294" s="262"/>
      <c r="Z294" s="12"/>
    </row>
    <row r="295" s="10" customFormat="true" ht="14.1" hidden="false" customHeight="true" outlineLevel="0" collapsed="false">
      <c r="A295" s="2"/>
      <c r="B295" s="2"/>
      <c r="C295" s="3"/>
      <c r="D295" s="3"/>
      <c r="E295" s="4"/>
      <c r="F295" s="3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8"/>
      <c r="U295" s="9"/>
      <c r="V295" s="2"/>
      <c r="Y295" s="262"/>
      <c r="Z295" s="12"/>
    </row>
    <row r="296" s="10" customFormat="true" ht="14.1" hidden="false" customHeight="true" outlineLevel="0" collapsed="false">
      <c r="A296" s="2"/>
      <c r="B296" s="2"/>
      <c r="C296" s="3"/>
      <c r="D296" s="3"/>
      <c r="E296" s="4"/>
      <c r="F296" s="3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8"/>
      <c r="U296" s="9"/>
      <c r="V296" s="2"/>
      <c r="Y296" s="262"/>
      <c r="Z296" s="12"/>
    </row>
    <row r="297" s="10" customFormat="true" ht="14.1" hidden="false" customHeight="true" outlineLevel="0" collapsed="false">
      <c r="A297" s="2"/>
      <c r="B297" s="2"/>
      <c r="C297" s="3"/>
      <c r="D297" s="3"/>
      <c r="E297" s="4"/>
      <c r="F297" s="3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8"/>
      <c r="U297" s="9"/>
      <c r="V297" s="2"/>
      <c r="Y297" s="262"/>
      <c r="Z297" s="12"/>
    </row>
    <row r="298" s="10" customFormat="true" ht="14.1" hidden="false" customHeight="true" outlineLevel="0" collapsed="false">
      <c r="A298" s="2"/>
      <c r="B298" s="2"/>
      <c r="C298" s="3"/>
      <c r="D298" s="3"/>
      <c r="E298" s="4"/>
      <c r="F298" s="3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8"/>
      <c r="U298" s="9"/>
      <c r="V298" s="2"/>
      <c r="Y298" s="262"/>
      <c r="Z298" s="12"/>
    </row>
    <row r="299" s="10" customFormat="true" ht="14.1" hidden="false" customHeight="true" outlineLevel="0" collapsed="false">
      <c r="A299" s="2"/>
      <c r="B299" s="2"/>
      <c r="C299" s="3"/>
      <c r="D299" s="3"/>
      <c r="E299" s="4"/>
      <c r="F299" s="3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8"/>
      <c r="U299" s="9"/>
      <c r="V299" s="2"/>
      <c r="Y299" s="262"/>
      <c r="Z299" s="12"/>
    </row>
    <row r="300" s="10" customFormat="true" ht="14.1" hidden="false" customHeight="true" outlineLevel="0" collapsed="false">
      <c r="A300" s="2"/>
      <c r="B300" s="2"/>
      <c r="C300" s="3"/>
      <c r="D300" s="3"/>
      <c r="E300" s="4"/>
      <c r="F300" s="3"/>
      <c r="G300" s="5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8"/>
      <c r="U300" s="9"/>
      <c r="V300" s="2"/>
      <c r="Y300" s="262"/>
      <c r="Z300" s="12"/>
    </row>
    <row r="301" s="10" customFormat="true" ht="14.1" hidden="false" customHeight="true" outlineLevel="0" collapsed="false">
      <c r="A301" s="2"/>
      <c r="B301" s="2"/>
      <c r="C301" s="3"/>
      <c r="D301" s="3"/>
      <c r="E301" s="4"/>
      <c r="F301" s="3"/>
      <c r="G301" s="5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8"/>
      <c r="U301" s="9"/>
      <c r="V301" s="2"/>
      <c r="Y301" s="262"/>
      <c r="Z301" s="12"/>
    </row>
    <row r="302" s="10" customFormat="true" ht="14.1" hidden="false" customHeight="true" outlineLevel="0" collapsed="false">
      <c r="A302" s="2"/>
      <c r="B302" s="2"/>
      <c r="C302" s="3"/>
      <c r="D302" s="3"/>
      <c r="E302" s="4"/>
      <c r="F302" s="3"/>
      <c r="G302" s="5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8"/>
      <c r="U302" s="9"/>
      <c r="V302" s="2"/>
      <c r="Y302" s="262"/>
      <c r="Z302" s="12"/>
    </row>
    <row r="303" s="10" customFormat="true" ht="14.1" hidden="false" customHeight="true" outlineLevel="0" collapsed="false">
      <c r="A303" s="2"/>
      <c r="B303" s="2"/>
      <c r="C303" s="263"/>
      <c r="D303" s="3"/>
      <c r="E303" s="4"/>
      <c r="F303" s="3"/>
      <c r="G303" s="5"/>
      <c r="H303" s="7"/>
      <c r="I303" s="7"/>
      <c r="J303" s="7"/>
      <c r="K303" s="267"/>
      <c r="L303" s="7"/>
      <c r="M303" s="7"/>
      <c r="N303" s="7"/>
      <c r="O303" s="7"/>
      <c r="P303" s="7"/>
      <c r="Q303" s="7"/>
      <c r="R303" s="7"/>
      <c r="S303" s="8"/>
      <c r="T303" s="8"/>
      <c r="V303" s="264"/>
      <c r="W303" s="265"/>
      <c r="X303" s="265"/>
      <c r="Y303" s="266"/>
      <c r="Z303" s="2"/>
    </row>
    <row r="304" s="260" customFormat="true" ht="26.25" hidden="false" customHeight="true" outlineLevel="0" collapsed="false">
      <c r="A304" s="268"/>
      <c r="B304" s="269"/>
      <c r="C304" s="269"/>
      <c r="D304" s="10"/>
      <c r="E304" s="10"/>
      <c r="F304" s="262"/>
      <c r="G304" s="10"/>
      <c r="H304" s="267"/>
      <c r="I304" s="267"/>
      <c r="J304" s="267"/>
      <c r="K304" s="7"/>
      <c r="L304" s="267"/>
      <c r="M304" s="267"/>
      <c r="N304" s="267"/>
      <c r="O304" s="267"/>
      <c r="P304" s="267"/>
      <c r="Q304" s="267"/>
      <c r="R304" s="267"/>
      <c r="S304" s="267"/>
      <c r="T304" s="267"/>
      <c r="U304" s="267"/>
      <c r="V304" s="139"/>
      <c r="W304" s="11"/>
      <c r="X304" s="11"/>
      <c r="Y304" s="3"/>
      <c r="Z304" s="2"/>
    </row>
    <row r="305" customFormat="false" ht="15" hidden="false" customHeight="true" outlineLevel="0" collapsed="false">
      <c r="V305" s="270"/>
      <c r="W305" s="2"/>
      <c r="X305" s="2"/>
    </row>
    <row r="313" s="2" customFormat="true" ht="9.75" hidden="false" customHeight="true" outlineLevel="0" collapsed="false">
      <c r="F313" s="3"/>
    </row>
    <row r="314" s="2" customFormat="true" ht="10.5" hidden="false" customHeight="true" outlineLevel="0" collapsed="false">
      <c r="F314" s="136"/>
    </row>
    <row r="315" s="2" customFormat="true" ht="9.75" hidden="false" customHeight="true" outlineLevel="0" collapsed="false">
      <c r="F315" s="3"/>
    </row>
    <row r="328" s="2" customFormat="true" ht="9.75" hidden="false" customHeight="true" outlineLevel="0" collapsed="false">
      <c r="J328" s="4"/>
    </row>
  </sheetData>
  <printOptions headings="false" gridLines="false" gridLinesSet="true" horizontalCentered="false" verticalCentered="false"/>
  <pageMargins left="0.179861111111111" right="0.129861111111111" top="0.209722222222222" bottom="0.12986111111111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C32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2" topLeftCell="A87" activePane="bottomLeft" state="frozen"/>
      <selection pane="topLeft" activeCell="A1" activeCellId="0" sqref="A1"/>
      <selection pane="bottomLeft" activeCell="A1" activeCellId="0" sqref="A1"/>
    </sheetView>
  </sheetViews>
  <sheetFormatPr defaultColWidth="6.8671875" defaultRowHeight="9.75" zeroHeight="false" outlineLevelRow="0" outlineLevelCol="0"/>
  <cols>
    <col collapsed="false" customWidth="true" hidden="false" outlineLevel="0" max="1" min="1" style="2" width="4.43"/>
    <col collapsed="false" customWidth="true" hidden="false" outlineLevel="0" max="2" min="2" style="2" width="18.29"/>
    <col collapsed="false" customWidth="true" hidden="false" outlineLevel="0" max="3" min="3" style="2" width="10.85"/>
    <col collapsed="false" customWidth="true" hidden="false" outlineLevel="0" max="4" min="4" style="135" width="9.14"/>
    <col collapsed="false" customWidth="true" hidden="false" outlineLevel="0" max="5" min="5" style="4" width="5.01"/>
    <col collapsed="false" customWidth="true" hidden="false" outlineLevel="0" max="6" min="6" style="136" width="10.29"/>
    <col collapsed="false" customWidth="true" hidden="false" outlineLevel="0" max="7" min="7" style="137" width="5.57"/>
    <col collapsed="false" customWidth="true" hidden="false" outlineLevel="0" max="8" min="8" style="7" width="6.71"/>
    <col collapsed="false" customWidth="true" hidden="false" outlineLevel="0" max="9" min="9" style="7" width="5.14"/>
    <col collapsed="false" customWidth="true" hidden="false" outlineLevel="0" max="10" min="10" style="7" width="5.57"/>
    <col collapsed="false" customWidth="true" hidden="false" outlineLevel="0" max="11" min="11" style="7" width="5.14"/>
    <col collapsed="false" customWidth="true" hidden="false" outlineLevel="0" max="12" min="12" style="7" width="4.86"/>
    <col collapsed="false" customWidth="true" hidden="false" outlineLevel="0" max="13" min="13" style="7" width="6.15"/>
    <col collapsed="false" customWidth="true" hidden="false" outlineLevel="0" max="14" min="14" style="7" width="5.43"/>
    <col collapsed="false" customWidth="true" hidden="false" outlineLevel="0" max="15" min="15" style="7" width="6.28"/>
    <col collapsed="false" customWidth="true" hidden="false" outlineLevel="0" max="16" min="16" style="7" width="6.71"/>
    <col collapsed="false" customWidth="true" hidden="false" outlineLevel="0" max="17" min="17" style="8" width="5.7"/>
    <col collapsed="false" customWidth="true" hidden="false" outlineLevel="0" max="18" min="18" style="2" width="7"/>
    <col collapsed="false" customWidth="true" hidden="false" outlineLevel="0" max="19" min="19" style="10" width="7"/>
    <col collapsed="false" customWidth="true" hidden="false" outlineLevel="0" max="20" min="20" style="138" width="6.28"/>
    <col collapsed="false" customWidth="true" hidden="false" outlineLevel="0" max="21" min="21" style="139" width="9.14"/>
    <col collapsed="false" customWidth="true" hidden="false" outlineLevel="0" max="22" min="22" style="11" width="9"/>
    <col collapsed="false" customWidth="true" hidden="false" outlineLevel="0" max="23" min="23" style="10" width="6.71"/>
    <col collapsed="false" customWidth="true" hidden="false" outlineLevel="0" max="24" min="24" style="10" width="3.57"/>
    <col collapsed="false" customWidth="true" hidden="false" outlineLevel="0" max="25" min="25" style="3" width="7.57"/>
    <col collapsed="false" customWidth="true" hidden="false" outlineLevel="0" max="26" min="26" style="2" width="8.57"/>
    <col collapsed="false" customWidth="true" hidden="false" outlineLevel="0" max="27" min="27" style="2" width="7.42"/>
    <col collapsed="false" customWidth="false" hidden="false" outlineLevel="0" max="1024" min="28" style="2" width="6.86"/>
  </cols>
  <sheetData>
    <row r="1" customFormat="false" ht="18.75" hidden="false" customHeight="true" outlineLevel="0" collapsed="false">
      <c r="A1" s="140"/>
      <c r="B1" s="141" t="n">
        <v>45110</v>
      </c>
      <c r="C1" s="142"/>
      <c r="D1" s="143"/>
      <c r="E1" s="144" t="s">
        <v>55</v>
      </c>
      <c r="F1" s="145"/>
      <c r="G1" s="145"/>
      <c r="H1" s="146" t="s">
        <v>56</v>
      </c>
      <c r="I1" s="147"/>
      <c r="K1" s="148" t="s">
        <v>57</v>
      </c>
      <c r="L1" s="148"/>
      <c r="M1" s="149"/>
      <c r="N1" s="148"/>
      <c r="O1" s="150" t="s">
        <v>58</v>
      </c>
      <c r="P1" s="151"/>
      <c r="Q1" s="152"/>
      <c r="R1" s="153"/>
      <c r="S1" s="154"/>
      <c r="T1" s="155"/>
      <c r="U1" s="156"/>
      <c r="V1" s="157"/>
      <c r="W1" s="11"/>
      <c r="X1" s="11"/>
    </row>
    <row r="2" s="10" customFormat="true" ht="12.75" hidden="false" customHeight="true" outlineLevel="0" collapsed="false">
      <c r="A2" s="29" t="s">
        <v>59</v>
      </c>
      <c r="B2" s="158" t="s">
        <v>1</v>
      </c>
      <c r="C2" s="158"/>
      <c r="D2" s="159" t="s">
        <v>3</v>
      </c>
      <c r="E2" s="160" t="s">
        <v>60</v>
      </c>
      <c r="F2" s="161" t="s">
        <v>5</v>
      </c>
      <c r="G2" s="162" t="s">
        <v>61</v>
      </c>
      <c r="H2" s="163" t="s">
        <v>62</v>
      </c>
      <c r="I2" s="163" t="s">
        <v>63</v>
      </c>
      <c r="J2" s="163" t="s">
        <v>64</v>
      </c>
      <c r="K2" s="163" t="s">
        <v>65</v>
      </c>
      <c r="L2" s="128" t="s">
        <v>12</v>
      </c>
      <c r="M2" s="164" t="s">
        <v>66</v>
      </c>
      <c r="N2" s="128" t="s">
        <v>67</v>
      </c>
      <c r="O2" s="163" t="s">
        <v>68</v>
      </c>
      <c r="P2" s="163" t="s">
        <v>69</v>
      </c>
      <c r="Q2" s="128" t="s">
        <v>70</v>
      </c>
      <c r="R2" s="163" t="s">
        <v>71</v>
      </c>
      <c r="S2" s="163" t="s">
        <v>19</v>
      </c>
      <c r="T2" s="165" t="s">
        <v>20</v>
      </c>
      <c r="U2" s="158" t="s">
        <v>21</v>
      </c>
      <c r="V2" s="139"/>
      <c r="W2" s="166"/>
      <c r="X2" s="166"/>
      <c r="Y2" s="167"/>
      <c r="Z2" s="2"/>
    </row>
    <row r="3" customFormat="false" ht="4.5" hidden="false" customHeight="true" outlineLevel="0" collapsed="false">
      <c r="D3" s="2"/>
      <c r="F3" s="3"/>
      <c r="G3" s="5"/>
      <c r="I3" s="93"/>
      <c r="M3" s="107"/>
      <c r="Q3" s="7"/>
      <c r="R3" s="7"/>
      <c r="S3" s="7"/>
      <c r="T3" s="8"/>
      <c r="U3" s="9"/>
      <c r="V3" s="109"/>
      <c r="W3" s="168"/>
      <c r="X3" s="168"/>
      <c r="Y3" s="169"/>
      <c r="Z3" s="170"/>
    </row>
    <row r="4" s="10" customFormat="true" ht="14.1" hidden="false" customHeight="true" outlineLevel="0" collapsed="false">
      <c r="A4" s="220" t="s">
        <v>26</v>
      </c>
      <c r="B4" s="221" t="s">
        <v>95</v>
      </c>
      <c r="C4" s="222"/>
      <c r="D4" s="223" t="n">
        <v>4243107</v>
      </c>
      <c r="E4" s="224" t="n">
        <v>45040</v>
      </c>
      <c r="F4" s="225" t="s">
        <v>53</v>
      </c>
      <c r="G4" s="226" t="n">
        <v>45041</v>
      </c>
      <c r="H4" s="227"/>
      <c r="I4" s="228"/>
      <c r="J4" s="228"/>
      <c r="K4" s="228"/>
      <c r="L4" s="228"/>
      <c r="M4" s="227"/>
      <c r="N4" s="228"/>
      <c r="O4" s="227"/>
      <c r="P4" s="229"/>
      <c r="Q4" s="230"/>
      <c r="R4" s="227" t="n">
        <v>317</v>
      </c>
      <c r="S4" s="230" t="n">
        <v>62.5</v>
      </c>
      <c r="T4" s="231" t="n">
        <v>26.15</v>
      </c>
      <c r="U4" s="232" t="n">
        <f aca="false">SUM(H4:T4)</f>
        <v>405.65</v>
      </c>
      <c r="V4" s="233" t="s">
        <v>54</v>
      </c>
      <c r="W4" s="234" t="s">
        <v>74</v>
      </c>
      <c r="X4" s="110" t="s">
        <v>37</v>
      </c>
      <c r="Y4" s="186"/>
      <c r="Z4" s="51"/>
    </row>
    <row r="5" s="10" customFormat="true" ht="14.1" hidden="false" customHeight="true" outlineLevel="0" collapsed="false">
      <c r="A5" s="236" t="s">
        <v>26</v>
      </c>
      <c r="B5" s="237" t="s">
        <v>116</v>
      </c>
      <c r="C5" s="238"/>
      <c r="D5" s="239" t="n">
        <v>5083105</v>
      </c>
      <c r="E5" s="240" t="n">
        <v>45054</v>
      </c>
      <c r="F5" s="241" t="s">
        <v>53</v>
      </c>
      <c r="G5" s="242" t="n">
        <v>45055</v>
      </c>
      <c r="H5" s="243"/>
      <c r="I5" s="244"/>
      <c r="J5" s="244"/>
      <c r="K5" s="244"/>
      <c r="L5" s="244"/>
      <c r="M5" s="243"/>
      <c r="N5" s="244"/>
      <c r="O5" s="243"/>
      <c r="P5" s="245"/>
      <c r="Q5" s="246"/>
      <c r="R5" s="243" t="n">
        <v>130</v>
      </c>
      <c r="S5" s="246" t="n">
        <v>25</v>
      </c>
      <c r="T5" s="247" t="n">
        <v>10.73</v>
      </c>
      <c r="U5" s="248" t="n">
        <f aca="false">SUM(H5:T5)</f>
        <v>165.73</v>
      </c>
      <c r="V5" s="249" t="s">
        <v>54</v>
      </c>
      <c r="W5" s="250" t="s">
        <v>74</v>
      </c>
      <c r="X5" s="110" t="s">
        <v>37</v>
      </c>
      <c r="Y5" s="186"/>
      <c r="Z5" s="51"/>
    </row>
    <row r="6" s="10" customFormat="true" ht="14.1" hidden="false" customHeight="true" outlineLevel="0" collapsed="false">
      <c r="A6" s="236" t="s">
        <v>38</v>
      </c>
      <c r="B6" s="237" t="s">
        <v>110</v>
      </c>
      <c r="C6" s="238"/>
      <c r="D6" s="239" t="n">
        <v>5153051</v>
      </c>
      <c r="E6" s="240" t="n">
        <v>45061</v>
      </c>
      <c r="F6" s="241" t="s">
        <v>111</v>
      </c>
      <c r="G6" s="242" t="n">
        <v>45061</v>
      </c>
      <c r="H6" s="243"/>
      <c r="I6" s="244" t="n">
        <v>249</v>
      </c>
      <c r="J6" s="244"/>
      <c r="K6" s="244"/>
      <c r="L6" s="244"/>
      <c r="M6" s="243"/>
      <c r="N6" s="244"/>
      <c r="O6" s="243"/>
      <c r="P6" s="245"/>
      <c r="Q6" s="246"/>
      <c r="R6" s="243"/>
      <c r="S6" s="246"/>
      <c r="T6" s="247" t="n">
        <v>20.7</v>
      </c>
      <c r="U6" s="248" t="n">
        <f aca="false">SUM(H6:T6)</f>
        <v>269.7</v>
      </c>
      <c r="V6" s="249" t="s">
        <v>42</v>
      </c>
      <c r="W6" s="250" t="s">
        <v>38</v>
      </c>
      <c r="X6" s="110" t="s">
        <v>37</v>
      </c>
      <c r="Y6" s="186"/>
      <c r="Z6" s="51"/>
    </row>
    <row r="7" s="10" customFormat="true" ht="14.1" hidden="false" customHeight="true" outlineLevel="0" collapsed="false">
      <c r="A7" s="100" t="s">
        <v>38</v>
      </c>
      <c r="B7" s="2" t="s">
        <v>110</v>
      </c>
      <c r="C7" s="3" t="s">
        <v>165</v>
      </c>
      <c r="D7" s="101" t="n">
        <v>6153054</v>
      </c>
      <c r="E7" s="102" t="n">
        <v>45092</v>
      </c>
      <c r="F7" s="103" t="s">
        <v>111</v>
      </c>
      <c r="G7" s="5" t="n">
        <v>45092</v>
      </c>
      <c r="H7" s="105"/>
      <c r="I7" s="106" t="n">
        <v>249</v>
      </c>
      <c r="J7" s="106"/>
      <c r="K7" s="106"/>
      <c r="L7" s="106"/>
      <c r="M7" s="105"/>
      <c r="N7" s="106"/>
      <c r="O7" s="105"/>
      <c r="P7" s="7"/>
      <c r="Q7" s="107"/>
      <c r="R7" s="105"/>
      <c r="S7" s="107"/>
      <c r="T7" s="108" t="n">
        <v>20.7</v>
      </c>
      <c r="U7" s="95" t="n">
        <f aca="false">SUM(H7:T7)</f>
        <v>269.7</v>
      </c>
      <c r="V7" s="109" t="s">
        <v>42</v>
      </c>
      <c r="W7" s="10" t="s">
        <v>38</v>
      </c>
      <c r="X7" s="110" t="s">
        <v>37</v>
      </c>
      <c r="Y7" s="252"/>
      <c r="Z7" s="253"/>
    </row>
    <row r="8" s="10" customFormat="true" ht="14.1" hidden="false" customHeight="true" outlineLevel="0" collapsed="false">
      <c r="A8" s="187" t="s">
        <v>26</v>
      </c>
      <c r="B8" s="172" t="s">
        <v>81</v>
      </c>
      <c r="C8" s="173"/>
      <c r="D8" s="174" t="n">
        <v>3303101</v>
      </c>
      <c r="E8" s="175" t="n">
        <v>45015</v>
      </c>
      <c r="F8" s="176" t="s">
        <v>53</v>
      </c>
      <c r="G8" s="177" t="n">
        <v>45015</v>
      </c>
      <c r="H8" s="178"/>
      <c r="I8" s="179"/>
      <c r="J8" s="179"/>
      <c r="K8" s="179"/>
      <c r="L8" s="179"/>
      <c r="M8" s="178"/>
      <c r="N8" s="179"/>
      <c r="O8" s="178"/>
      <c r="P8" s="180"/>
      <c r="Q8" s="181"/>
      <c r="R8" s="178" t="n">
        <v>110</v>
      </c>
      <c r="S8" s="181" t="n">
        <v>25</v>
      </c>
      <c r="T8" s="182" t="n">
        <v>11.28</v>
      </c>
      <c r="U8" s="183" t="n">
        <f aca="false">SUM(H8:T8)</f>
        <v>146.28</v>
      </c>
      <c r="V8" s="184" t="s">
        <v>54</v>
      </c>
      <c r="W8" s="185" t="s">
        <v>45</v>
      </c>
      <c r="X8" s="110" t="s">
        <v>37</v>
      </c>
      <c r="Y8" s="186"/>
      <c r="Z8" s="51"/>
    </row>
    <row r="9" s="10" customFormat="true" ht="14.1" hidden="false" customHeight="true" outlineLevel="0" collapsed="false">
      <c r="A9" s="236" t="s">
        <v>26</v>
      </c>
      <c r="B9" s="237" t="s">
        <v>81</v>
      </c>
      <c r="C9" s="238"/>
      <c r="D9" s="239" t="n">
        <v>5153103</v>
      </c>
      <c r="E9" s="240" t="n">
        <v>45061</v>
      </c>
      <c r="F9" s="241" t="s">
        <v>53</v>
      </c>
      <c r="G9" s="242" t="n">
        <v>45061</v>
      </c>
      <c r="H9" s="243"/>
      <c r="I9" s="244"/>
      <c r="J9" s="244"/>
      <c r="K9" s="244"/>
      <c r="L9" s="244"/>
      <c r="M9" s="243"/>
      <c r="N9" s="244"/>
      <c r="O9" s="243"/>
      <c r="P9" s="245"/>
      <c r="Q9" s="246"/>
      <c r="R9" s="243" t="n">
        <v>185</v>
      </c>
      <c r="S9" s="246" t="n">
        <v>37.5</v>
      </c>
      <c r="T9" s="247" t="n">
        <v>18.96</v>
      </c>
      <c r="U9" s="248" t="n">
        <f aca="false">SUM(H9:T9)</f>
        <v>241.46</v>
      </c>
      <c r="V9" s="249" t="s">
        <v>54</v>
      </c>
      <c r="W9" s="250" t="s">
        <v>74</v>
      </c>
      <c r="X9" s="110" t="s">
        <v>37</v>
      </c>
      <c r="Y9" s="186"/>
      <c r="Z9" s="51"/>
    </row>
    <row r="10" s="10" customFormat="true" ht="14.1" hidden="false" customHeight="true" outlineLevel="0" collapsed="false">
      <c r="A10" s="100" t="s">
        <v>38</v>
      </c>
      <c r="B10" s="2" t="s">
        <v>39</v>
      </c>
      <c r="C10" s="3"/>
      <c r="D10" s="101" t="n">
        <v>6013051</v>
      </c>
      <c r="E10" s="102" t="n">
        <v>45078</v>
      </c>
      <c r="F10" s="103" t="s">
        <v>111</v>
      </c>
      <c r="G10" s="5" t="n">
        <v>45078</v>
      </c>
      <c r="H10" s="105"/>
      <c r="I10" s="106"/>
      <c r="J10" s="106"/>
      <c r="K10" s="106"/>
      <c r="L10" s="106"/>
      <c r="M10" s="105" t="n">
        <v>49</v>
      </c>
      <c r="N10" s="106" t="n">
        <v>39</v>
      </c>
      <c r="O10" s="105"/>
      <c r="P10" s="7"/>
      <c r="Q10" s="107"/>
      <c r="R10" s="105"/>
      <c r="S10" s="107"/>
      <c r="T10" s="108"/>
      <c r="U10" s="95" t="n">
        <f aca="false">SUM(H10:T10)</f>
        <v>88</v>
      </c>
      <c r="V10" s="109" t="s">
        <v>42</v>
      </c>
      <c r="W10" s="10" t="s">
        <v>45</v>
      </c>
      <c r="X10" s="110" t="s">
        <v>37</v>
      </c>
      <c r="Y10" s="252"/>
      <c r="Z10" s="253"/>
    </row>
    <row r="11" s="205" customFormat="true" ht="14.1" hidden="false" customHeight="true" outlineLevel="0" collapsed="false">
      <c r="A11" s="100" t="s">
        <v>26</v>
      </c>
      <c r="B11" s="2" t="s">
        <v>135</v>
      </c>
      <c r="C11" s="3"/>
      <c r="D11" s="101" t="n">
        <v>6263101</v>
      </c>
      <c r="E11" s="102" t="n">
        <v>45103</v>
      </c>
      <c r="F11" s="103" t="s">
        <v>53</v>
      </c>
      <c r="G11" s="5" t="n">
        <v>45103</v>
      </c>
      <c r="H11" s="105"/>
      <c r="I11" s="106"/>
      <c r="J11" s="106"/>
      <c r="K11" s="106"/>
      <c r="L11" s="106"/>
      <c r="M11" s="105"/>
      <c r="N11" s="106"/>
      <c r="O11" s="105"/>
      <c r="P11" s="7"/>
      <c r="Q11" s="107"/>
      <c r="R11" s="105" t="n">
        <v>447</v>
      </c>
      <c r="S11" s="107" t="n">
        <v>87.5</v>
      </c>
      <c r="T11" s="108" t="n">
        <v>34.64</v>
      </c>
      <c r="U11" s="95" t="n">
        <f aca="false">SUM(H11:T11)</f>
        <v>569.14</v>
      </c>
      <c r="V11" s="109" t="s">
        <v>54</v>
      </c>
      <c r="W11" s="10" t="s">
        <v>26</v>
      </c>
      <c r="X11" s="110" t="s">
        <v>37</v>
      </c>
      <c r="Y11" s="252"/>
      <c r="Z11" s="253"/>
      <c r="AA11" s="10"/>
      <c r="AB11" s="10"/>
      <c r="AC11" s="10"/>
    </row>
    <row r="12" s="10" customFormat="true" ht="14.1" hidden="false" customHeight="true" outlineLevel="0" collapsed="false">
      <c r="A12" s="236" t="s">
        <v>26</v>
      </c>
      <c r="B12" s="237" t="s">
        <v>105</v>
      </c>
      <c r="C12" s="238"/>
      <c r="D12" s="239" t="n">
        <v>5023102</v>
      </c>
      <c r="E12" s="240" t="n">
        <v>45048</v>
      </c>
      <c r="F12" s="241" t="s">
        <v>53</v>
      </c>
      <c r="G12" s="242" t="n">
        <v>45050</v>
      </c>
      <c r="H12" s="243"/>
      <c r="I12" s="244"/>
      <c r="J12" s="244"/>
      <c r="K12" s="244"/>
      <c r="L12" s="244"/>
      <c r="M12" s="243"/>
      <c r="N12" s="244"/>
      <c r="O12" s="243"/>
      <c r="P12" s="245"/>
      <c r="Q12" s="246"/>
      <c r="R12" s="243" t="n">
        <v>2200</v>
      </c>
      <c r="S12" s="246" t="n">
        <v>180</v>
      </c>
      <c r="T12" s="247" t="n">
        <v>203.5</v>
      </c>
      <c r="U12" s="248" t="n">
        <f aca="false">SUM(H12:T12)</f>
        <v>2583.5</v>
      </c>
      <c r="V12" s="249" t="s">
        <v>30</v>
      </c>
      <c r="W12" s="250" t="s">
        <v>26</v>
      </c>
      <c r="X12" s="110" t="s">
        <v>37</v>
      </c>
      <c r="Y12" s="186"/>
      <c r="Z12" s="51"/>
    </row>
    <row r="13" s="10" customFormat="true" ht="14.1" hidden="false" customHeight="true" outlineLevel="0" collapsed="false">
      <c r="A13" s="236" t="s">
        <v>26</v>
      </c>
      <c r="B13" s="237" t="s">
        <v>118</v>
      </c>
      <c r="C13" s="238"/>
      <c r="D13" s="239" t="n">
        <v>5263107</v>
      </c>
      <c r="E13" s="240" t="n">
        <v>45072</v>
      </c>
      <c r="F13" s="241" t="s">
        <v>53</v>
      </c>
      <c r="G13" s="242" t="n">
        <v>45072</v>
      </c>
      <c r="H13" s="243"/>
      <c r="I13" s="244"/>
      <c r="J13" s="244"/>
      <c r="K13" s="244"/>
      <c r="L13" s="244"/>
      <c r="M13" s="243"/>
      <c r="N13" s="244"/>
      <c r="O13" s="243"/>
      <c r="P13" s="245"/>
      <c r="Q13" s="246"/>
      <c r="R13" s="243" t="n">
        <v>65</v>
      </c>
      <c r="S13" s="246" t="n">
        <v>12.5</v>
      </c>
      <c r="T13" s="247" t="n">
        <v>6.66</v>
      </c>
      <c r="U13" s="248" t="n">
        <f aca="false">SUM(H13:T13)</f>
        <v>84.16</v>
      </c>
      <c r="V13" s="249" t="s">
        <v>54</v>
      </c>
      <c r="W13" s="250" t="s">
        <v>26</v>
      </c>
      <c r="X13" s="110" t="s">
        <v>37</v>
      </c>
      <c r="Y13" s="186"/>
      <c r="Z13" s="51"/>
    </row>
    <row r="14" s="10" customFormat="true" ht="14.1" hidden="false" customHeight="true" outlineLevel="0" collapsed="false">
      <c r="A14" s="236" t="s">
        <v>26</v>
      </c>
      <c r="B14" s="237" t="s">
        <v>128</v>
      </c>
      <c r="C14" s="238"/>
      <c r="D14" s="239" t="n">
        <v>5303104</v>
      </c>
      <c r="E14" s="240" t="n">
        <v>45076</v>
      </c>
      <c r="F14" s="241" t="s">
        <v>53</v>
      </c>
      <c r="G14" s="242" t="n">
        <v>45076</v>
      </c>
      <c r="H14" s="243"/>
      <c r="I14" s="244"/>
      <c r="J14" s="244"/>
      <c r="K14" s="244"/>
      <c r="L14" s="244"/>
      <c r="M14" s="243"/>
      <c r="N14" s="244"/>
      <c r="O14" s="243"/>
      <c r="P14" s="245"/>
      <c r="Q14" s="246"/>
      <c r="R14" s="243" t="n">
        <v>29</v>
      </c>
      <c r="S14" s="246" t="n">
        <v>12.5</v>
      </c>
      <c r="T14" s="247" t="n">
        <v>2.5</v>
      </c>
      <c r="U14" s="248" t="n">
        <f aca="false">SUM(H14:T14)</f>
        <v>44</v>
      </c>
      <c r="V14" s="249" t="s">
        <v>54</v>
      </c>
      <c r="W14" s="250" t="s">
        <v>26</v>
      </c>
      <c r="X14" s="110" t="s">
        <v>37</v>
      </c>
      <c r="Y14" s="186"/>
      <c r="Z14" s="51"/>
    </row>
    <row r="15" s="10" customFormat="true" ht="14.1" hidden="false" customHeight="true" outlineLevel="0" collapsed="false">
      <c r="A15" s="100" t="s">
        <v>45</v>
      </c>
      <c r="B15" s="2" t="s">
        <v>170</v>
      </c>
      <c r="C15" s="3"/>
      <c r="D15" s="101" t="n">
        <v>6223062</v>
      </c>
      <c r="E15" s="102" t="n">
        <v>45099</v>
      </c>
      <c r="F15" s="103" t="s">
        <v>53</v>
      </c>
      <c r="G15" s="5" t="n">
        <v>45099</v>
      </c>
      <c r="H15" s="105"/>
      <c r="I15" s="106"/>
      <c r="J15" s="106"/>
      <c r="K15" s="106"/>
      <c r="L15" s="106"/>
      <c r="M15" s="105"/>
      <c r="N15" s="106"/>
      <c r="O15" s="105"/>
      <c r="P15" s="7"/>
      <c r="Q15" s="107"/>
      <c r="R15" s="105" t="n">
        <v>105</v>
      </c>
      <c r="S15" s="107" t="n">
        <v>12.5</v>
      </c>
      <c r="T15" s="108" t="n">
        <v>8.66</v>
      </c>
      <c r="U15" s="95" t="n">
        <f aca="false">SUM(H15:T15)</f>
        <v>126.16</v>
      </c>
      <c r="V15" s="109" t="s">
        <v>54</v>
      </c>
      <c r="W15" s="10" t="s">
        <v>45</v>
      </c>
      <c r="X15" s="110" t="s">
        <v>37</v>
      </c>
      <c r="Y15" s="252"/>
      <c r="Z15" s="253"/>
    </row>
    <row r="16" s="10" customFormat="true" ht="14.1" hidden="false" customHeight="true" outlineLevel="0" collapsed="false">
      <c r="A16" s="100" t="s">
        <v>26</v>
      </c>
      <c r="B16" s="2" t="s">
        <v>142</v>
      </c>
      <c r="C16" s="3"/>
      <c r="D16" s="101" t="n">
        <v>6143103</v>
      </c>
      <c r="E16" s="102" t="n">
        <v>45091</v>
      </c>
      <c r="F16" s="103" t="s">
        <v>53</v>
      </c>
      <c r="G16" s="5" t="n">
        <v>45091</v>
      </c>
      <c r="H16" s="105"/>
      <c r="I16" s="106"/>
      <c r="J16" s="106"/>
      <c r="K16" s="106"/>
      <c r="L16" s="106"/>
      <c r="M16" s="105"/>
      <c r="N16" s="106"/>
      <c r="O16" s="105"/>
      <c r="P16" s="7"/>
      <c r="Q16" s="107"/>
      <c r="R16" s="105" t="n">
        <v>279</v>
      </c>
      <c r="S16" s="107" t="n">
        <v>62.5</v>
      </c>
      <c r="T16" s="108" t="n">
        <v>23.02</v>
      </c>
      <c r="U16" s="95" t="n">
        <f aca="false">SUM(H16:T16)</f>
        <v>364.52</v>
      </c>
      <c r="V16" s="109" t="s">
        <v>54</v>
      </c>
      <c r="W16" s="10" t="s">
        <v>45</v>
      </c>
      <c r="X16" s="110" t="s">
        <v>37</v>
      </c>
      <c r="Y16" s="252"/>
      <c r="Z16" s="253"/>
    </row>
    <row r="17" s="10" customFormat="true" ht="14.1" hidden="false" customHeight="true" outlineLevel="0" collapsed="false">
      <c r="A17" s="100" t="s">
        <v>26</v>
      </c>
      <c r="B17" s="2" t="s">
        <v>167</v>
      </c>
      <c r="C17" s="3"/>
      <c r="D17" s="101" t="n">
        <v>6223063</v>
      </c>
      <c r="E17" s="102" t="n">
        <v>45099</v>
      </c>
      <c r="F17" s="103" t="s">
        <v>53</v>
      </c>
      <c r="G17" s="5" t="n">
        <v>45099</v>
      </c>
      <c r="H17" s="105"/>
      <c r="I17" s="106"/>
      <c r="J17" s="106"/>
      <c r="K17" s="106"/>
      <c r="L17" s="106"/>
      <c r="M17" s="105"/>
      <c r="N17" s="106"/>
      <c r="O17" s="105"/>
      <c r="P17" s="7"/>
      <c r="Q17" s="107"/>
      <c r="R17" s="105" t="n">
        <v>65</v>
      </c>
      <c r="S17" s="107" t="n">
        <v>12.5</v>
      </c>
      <c r="T17" s="108" t="n">
        <v>5.04</v>
      </c>
      <c r="U17" s="95" t="n">
        <f aca="false">SUM(H17:T17)</f>
        <v>82.54</v>
      </c>
      <c r="V17" s="109" t="s">
        <v>54</v>
      </c>
      <c r="W17" s="10" t="s">
        <v>45</v>
      </c>
      <c r="X17" s="110" t="s">
        <v>37</v>
      </c>
      <c r="Y17" s="252"/>
      <c r="Z17" s="253"/>
    </row>
    <row r="18" s="10" customFormat="true" ht="14.1" hidden="false" customHeight="true" outlineLevel="0" collapsed="false">
      <c r="A18" s="187" t="s">
        <v>26</v>
      </c>
      <c r="B18" s="172" t="s">
        <v>92</v>
      </c>
      <c r="C18" s="173" t="s">
        <v>93</v>
      </c>
      <c r="D18" s="174" t="n">
        <v>3313101</v>
      </c>
      <c r="E18" s="175" t="n">
        <v>45016</v>
      </c>
      <c r="F18" s="176" t="s">
        <v>53</v>
      </c>
      <c r="G18" s="177" t="n">
        <v>45016</v>
      </c>
      <c r="H18" s="178"/>
      <c r="I18" s="179"/>
      <c r="J18" s="179"/>
      <c r="K18" s="179"/>
      <c r="L18" s="179"/>
      <c r="M18" s="178"/>
      <c r="N18" s="179"/>
      <c r="O18" s="178"/>
      <c r="P18" s="180"/>
      <c r="Q18" s="181"/>
      <c r="R18" s="178" t="n">
        <v>-50</v>
      </c>
      <c r="S18" s="181"/>
      <c r="T18" s="182" t="n">
        <v>-4.63</v>
      </c>
      <c r="U18" s="183" t="n">
        <f aca="false">SUM(H18:T18)</f>
        <v>-54.63</v>
      </c>
      <c r="V18" s="184" t="s">
        <v>85</v>
      </c>
      <c r="W18" s="185" t="s">
        <v>26</v>
      </c>
      <c r="X18" s="110" t="s">
        <v>37</v>
      </c>
      <c r="Y18" s="186"/>
      <c r="Z18" s="51"/>
    </row>
    <row r="19" s="10" customFormat="true" ht="14.1" hidden="false" customHeight="true" outlineLevel="0" collapsed="false">
      <c r="A19" s="100" t="s">
        <v>26</v>
      </c>
      <c r="B19" s="2" t="s">
        <v>161</v>
      </c>
      <c r="C19" s="3"/>
      <c r="D19" s="101" t="n">
        <v>6053041</v>
      </c>
      <c r="E19" s="102" t="n">
        <v>45082</v>
      </c>
      <c r="F19" s="103" t="s">
        <v>53</v>
      </c>
      <c r="G19" s="5" t="n">
        <v>45082</v>
      </c>
      <c r="H19" s="105"/>
      <c r="I19" s="106"/>
      <c r="J19" s="106"/>
      <c r="K19" s="106"/>
      <c r="L19" s="106"/>
      <c r="M19" s="105"/>
      <c r="N19" s="106"/>
      <c r="O19" s="105"/>
      <c r="P19" s="7"/>
      <c r="Q19" s="107"/>
      <c r="R19" s="105" t="n">
        <v>98</v>
      </c>
      <c r="S19" s="107"/>
      <c r="T19" s="108"/>
      <c r="U19" s="95" t="n">
        <f aca="false">SUM(H19:T19)</f>
        <v>98</v>
      </c>
      <c r="V19" s="109" t="s">
        <v>54</v>
      </c>
      <c r="W19" s="10" t="s">
        <v>26</v>
      </c>
      <c r="X19" s="110" t="s">
        <v>37</v>
      </c>
      <c r="Y19" s="252"/>
      <c r="Z19" s="253"/>
    </row>
    <row r="20" s="10" customFormat="true" ht="14.1" hidden="false" customHeight="true" outlineLevel="0" collapsed="false">
      <c r="A20" s="100" t="s">
        <v>45</v>
      </c>
      <c r="B20" s="2" t="s">
        <v>161</v>
      </c>
      <c r="C20" s="3" t="n">
        <v>331921</v>
      </c>
      <c r="D20" s="101" t="n">
        <v>6133068</v>
      </c>
      <c r="E20" s="102" t="n">
        <v>45090</v>
      </c>
      <c r="F20" s="103" t="s">
        <v>53</v>
      </c>
      <c r="G20" s="5" t="n">
        <v>45091</v>
      </c>
      <c r="H20" s="105"/>
      <c r="I20" s="106"/>
      <c r="J20" s="106"/>
      <c r="K20" s="106"/>
      <c r="L20" s="106"/>
      <c r="M20" s="105"/>
      <c r="N20" s="106"/>
      <c r="O20" s="105"/>
      <c r="P20" s="7"/>
      <c r="Q20" s="107"/>
      <c r="R20" s="105" t="n">
        <v>1024</v>
      </c>
      <c r="S20" s="107"/>
      <c r="T20" s="108"/>
      <c r="U20" s="95" t="n">
        <f aca="false">SUM(H20:T20)</f>
        <v>1024</v>
      </c>
      <c r="V20" s="109" t="s">
        <v>54</v>
      </c>
      <c r="W20" s="10" t="s">
        <v>45</v>
      </c>
      <c r="X20" s="110" t="s">
        <v>37</v>
      </c>
      <c r="Y20" s="252"/>
      <c r="Z20" s="253"/>
    </row>
    <row r="21" s="10" customFormat="true" ht="14.1" hidden="false" customHeight="true" outlineLevel="0" collapsed="false">
      <c r="A21" s="112" t="s">
        <v>45</v>
      </c>
      <c r="B21" s="207" t="s">
        <v>161</v>
      </c>
      <c r="C21" s="208"/>
      <c r="D21" s="208" t="n">
        <v>6133062</v>
      </c>
      <c r="E21" s="209" t="n">
        <v>45090</v>
      </c>
      <c r="F21" s="210" t="s">
        <v>53</v>
      </c>
      <c r="G21" s="211" t="n">
        <v>45092</v>
      </c>
      <c r="H21" s="212"/>
      <c r="I21" s="212"/>
      <c r="J21" s="213"/>
      <c r="K21" s="213"/>
      <c r="L21" s="213"/>
      <c r="M21" s="212"/>
      <c r="N21" s="212"/>
      <c r="O21" s="212"/>
      <c r="P21" s="127"/>
      <c r="Q21" s="214"/>
      <c r="R21" s="212" t="n">
        <v>-98</v>
      </c>
      <c r="S21" s="214"/>
      <c r="T21" s="215"/>
      <c r="U21" s="216" t="n">
        <f aca="false">SUM(H21:T21)</f>
        <v>-98</v>
      </c>
      <c r="V21" s="217" t="s">
        <v>54</v>
      </c>
      <c r="W21" s="29" t="s">
        <v>45</v>
      </c>
      <c r="X21" s="29" t="s">
        <v>37</v>
      </c>
      <c r="Y21" s="271"/>
      <c r="Z21" s="253"/>
    </row>
    <row r="22" s="10" customFormat="true" ht="13.15" hidden="false" customHeight="true" outlineLevel="0" collapsed="false">
      <c r="A22" s="100" t="s">
        <v>45</v>
      </c>
      <c r="B22" s="2" t="s">
        <v>161</v>
      </c>
      <c r="C22" s="3"/>
      <c r="D22" s="101" t="n">
        <v>6163062</v>
      </c>
      <c r="E22" s="102" t="n">
        <v>45093</v>
      </c>
      <c r="F22" s="103" t="s">
        <v>53</v>
      </c>
      <c r="G22" s="5" t="n">
        <v>45093</v>
      </c>
      <c r="H22" s="105"/>
      <c r="I22" s="106"/>
      <c r="J22" s="106"/>
      <c r="K22" s="106"/>
      <c r="L22" s="106"/>
      <c r="M22" s="105"/>
      <c r="N22" s="106"/>
      <c r="O22" s="105"/>
      <c r="P22" s="7"/>
      <c r="Q22" s="107"/>
      <c r="R22" s="105" t="n">
        <v>207</v>
      </c>
      <c r="S22" s="107"/>
      <c r="T22" s="108"/>
      <c r="U22" s="95" t="n">
        <f aca="false">SUM(H22:T22)</f>
        <v>207</v>
      </c>
      <c r="V22" s="109" t="s">
        <v>54</v>
      </c>
      <c r="W22" s="10" t="s">
        <v>45</v>
      </c>
      <c r="X22" s="110" t="s">
        <v>37</v>
      </c>
      <c r="Y22" s="252"/>
      <c r="Z22" s="253"/>
    </row>
    <row r="23" s="10" customFormat="true" ht="13.15" hidden="false" customHeight="true" outlineLevel="0" collapsed="false">
      <c r="A23" s="100" t="s">
        <v>45</v>
      </c>
      <c r="B23" s="2" t="s">
        <v>161</v>
      </c>
      <c r="C23" s="3"/>
      <c r="D23" s="101" t="n">
        <v>6273062</v>
      </c>
      <c r="E23" s="102" t="n">
        <v>45104</v>
      </c>
      <c r="F23" s="103" t="s">
        <v>53</v>
      </c>
      <c r="G23" s="5" t="n">
        <v>45104</v>
      </c>
      <c r="H23" s="105"/>
      <c r="I23" s="106"/>
      <c r="J23" s="106"/>
      <c r="K23" s="106"/>
      <c r="L23" s="106"/>
      <c r="M23" s="105"/>
      <c r="N23" s="106"/>
      <c r="O23" s="105"/>
      <c r="P23" s="7"/>
      <c r="Q23" s="107"/>
      <c r="R23" s="105" t="n">
        <v>1182</v>
      </c>
      <c r="S23" s="107"/>
      <c r="T23" s="108"/>
      <c r="U23" s="95" t="n">
        <f aca="false">SUM(H23:T23)</f>
        <v>1182</v>
      </c>
      <c r="V23" s="109" t="s">
        <v>54</v>
      </c>
      <c r="W23" s="10" t="s">
        <v>45</v>
      </c>
      <c r="X23" s="110" t="s">
        <v>37</v>
      </c>
      <c r="Y23" s="252"/>
      <c r="Z23" s="253"/>
    </row>
    <row r="24" s="10" customFormat="true" ht="13.15" hidden="false" customHeight="true" outlineLevel="0" collapsed="false">
      <c r="A24" s="100" t="s">
        <v>26</v>
      </c>
      <c r="B24" s="2" t="s">
        <v>141</v>
      </c>
      <c r="C24" s="3"/>
      <c r="D24" s="101" t="n">
        <v>6263104</v>
      </c>
      <c r="E24" s="102" t="n">
        <v>45103</v>
      </c>
      <c r="F24" s="103" t="s">
        <v>53</v>
      </c>
      <c r="G24" s="5" t="n">
        <v>45103</v>
      </c>
      <c r="H24" s="105"/>
      <c r="I24" s="106"/>
      <c r="J24" s="106"/>
      <c r="K24" s="106"/>
      <c r="L24" s="106"/>
      <c r="M24" s="105"/>
      <c r="N24" s="106"/>
      <c r="O24" s="105"/>
      <c r="P24" s="7"/>
      <c r="Q24" s="107"/>
      <c r="R24" s="105" t="n">
        <v>298</v>
      </c>
      <c r="S24" s="107" t="n">
        <v>62.5</v>
      </c>
      <c r="T24" s="108" t="n">
        <v>25.7</v>
      </c>
      <c r="U24" s="95" t="n">
        <f aca="false">SUM(H24:T24)</f>
        <v>386.2</v>
      </c>
      <c r="V24" s="109" t="s">
        <v>54</v>
      </c>
      <c r="W24" s="10" t="s">
        <v>45</v>
      </c>
      <c r="X24" s="110" t="s">
        <v>37</v>
      </c>
      <c r="Y24" s="252"/>
      <c r="Z24" s="253"/>
    </row>
    <row r="25" s="10" customFormat="true" ht="13.15" hidden="false" customHeight="true" outlineLevel="0" collapsed="false">
      <c r="A25" s="100" t="s">
        <v>26</v>
      </c>
      <c r="B25" s="2" t="s">
        <v>141</v>
      </c>
      <c r="C25" s="3"/>
      <c r="D25" s="101" t="n">
        <v>6303064</v>
      </c>
      <c r="E25" s="102" t="n">
        <v>45107</v>
      </c>
      <c r="F25" s="103" t="s">
        <v>53</v>
      </c>
      <c r="G25" s="5" t="n">
        <v>45107</v>
      </c>
      <c r="H25" s="105"/>
      <c r="I25" s="106"/>
      <c r="J25" s="106"/>
      <c r="K25" s="106"/>
      <c r="L25" s="106"/>
      <c r="M25" s="105"/>
      <c r="N25" s="106"/>
      <c r="O25" s="105"/>
      <c r="P25" s="7"/>
      <c r="Q25" s="107"/>
      <c r="R25" s="105" t="n">
        <v>110</v>
      </c>
      <c r="S25" s="107" t="n">
        <v>25</v>
      </c>
      <c r="T25" s="108" t="n">
        <v>9.49</v>
      </c>
      <c r="U25" s="95" t="n">
        <f aca="false">SUM(H25:T25)</f>
        <v>144.49</v>
      </c>
      <c r="V25" s="109" t="s">
        <v>54</v>
      </c>
      <c r="W25" s="10" t="s">
        <v>45</v>
      </c>
      <c r="X25" s="110" t="s">
        <v>37</v>
      </c>
      <c r="Y25" s="252"/>
      <c r="Z25" s="253"/>
    </row>
    <row r="26" s="10" customFormat="true" ht="14.1" hidden="false" customHeight="true" outlineLevel="0" collapsed="false">
      <c r="A26" s="171" t="s">
        <v>26</v>
      </c>
      <c r="B26" s="172" t="s">
        <v>91</v>
      </c>
      <c r="C26" s="173"/>
      <c r="D26" s="174" t="n">
        <v>1123104</v>
      </c>
      <c r="E26" s="175" t="n">
        <v>44938</v>
      </c>
      <c r="F26" s="176" t="s">
        <v>53</v>
      </c>
      <c r="G26" s="177" t="n">
        <v>44938</v>
      </c>
      <c r="H26" s="178"/>
      <c r="I26" s="179"/>
      <c r="J26" s="179"/>
      <c r="K26" s="179"/>
      <c r="L26" s="179"/>
      <c r="M26" s="178"/>
      <c r="N26" s="179"/>
      <c r="O26" s="178"/>
      <c r="P26" s="180"/>
      <c r="Q26" s="181"/>
      <c r="R26" s="178" t="n">
        <v>39</v>
      </c>
      <c r="S26" s="181" t="n">
        <v>10</v>
      </c>
      <c r="T26" s="182" t="n">
        <v>4</v>
      </c>
      <c r="U26" s="183" t="n">
        <f aca="false">SUM(H26:T26)</f>
        <v>53</v>
      </c>
      <c r="V26" s="184" t="s">
        <v>73</v>
      </c>
      <c r="W26" s="185" t="s">
        <v>74</v>
      </c>
      <c r="X26" s="110" t="s">
        <v>37</v>
      </c>
      <c r="Y26" s="186"/>
      <c r="Z26" s="51"/>
    </row>
    <row r="27" s="10" customFormat="true" ht="14.1" hidden="false" customHeight="true" outlineLevel="0" collapsed="false">
      <c r="A27" s="187" t="s">
        <v>26</v>
      </c>
      <c r="B27" s="172" t="s">
        <v>75</v>
      </c>
      <c r="C27" s="173"/>
      <c r="D27" s="174" t="n">
        <v>3133101</v>
      </c>
      <c r="E27" s="175" t="n">
        <v>44998</v>
      </c>
      <c r="F27" s="176" t="s">
        <v>53</v>
      </c>
      <c r="G27" s="177" t="n">
        <v>44998</v>
      </c>
      <c r="H27" s="178"/>
      <c r="I27" s="179"/>
      <c r="J27" s="179"/>
      <c r="K27" s="179"/>
      <c r="L27" s="179"/>
      <c r="M27" s="178"/>
      <c r="N27" s="179"/>
      <c r="O27" s="178"/>
      <c r="P27" s="180"/>
      <c r="Q27" s="181"/>
      <c r="R27" s="178" t="n">
        <v>298</v>
      </c>
      <c r="S27" s="181" t="n">
        <v>62.5</v>
      </c>
      <c r="T27" s="182" t="n">
        <v>24.59</v>
      </c>
      <c r="U27" s="183" t="n">
        <f aca="false">SUM(H27:T27)</f>
        <v>385.09</v>
      </c>
      <c r="V27" s="184" t="s">
        <v>54</v>
      </c>
      <c r="W27" s="185" t="s">
        <v>31</v>
      </c>
      <c r="X27" s="110" t="s">
        <v>37</v>
      </c>
      <c r="Y27" s="186"/>
      <c r="Z27" s="51"/>
    </row>
    <row r="28" s="10" customFormat="true" ht="14.1" hidden="false" customHeight="true" outlineLevel="0" collapsed="false">
      <c r="A28" s="220" t="s">
        <v>26</v>
      </c>
      <c r="B28" s="221" t="s">
        <v>75</v>
      </c>
      <c r="C28" s="222"/>
      <c r="D28" s="223" t="n">
        <v>4103101</v>
      </c>
      <c r="E28" s="224" t="n">
        <v>45026</v>
      </c>
      <c r="F28" s="225" t="s">
        <v>53</v>
      </c>
      <c r="G28" s="226" t="n">
        <v>45026</v>
      </c>
      <c r="H28" s="227"/>
      <c r="I28" s="228"/>
      <c r="J28" s="228"/>
      <c r="K28" s="228"/>
      <c r="L28" s="228"/>
      <c r="M28" s="227"/>
      <c r="N28" s="228"/>
      <c r="O28" s="227"/>
      <c r="P28" s="229"/>
      <c r="Q28" s="230"/>
      <c r="R28" s="227" t="n">
        <v>415</v>
      </c>
      <c r="S28" s="230" t="n">
        <v>62.5</v>
      </c>
      <c r="T28" s="231" t="n">
        <v>34.24</v>
      </c>
      <c r="U28" s="232" t="n">
        <f aca="false">SUM(H28:T28)</f>
        <v>511.74</v>
      </c>
      <c r="V28" s="233" t="s">
        <v>54</v>
      </c>
      <c r="W28" s="234" t="s">
        <v>74</v>
      </c>
      <c r="X28" s="110" t="s">
        <v>37</v>
      </c>
      <c r="Y28" s="186"/>
      <c r="Z28" s="51"/>
    </row>
    <row r="29" s="10" customFormat="true" ht="14.1" hidden="false" customHeight="true" outlineLevel="0" collapsed="false">
      <c r="A29" s="100" t="s">
        <v>26</v>
      </c>
      <c r="B29" s="2" t="s">
        <v>75</v>
      </c>
      <c r="C29" s="3"/>
      <c r="D29" s="101" t="n">
        <v>6063102</v>
      </c>
      <c r="E29" s="102" t="n">
        <v>45083</v>
      </c>
      <c r="F29" s="103" t="s">
        <v>53</v>
      </c>
      <c r="G29" s="5" t="n">
        <v>45083</v>
      </c>
      <c r="H29" s="105"/>
      <c r="I29" s="106"/>
      <c r="J29" s="106"/>
      <c r="K29" s="106"/>
      <c r="L29" s="106"/>
      <c r="M29" s="105"/>
      <c r="N29" s="106"/>
      <c r="O29" s="105"/>
      <c r="P29" s="7"/>
      <c r="Q29" s="107"/>
      <c r="R29" s="105" t="n">
        <v>415</v>
      </c>
      <c r="S29" s="107" t="n">
        <v>62.5</v>
      </c>
      <c r="T29" s="108" t="n">
        <v>34.24</v>
      </c>
      <c r="U29" s="95" t="n">
        <f aca="false">SUM(H29:T29)</f>
        <v>511.74</v>
      </c>
      <c r="V29" s="109" t="s">
        <v>54</v>
      </c>
      <c r="W29" s="10" t="s">
        <v>74</v>
      </c>
      <c r="X29" s="110" t="s">
        <v>37</v>
      </c>
      <c r="Y29" s="252"/>
      <c r="Z29" s="253"/>
    </row>
    <row r="30" s="10" customFormat="true" ht="14.1" hidden="false" customHeight="true" outlineLevel="0" collapsed="false">
      <c r="A30" s="171" t="s">
        <v>26</v>
      </c>
      <c r="B30" s="172" t="s">
        <v>82</v>
      </c>
      <c r="C30" s="173"/>
      <c r="D30" s="174" t="n">
        <v>2143103</v>
      </c>
      <c r="E30" s="175" t="n">
        <v>44971</v>
      </c>
      <c r="F30" s="176" t="s">
        <v>53</v>
      </c>
      <c r="G30" s="177" t="n">
        <v>44971</v>
      </c>
      <c r="H30" s="178"/>
      <c r="I30" s="179"/>
      <c r="J30" s="179"/>
      <c r="K30" s="179"/>
      <c r="L30" s="179"/>
      <c r="M30" s="178"/>
      <c r="N30" s="179"/>
      <c r="O30" s="178"/>
      <c r="P30" s="180"/>
      <c r="Q30" s="181"/>
      <c r="R30" s="178" t="n">
        <v>90</v>
      </c>
      <c r="S30" s="181" t="n">
        <v>10</v>
      </c>
      <c r="T30" s="182" t="n">
        <v>8.44</v>
      </c>
      <c r="U30" s="183" t="n">
        <f aca="false">SUM(H30:T30)</f>
        <v>108.44</v>
      </c>
      <c r="V30" s="184" t="s">
        <v>73</v>
      </c>
      <c r="W30" s="185" t="s">
        <v>26</v>
      </c>
      <c r="X30" s="110" t="s">
        <v>37</v>
      </c>
      <c r="Y30" s="186"/>
      <c r="Z30" s="51"/>
    </row>
    <row r="31" s="10" customFormat="true" ht="14.1" hidden="false" customHeight="true" outlineLevel="0" collapsed="false">
      <c r="A31" s="100" t="s">
        <v>26</v>
      </c>
      <c r="B31" s="2" t="s">
        <v>154</v>
      </c>
      <c r="C31" s="3"/>
      <c r="D31" s="101" t="n">
        <v>6203104</v>
      </c>
      <c r="E31" s="102" t="n">
        <v>45097</v>
      </c>
      <c r="F31" s="103" t="s">
        <v>53</v>
      </c>
      <c r="G31" s="5" t="n">
        <v>45097</v>
      </c>
      <c r="H31" s="105"/>
      <c r="I31" s="106"/>
      <c r="J31" s="106"/>
      <c r="K31" s="106"/>
      <c r="L31" s="106"/>
      <c r="M31" s="105"/>
      <c r="N31" s="106"/>
      <c r="O31" s="105"/>
      <c r="P31" s="7"/>
      <c r="Q31" s="107"/>
      <c r="R31" s="105" t="n">
        <v>130</v>
      </c>
      <c r="S31" s="107" t="n">
        <v>25</v>
      </c>
      <c r="T31" s="108" t="n">
        <v>11.21</v>
      </c>
      <c r="U31" s="95" t="n">
        <f aca="false">SUM(H31:T31)</f>
        <v>166.21</v>
      </c>
      <c r="V31" s="109" t="s">
        <v>54</v>
      </c>
      <c r="W31" s="10" t="s">
        <v>26</v>
      </c>
      <c r="X31" s="110" t="s">
        <v>37</v>
      </c>
      <c r="Y31" s="252"/>
      <c r="Z31" s="253"/>
    </row>
    <row r="32" s="10" customFormat="true" ht="14.1" hidden="false" customHeight="true" outlineLevel="0" collapsed="false">
      <c r="A32" s="272" t="s">
        <v>26</v>
      </c>
      <c r="B32" s="273" t="s">
        <v>78</v>
      </c>
      <c r="C32" s="274"/>
      <c r="D32" s="274" t="n">
        <v>3223103</v>
      </c>
      <c r="E32" s="275" t="n">
        <v>45007</v>
      </c>
      <c r="F32" s="276" t="s">
        <v>53</v>
      </c>
      <c r="G32" s="277" t="n">
        <v>45007</v>
      </c>
      <c r="H32" s="278"/>
      <c r="I32" s="278"/>
      <c r="J32" s="279"/>
      <c r="K32" s="279"/>
      <c r="L32" s="279"/>
      <c r="M32" s="278"/>
      <c r="N32" s="278"/>
      <c r="O32" s="278"/>
      <c r="P32" s="280"/>
      <c r="Q32" s="281"/>
      <c r="R32" s="278" t="n">
        <v>188</v>
      </c>
      <c r="S32" s="281" t="n">
        <v>50</v>
      </c>
      <c r="T32" s="282" t="n">
        <v>16.22</v>
      </c>
      <c r="U32" s="283" t="n">
        <f aca="false">SUM(H32:T32)</f>
        <v>254.22</v>
      </c>
      <c r="V32" s="284" t="s">
        <v>54</v>
      </c>
      <c r="W32" s="285" t="s">
        <v>74</v>
      </c>
      <c r="X32" s="29" t="s">
        <v>37</v>
      </c>
      <c r="Y32" s="286"/>
      <c r="Z32" s="51"/>
    </row>
    <row r="33" s="10" customFormat="true" ht="14.1" hidden="false" customHeight="true" outlineLevel="0" collapsed="false">
      <c r="A33" s="171" t="s">
        <v>26</v>
      </c>
      <c r="B33" s="172" t="s">
        <v>79</v>
      </c>
      <c r="C33" s="173"/>
      <c r="D33" s="174" t="n">
        <v>12272103</v>
      </c>
      <c r="E33" s="175" t="n">
        <v>44922</v>
      </c>
      <c r="F33" s="176" t="s">
        <v>53</v>
      </c>
      <c r="G33" s="177" t="n">
        <v>44922</v>
      </c>
      <c r="H33" s="178"/>
      <c r="I33" s="179"/>
      <c r="J33" s="179"/>
      <c r="K33" s="179"/>
      <c r="L33" s="179"/>
      <c r="M33" s="178"/>
      <c r="N33" s="179"/>
      <c r="O33" s="178"/>
      <c r="P33" s="180"/>
      <c r="Q33" s="181"/>
      <c r="R33" s="178" t="n">
        <v>149</v>
      </c>
      <c r="S33" s="181" t="n">
        <v>30</v>
      </c>
      <c r="T33" s="182" t="n">
        <v>12.67</v>
      </c>
      <c r="U33" s="183" t="n">
        <f aca="false">SUM(H33:T33)</f>
        <v>191.67</v>
      </c>
      <c r="V33" s="184" t="s">
        <v>73</v>
      </c>
      <c r="W33" s="185" t="s">
        <v>74</v>
      </c>
      <c r="X33" s="110" t="s">
        <v>37</v>
      </c>
      <c r="Y33" s="186"/>
      <c r="Z33" s="51"/>
    </row>
    <row r="34" s="10" customFormat="true" ht="14.1" hidden="false" customHeight="true" outlineLevel="0" collapsed="false">
      <c r="A34" s="171" t="s">
        <v>26</v>
      </c>
      <c r="B34" s="172" t="s">
        <v>89</v>
      </c>
      <c r="C34" s="173"/>
      <c r="D34" s="174" t="n">
        <v>12282103</v>
      </c>
      <c r="E34" s="175" t="n">
        <v>44923</v>
      </c>
      <c r="F34" s="176" t="s">
        <v>53</v>
      </c>
      <c r="G34" s="177" t="n">
        <v>44923</v>
      </c>
      <c r="H34" s="178"/>
      <c r="I34" s="179"/>
      <c r="J34" s="179"/>
      <c r="K34" s="179"/>
      <c r="L34" s="179"/>
      <c r="M34" s="178"/>
      <c r="N34" s="179"/>
      <c r="O34" s="178"/>
      <c r="P34" s="180"/>
      <c r="Q34" s="181"/>
      <c r="R34" s="178" t="n">
        <v>45</v>
      </c>
      <c r="S34" s="181" t="n">
        <v>10</v>
      </c>
      <c r="T34" s="182" t="n">
        <v>3.83</v>
      </c>
      <c r="U34" s="183" t="n">
        <f aca="false">SUM(H34:T34)</f>
        <v>58.83</v>
      </c>
      <c r="V34" s="184" t="s">
        <v>73</v>
      </c>
      <c r="W34" s="185" t="s">
        <v>45</v>
      </c>
      <c r="X34" s="110" t="s">
        <v>37</v>
      </c>
      <c r="Y34" s="186"/>
      <c r="Z34" s="51"/>
    </row>
    <row r="35" s="10" customFormat="true" ht="14.1" hidden="false" customHeight="true" outlineLevel="0" collapsed="false">
      <c r="A35" s="100" t="s">
        <v>26</v>
      </c>
      <c r="B35" s="2" t="s">
        <v>152</v>
      </c>
      <c r="C35" s="3"/>
      <c r="D35" s="101" t="n">
        <v>6013105</v>
      </c>
      <c r="E35" s="102" t="n">
        <v>45078</v>
      </c>
      <c r="F35" s="103" t="s">
        <v>53</v>
      </c>
      <c r="G35" s="5" t="n">
        <v>45079</v>
      </c>
      <c r="H35" s="105"/>
      <c r="I35" s="106"/>
      <c r="J35" s="106"/>
      <c r="K35" s="106"/>
      <c r="L35" s="106"/>
      <c r="M35" s="105"/>
      <c r="N35" s="106"/>
      <c r="O35" s="105"/>
      <c r="P35" s="7"/>
      <c r="Q35" s="107"/>
      <c r="R35" s="105" t="n">
        <v>175</v>
      </c>
      <c r="S35" s="107" t="n">
        <v>37.5</v>
      </c>
      <c r="T35" s="108" t="n">
        <v>16.1</v>
      </c>
      <c r="U35" s="95" t="n">
        <f aca="false">SUM(H35:T35)</f>
        <v>228.6</v>
      </c>
      <c r="V35" s="109" t="s">
        <v>54</v>
      </c>
      <c r="W35" s="10" t="s">
        <v>74</v>
      </c>
      <c r="X35" s="110" t="s">
        <v>37</v>
      </c>
      <c r="Y35" s="252"/>
      <c r="Z35" s="253"/>
    </row>
    <row r="36" s="10" customFormat="true" ht="14.1" hidden="false" customHeight="true" outlineLevel="0" collapsed="false">
      <c r="A36" s="100" t="s">
        <v>26</v>
      </c>
      <c r="B36" s="2" t="s">
        <v>157</v>
      </c>
      <c r="C36" s="3"/>
      <c r="D36" s="101" t="n">
        <v>6283102</v>
      </c>
      <c r="E36" s="102" t="n">
        <v>45105</v>
      </c>
      <c r="F36" s="103" t="s">
        <v>53</v>
      </c>
      <c r="G36" s="5" t="n">
        <v>45105</v>
      </c>
      <c r="H36" s="105"/>
      <c r="I36" s="106"/>
      <c r="J36" s="106"/>
      <c r="K36" s="106"/>
      <c r="L36" s="106"/>
      <c r="M36" s="105"/>
      <c r="N36" s="106"/>
      <c r="O36" s="105"/>
      <c r="P36" s="7"/>
      <c r="Q36" s="107"/>
      <c r="R36" s="105" t="n">
        <v>117</v>
      </c>
      <c r="S36" s="107" t="n">
        <v>12.5</v>
      </c>
      <c r="T36" s="108" t="n">
        <v>10.82</v>
      </c>
      <c r="U36" s="95" t="n">
        <f aca="false">SUM(H36:T36)</f>
        <v>140.32</v>
      </c>
      <c r="V36" s="109" t="s">
        <v>54</v>
      </c>
      <c r="W36" s="10" t="s">
        <v>74</v>
      </c>
      <c r="X36" s="110" t="s">
        <v>37</v>
      </c>
      <c r="Y36" s="252"/>
      <c r="Z36" s="253"/>
    </row>
    <row r="37" s="10" customFormat="true" ht="14.1" hidden="false" customHeight="true" outlineLevel="0" collapsed="false">
      <c r="A37" s="171" t="s">
        <v>26</v>
      </c>
      <c r="B37" s="172" t="s">
        <v>83</v>
      </c>
      <c r="C37" s="173"/>
      <c r="D37" s="174" t="n">
        <v>1103101</v>
      </c>
      <c r="E37" s="175" t="n">
        <v>44936</v>
      </c>
      <c r="F37" s="176" t="s">
        <v>53</v>
      </c>
      <c r="G37" s="177" t="n">
        <v>44936</v>
      </c>
      <c r="H37" s="178"/>
      <c r="I37" s="179"/>
      <c r="J37" s="179"/>
      <c r="K37" s="179"/>
      <c r="L37" s="179"/>
      <c r="M37" s="178"/>
      <c r="N37" s="179"/>
      <c r="O37" s="178"/>
      <c r="P37" s="180"/>
      <c r="Q37" s="181"/>
      <c r="R37" s="178" t="n">
        <v>65</v>
      </c>
      <c r="S37" s="181" t="n">
        <v>10</v>
      </c>
      <c r="T37" s="182" t="n">
        <v>5.04</v>
      </c>
      <c r="U37" s="183" t="n">
        <f aca="false">SUM(H37:T37)</f>
        <v>80.04</v>
      </c>
      <c r="V37" s="184" t="s">
        <v>73</v>
      </c>
      <c r="W37" s="185" t="s">
        <v>74</v>
      </c>
      <c r="X37" s="110" t="s">
        <v>37</v>
      </c>
      <c r="Y37" s="186"/>
      <c r="Z37" s="51"/>
    </row>
    <row r="38" s="10" customFormat="true" ht="14.1" hidden="false" customHeight="true" outlineLevel="0" collapsed="false">
      <c r="A38" s="236" t="s">
        <v>26</v>
      </c>
      <c r="B38" s="237" t="s">
        <v>83</v>
      </c>
      <c r="C38" s="238"/>
      <c r="D38" s="239" t="n">
        <v>5153112</v>
      </c>
      <c r="E38" s="240" t="n">
        <v>45061</v>
      </c>
      <c r="F38" s="241" t="s">
        <v>53</v>
      </c>
      <c r="G38" s="242" t="n">
        <v>45061</v>
      </c>
      <c r="H38" s="243"/>
      <c r="I38" s="244"/>
      <c r="J38" s="244"/>
      <c r="K38" s="244"/>
      <c r="L38" s="244"/>
      <c r="M38" s="243"/>
      <c r="N38" s="244"/>
      <c r="O38" s="243"/>
      <c r="P38" s="245"/>
      <c r="Q38" s="246"/>
      <c r="R38" s="243" t="n">
        <v>97.5</v>
      </c>
      <c r="S38" s="246" t="n">
        <v>12.5</v>
      </c>
      <c r="T38" s="247" t="n">
        <v>7.56</v>
      </c>
      <c r="U38" s="248" t="n">
        <f aca="false">SUM(H38:T38)</f>
        <v>117.56</v>
      </c>
      <c r="V38" s="249" t="s">
        <v>54</v>
      </c>
      <c r="W38" s="250" t="s">
        <v>74</v>
      </c>
      <c r="X38" s="110" t="s">
        <v>37</v>
      </c>
      <c r="Y38" s="186"/>
      <c r="Z38" s="51"/>
    </row>
    <row r="39" s="10" customFormat="true" ht="14.1" hidden="false" customHeight="true" outlineLevel="0" collapsed="false">
      <c r="A39" s="236" t="s">
        <v>26</v>
      </c>
      <c r="B39" s="237" t="s">
        <v>124</v>
      </c>
      <c r="C39" s="238"/>
      <c r="D39" s="239" t="n">
        <v>5043102</v>
      </c>
      <c r="E39" s="240" t="n">
        <v>45050</v>
      </c>
      <c r="F39" s="241" t="s">
        <v>53</v>
      </c>
      <c r="G39" s="242" t="n">
        <v>45050</v>
      </c>
      <c r="H39" s="243"/>
      <c r="I39" s="244"/>
      <c r="J39" s="244"/>
      <c r="K39" s="244"/>
      <c r="L39" s="244"/>
      <c r="M39" s="243"/>
      <c r="N39" s="244"/>
      <c r="O39" s="243"/>
      <c r="P39" s="245"/>
      <c r="Q39" s="246"/>
      <c r="R39" s="243" t="n">
        <v>39</v>
      </c>
      <c r="S39" s="246" t="n">
        <v>12.5</v>
      </c>
      <c r="T39" s="247" t="n">
        <v>3.36</v>
      </c>
      <c r="U39" s="248" t="n">
        <f aca="false">SUM(H39:T39)</f>
        <v>54.86</v>
      </c>
      <c r="V39" s="249" t="s">
        <v>30</v>
      </c>
      <c r="W39" s="250" t="s">
        <v>125</v>
      </c>
      <c r="X39" s="110" t="s">
        <v>37</v>
      </c>
      <c r="Y39" s="186"/>
      <c r="Z39" s="51"/>
    </row>
    <row r="40" s="10" customFormat="true" ht="14.1" hidden="false" customHeight="true" outlineLevel="0" collapsed="false">
      <c r="A40" s="187" t="s">
        <v>26</v>
      </c>
      <c r="B40" s="172" t="s">
        <v>90</v>
      </c>
      <c r="C40" s="173"/>
      <c r="D40" s="174" t="n">
        <v>3093104</v>
      </c>
      <c r="E40" s="175" t="n">
        <v>44994</v>
      </c>
      <c r="F40" s="176" t="s">
        <v>53</v>
      </c>
      <c r="G40" s="177" t="n">
        <v>44995</v>
      </c>
      <c r="H40" s="178"/>
      <c r="I40" s="179"/>
      <c r="J40" s="179"/>
      <c r="K40" s="179"/>
      <c r="L40" s="179"/>
      <c r="M40" s="178"/>
      <c r="N40" s="179"/>
      <c r="O40" s="178"/>
      <c r="P40" s="180"/>
      <c r="Q40" s="181"/>
      <c r="R40" s="178" t="n">
        <v>39</v>
      </c>
      <c r="S40" s="181" t="n">
        <v>12.5</v>
      </c>
      <c r="T40" s="182" t="n">
        <v>4</v>
      </c>
      <c r="U40" s="183" t="n">
        <f aca="false">SUM(H40:T40)</f>
        <v>55.5</v>
      </c>
      <c r="V40" s="184" t="s">
        <v>54</v>
      </c>
      <c r="W40" s="185" t="s">
        <v>74</v>
      </c>
      <c r="X40" s="110" t="s">
        <v>37</v>
      </c>
      <c r="Y40" s="186"/>
      <c r="Z40" s="51"/>
    </row>
    <row r="41" s="10" customFormat="true" ht="14.1" hidden="false" customHeight="true" outlineLevel="0" collapsed="false">
      <c r="A41" s="100" t="s">
        <v>26</v>
      </c>
      <c r="B41" s="2" t="s">
        <v>162</v>
      </c>
      <c r="C41" s="3"/>
      <c r="D41" s="101" t="n">
        <v>6063101</v>
      </c>
      <c r="E41" s="102" t="n">
        <v>45083</v>
      </c>
      <c r="F41" s="103" t="s">
        <v>163</v>
      </c>
      <c r="G41" s="5" t="n">
        <v>45083</v>
      </c>
      <c r="H41" s="105" t="n">
        <v>75</v>
      </c>
      <c r="I41" s="106"/>
      <c r="J41" s="106"/>
      <c r="K41" s="106"/>
      <c r="L41" s="106"/>
      <c r="M41" s="105"/>
      <c r="N41" s="106"/>
      <c r="O41" s="105"/>
      <c r="P41" s="7"/>
      <c r="Q41" s="107"/>
      <c r="R41" s="105"/>
      <c r="S41" s="107" t="n">
        <v>12.5</v>
      </c>
      <c r="T41" s="108" t="n">
        <v>6.47</v>
      </c>
      <c r="U41" s="95" t="n">
        <f aca="false">SUM(H41:T41)</f>
        <v>93.97</v>
      </c>
      <c r="V41" s="109" t="s">
        <v>54</v>
      </c>
      <c r="W41" s="10" t="s">
        <v>26</v>
      </c>
      <c r="X41" s="110" t="s">
        <v>37</v>
      </c>
      <c r="Y41" s="252"/>
      <c r="Z41" s="253"/>
    </row>
    <row r="42" s="10" customFormat="true" ht="14.1" hidden="false" customHeight="true" outlineLevel="0" collapsed="false">
      <c r="A42" s="220" t="s">
        <v>26</v>
      </c>
      <c r="B42" s="221" t="s">
        <v>97</v>
      </c>
      <c r="C42" s="222" t="s">
        <v>98</v>
      </c>
      <c r="D42" s="223" t="n">
        <v>4073101</v>
      </c>
      <c r="E42" s="224" t="n">
        <v>45023</v>
      </c>
      <c r="F42" s="225" t="s">
        <v>53</v>
      </c>
      <c r="G42" s="226" t="n">
        <v>45023</v>
      </c>
      <c r="H42" s="227"/>
      <c r="I42" s="228"/>
      <c r="J42" s="228"/>
      <c r="K42" s="228"/>
      <c r="L42" s="228"/>
      <c r="M42" s="227"/>
      <c r="N42" s="228"/>
      <c r="O42" s="227"/>
      <c r="P42" s="229"/>
      <c r="Q42" s="230"/>
      <c r="R42" s="227" t="n">
        <v>149</v>
      </c>
      <c r="S42" s="230" t="n">
        <v>37.5</v>
      </c>
      <c r="T42" s="231" t="n">
        <v>15.27</v>
      </c>
      <c r="U42" s="232" t="n">
        <f aca="false">SUM(H42:T42)</f>
        <v>201.77</v>
      </c>
      <c r="V42" s="233" t="s">
        <v>54</v>
      </c>
      <c r="W42" s="234" t="s">
        <v>74</v>
      </c>
      <c r="X42" s="110" t="s">
        <v>37</v>
      </c>
      <c r="Y42" s="186"/>
      <c r="Z42" s="51"/>
    </row>
    <row r="43" s="10" customFormat="true" ht="14.1" hidden="false" customHeight="true" outlineLevel="0" collapsed="false">
      <c r="A43" s="100" t="s">
        <v>26</v>
      </c>
      <c r="B43" s="2" t="s">
        <v>146</v>
      </c>
      <c r="C43" s="3"/>
      <c r="D43" s="101" t="n">
        <v>6143107</v>
      </c>
      <c r="E43" s="102" t="n">
        <v>45091</v>
      </c>
      <c r="F43" s="103" t="s">
        <v>53</v>
      </c>
      <c r="G43" s="5" t="n">
        <v>45092</v>
      </c>
      <c r="H43" s="105"/>
      <c r="I43" s="106"/>
      <c r="J43" s="106"/>
      <c r="K43" s="106"/>
      <c r="L43" s="106"/>
      <c r="M43" s="105"/>
      <c r="N43" s="106"/>
      <c r="O43" s="105"/>
      <c r="P43" s="7"/>
      <c r="Q43" s="107"/>
      <c r="R43" s="105" t="n">
        <v>308</v>
      </c>
      <c r="S43" s="107"/>
      <c r="T43" s="108"/>
      <c r="U43" s="95" t="n">
        <f aca="false">SUM(H43:T43)</f>
        <v>308</v>
      </c>
      <c r="V43" s="109" t="s">
        <v>54</v>
      </c>
      <c r="W43" s="10" t="s">
        <v>45</v>
      </c>
      <c r="X43" s="110" t="s">
        <v>37</v>
      </c>
      <c r="Y43" s="252"/>
      <c r="Z43" s="253"/>
    </row>
    <row r="44" s="10" customFormat="true" ht="14.1" hidden="false" customHeight="true" outlineLevel="0" collapsed="false">
      <c r="A44" s="220" t="s">
        <v>26</v>
      </c>
      <c r="B44" s="221" t="s">
        <v>104</v>
      </c>
      <c r="C44" s="222"/>
      <c r="D44" s="223" t="n">
        <v>4253101</v>
      </c>
      <c r="E44" s="224" t="n">
        <v>45041</v>
      </c>
      <c r="F44" s="225" t="s">
        <v>53</v>
      </c>
      <c r="G44" s="226" t="n">
        <v>45043</v>
      </c>
      <c r="H44" s="227"/>
      <c r="I44" s="228"/>
      <c r="J44" s="228"/>
      <c r="K44" s="228"/>
      <c r="L44" s="228"/>
      <c r="M44" s="227"/>
      <c r="N44" s="228"/>
      <c r="O44" s="227"/>
      <c r="P44" s="229"/>
      <c r="Q44" s="230"/>
      <c r="R44" s="227" t="n">
        <v>55</v>
      </c>
      <c r="S44" s="230" t="n">
        <v>12.5</v>
      </c>
      <c r="T44" s="231" t="n">
        <v>4.68</v>
      </c>
      <c r="U44" s="232" t="n">
        <f aca="false">SUM(H44:T44)</f>
        <v>72.18</v>
      </c>
      <c r="V44" s="233" t="s">
        <v>54</v>
      </c>
      <c r="W44" s="234" t="s">
        <v>74</v>
      </c>
      <c r="X44" s="110" t="s">
        <v>37</v>
      </c>
      <c r="Y44" s="186"/>
      <c r="Z44" s="51"/>
    </row>
    <row r="45" s="10" customFormat="true" ht="14.1" hidden="false" customHeight="true" outlineLevel="0" collapsed="false">
      <c r="A45" s="100" t="s">
        <v>26</v>
      </c>
      <c r="B45" s="2" t="s">
        <v>151</v>
      </c>
      <c r="C45" s="3"/>
      <c r="D45" s="101" t="n">
        <v>6283101</v>
      </c>
      <c r="E45" s="102" t="n">
        <v>45105</v>
      </c>
      <c r="F45" s="103" t="s">
        <v>53</v>
      </c>
      <c r="G45" s="5" t="n">
        <v>45105</v>
      </c>
      <c r="H45" s="105"/>
      <c r="I45" s="106"/>
      <c r="J45" s="106"/>
      <c r="K45" s="106"/>
      <c r="L45" s="106"/>
      <c r="M45" s="105"/>
      <c r="N45" s="106"/>
      <c r="O45" s="105"/>
      <c r="P45" s="7"/>
      <c r="Q45" s="107"/>
      <c r="R45" s="105" t="n">
        <v>195</v>
      </c>
      <c r="S45" s="107" t="n">
        <v>37.5</v>
      </c>
      <c r="T45" s="108" t="n">
        <v>18.04</v>
      </c>
      <c r="U45" s="95" t="n">
        <f aca="false">SUM(H45:T45)</f>
        <v>250.54</v>
      </c>
      <c r="V45" s="109" t="s">
        <v>54</v>
      </c>
      <c r="W45" s="10" t="s">
        <v>74</v>
      </c>
      <c r="X45" s="110" t="s">
        <v>37</v>
      </c>
      <c r="Y45" s="252"/>
      <c r="Z45" s="253"/>
    </row>
    <row r="46" s="10" customFormat="true" ht="14.1" hidden="false" customHeight="true" outlineLevel="0" collapsed="false">
      <c r="A46" s="100" t="s">
        <v>26</v>
      </c>
      <c r="B46" s="2" t="s">
        <v>136</v>
      </c>
      <c r="C46" s="3" t="s">
        <v>137</v>
      </c>
      <c r="D46" s="101" t="n">
        <v>6233102</v>
      </c>
      <c r="E46" s="102" t="n">
        <v>45100</v>
      </c>
      <c r="F46" s="103" t="s">
        <v>53</v>
      </c>
      <c r="G46" s="5" t="n">
        <v>45100</v>
      </c>
      <c r="H46" s="105"/>
      <c r="I46" s="106"/>
      <c r="J46" s="106"/>
      <c r="K46" s="106"/>
      <c r="L46" s="106"/>
      <c r="M46" s="105"/>
      <c r="N46" s="106"/>
      <c r="O46" s="105"/>
      <c r="P46" s="7"/>
      <c r="Q46" s="107"/>
      <c r="R46" s="105" t="n">
        <v>440</v>
      </c>
      <c r="S46" s="107"/>
      <c r="T46" s="108"/>
      <c r="U46" s="95" t="n">
        <f aca="false">SUM(H46:T46)</f>
        <v>440</v>
      </c>
      <c r="V46" s="109" t="s">
        <v>85</v>
      </c>
      <c r="W46" s="10" t="s">
        <v>138</v>
      </c>
      <c r="X46" s="110" t="s">
        <v>37</v>
      </c>
      <c r="Y46" s="252"/>
      <c r="Z46" s="253"/>
    </row>
    <row r="47" s="10" customFormat="true" ht="14.1" hidden="false" customHeight="true" outlineLevel="0" collapsed="false">
      <c r="A47" s="236" t="s">
        <v>26</v>
      </c>
      <c r="B47" s="237" t="s">
        <v>114</v>
      </c>
      <c r="C47" s="238"/>
      <c r="D47" s="239" t="n">
        <v>5123065</v>
      </c>
      <c r="E47" s="240" t="n">
        <v>45058</v>
      </c>
      <c r="F47" s="241" t="s">
        <v>53</v>
      </c>
      <c r="G47" s="242" t="n">
        <v>45061</v>
      </c>
      <c r="H47" s="243"/>
      <c r="I47" s="244"/>
      <c r="J47" s="244"/>
      <c r="K47" s="244"/>
      <c r="L47" s="244"/>
      <c r="M47" s="243"/>
      <c r="N47" s="244"/>
      <c r="O47" s="243"/>
      <c r="P47" s="245"/>
      <c r="Q47" s="246"/>
      <c r="R47" s="243" t="n">
        <v>149</v>
      </c>
      <c r="S47" s="246" t="n">
        <v>37.5</v>
      </c>
      <c r="T47" s="247" t="n">
        <v>12.85</v>
      </c>
      <c r="U47" s="248" t="n">
        <f aca="false">SUM(H47:T47)</f>
        <v>199.35</v>
      </c>
      <c r="V47" s="249" t="s">
        <v>54</v>
      </c>
      <c r="W47" s="250" t="s">
        <v>74</v>
      </c>
      <c r="X47" s="110" t="s">
        <v>37</v>
      </c>
      <c r="Y47" s="186"/>
      <c r="Z47" s="51"/>
    </row>
    <row r="48" s="10" customFormat="true" ht="14.1" hidden="false" customHeight="true" outlineLevel="0" collapsed="false">
      <c r="A48" s="100" t="s">
        <v>26</v>
      </c>
      <c r="B48" s="2" t="s">
        <v>132</v>
      </c>
      <c r="C48" s="3"/>
      <c r="D48" s="101" t="n">
        <v>6083101</v>
      </c>
      <c r="E48" s="102" t="n">
        <v>45085</v>
      </c>
      <c r="F48" s="103" t="s">
        <v>53</v>
      </c>
      <c r="G48" s="5" t="n">
        <v>45085</v>
      </c>
      <c r="H48" s="105"/>
      <c r="I48" s="106"/>
      <c r="J48" s="106"/>
      <c r="K48" s="106"/>
      <c r="L48" s="106"/>
      <c r="M48" s="105"/>
      <c r="N48" s="106"/>
      <c r="O48" s="105"/>
      <c r="P48" s="7"/>
      <c r="Q48" s="107"/>
      <c r="R48" s="105" t="n">
        <v>650</v>
      </c>
      <c r="S48" s="107" t="n">
        <v>125</v>
      </c>
      <c r="T48" s="108" t="n">
        <v>60.13</v>
      </c>
      <c r="U48" s="95" t="n">
        <f aca="false">SUM(H48:T48)</f>
        <v>835.13</v>
      </c>
      <c r="V48" s="109" t="s">
        <v>54</v>
      </c>
      <c r="W48" s="10" t="s">
        <v>26</v>
      </c>
      <c r="X48" s="110" t="s">
        <v>37</v>
      </c>
      <c r="Y48" s="252"/>
      <c r="Z48" s="253"/>
    </row>
    <row r="49" s="10" customFormat="true" ht="14.1" hidden="false" customHeight="true" outlineLevel="0" collapsed="false">
      <c r="A49" s="100" t="s">
        <v>26</v>
      </c>
      <c r="B49" s="2" t="s">
        <v>158</v>
      </c>
      <c r="C49" s="3"/>
      <c r="D49" s="101" t="n">
        <v>6303105</v>
      </c>
      <c r="E49" s="102" t="n">
        <v>45107</v>
      </c>
      <c r="F49" s="103" t="s">
        <v>53</v>
      </c>
      <c r="G49" s="5" t="n">
        <v>45107</v>
      </c>
      <c r="H49" s="105"/>
      <c r="I49" s="106"/>
      <c r="J49" s="106"/>
      <c r="K49" s="106"/>
      <c r="L49" s="106"/>
      <c r="M49" s="105"/>
      <c r="N49" s="106"/>
      <c r="O49" s="105"/>
      <c r="P49" s="7"/>
      <c r="Q49" s="107"/>
      <c r="R49" s="105" t="n">
        <v>78</v>
      </c>
      <c r="S49" s="107" t="n">
        <v>25</v>
      </c>
      <c r="T49" s="108" t="n">
        <v>7.22</v>
      </c>
      <c r="U49" s="95" t="n">
        <f aca="false">SUM(H49:T49)</f>
        <v>110.22</v>
      </c>
      <c r="V49" s="109" t="s">
        <v>54</v>
      </c>
      <c r="W49" s="10" t="s">
        <v>45</v>
      </c>
      <c r="X49" s="110" t="s">
        <v>37</v>
      </c>
      <c r="Y49" s="252"/>
      <c r="Z49" s="253"/>
    </row>
    <row r="50" s="10" customFormat="true" ht="14.1" hidden="false" customHeight="true" outlineLevel="0" collapsed="false">
      <c r="A50" s="100" t="s">
        <v>26</v>
      </c>
      <c r="B50" s="2" t="s">
        <v>149</v>
      </c>
      <c r="C50" s="3"/>
      <c r="D50" s="101" t="n">
        <v>6263103</v>
      </c>
      <c r="E50" s="102" t="n">
        <v>45103</v>
      </c>
      <c r="F50" s="103" t="s">
        <v>53</v>
      </c>
      <c r="G50" s="5" t="n">
        <v>45103</v>
      </c>
      <c r="H50" s="105"/>
      <c r="I50" s="106"/>
      <c r="J50" s="106"/>
      <c r="K50" s="106"/>
      <c r="L50" s="106"/>
      <c r="M50" s="105"/>
      <c r="N50" s="106"/>
      <c r="O50" s="105"/>
      <c r="P50" s="7"/>
      <c r="Q50" s="107"/>
      <c r="R50" s="105" t="n">
        <v>204</v>
      </c>
      <c r="S50" s="107" t="n">
        <v>50</v>
      </c>
      <c r="T50" s="108" t="n">
        <v>18.36</v>
      </c>
      <c r="U50" s="95" t="n">
        <f aca="false">SUM(H50:T50)</f>
        <v>272.36</v>
      </c>
      <c r="V50" s="109" t="s">
        <v>54</v>
      </c>
      <c r="W50" s="10" t="s">
        <v>45</v>
      </c>
      <c r="X50" s="110" t="s">
        <v>37</v>
      </c>
      <c r="Y50" s="252"/>
      <c r="Z50" s="253"/>
    </row>
    <row r="51" s="10" customFormat="true" ht="14.1" hidden="false" customHeight="true" outlineLevel="0" collapsed="false">
      <c r="A51" s="100" t="s">
        <v>26</v>
      </c>
      <c r="B51" s="2" t="s">
        <v>133</v>
      </c>
      <c r="C51" s="3"/>
      <c r="D51" s="101" t="n">
        <v>6013103</v>
      </c>
      <c r="E51" s="102" t="n">
        <v>45078</v>
      </c>
      <c r="F51" s="103" t="s">
        <v>53</v>
      </c>
      <c r="G51" s="5" t="n">
        <v>45079</v>
      </c>
      <c r="H51" s="105"/>
      <c r="I51" s="106"/>
      <c r="J51" s="106"/>
      <c r="K51" s="106"/>
      <c r="L51" s="106"/>
      <c r="M51" s="105"/>
      <c r="N51" s="106"/>
      <c r="O51" s="105"/>
      <c r="P51" s="7"/>
      <c r="Q51" s="107"/>
      <c r="R51" s="105" t="n">
        <v>545</v>
      </c>
      <c r="S51" s="107" t="n">
        <v>112.5</v>
      </c>
      <c r="T51" s="108" t="n">
        <v>50.41</v>
      </c>
      <c r="U51" s="95" t="n">
        <f aca="false">SUM(H51:T51)</f>
        <v>707.91</v>
      </c>
      <c r="V51" s="109" t="s">
        <v>54</v>
      </c>
      <c r="W51" s="10" t="s">
        <v>74</v>
      </c>
      <c r="X51" s="110" t="s">
        <v>37</v>
      </c>
      <c r="Y51" s="252"/>
      <c r="Z51" s="253"/>
    </row>
    <row r="52" s="10" customFormat="true" ht="14.1" hidden="false" customHeight="true" outlineLevel="0" collapsed="false">
      <c r="A52" s="112" t="s">
        <v>26</v>
      </c>
      <c r="B52" s="207" t="s">
        <v>159</v>
      </c>
      <c r="C52" s="208" t="s">
        <v>160</v>
      </c>
      <c r="D52" s="208" t="n">
        <v>6293111</v>
      </c>
      <c r="E52" s="209" t="n">
        <v>45106</v>
      </c>
      <c r="F52" s="210" t="s">
        <v>53</v>
      </c>
      <c r="G52" s="211" t="n">
        <v>45106</v>
      </c>
      <c r="H52" s="212"/>
      <c r="I52" s="212"/>
      <c r="J52" s="213"/>
      <c r="K52" s="213"/>
      <c r="L52" s="213"/>
      <c r="M52" s="212"/>
      <c r="N52" s="212"/>
      <c r="O52" s="212"/>
      <c r="P52" s="127"/>
      <c r="Q52" s="214"/>
      <c r="R52" s="212" t="n">
        <v>90</v>
      </c>
      <c r="S52" s="214"/>
      <c r="T52" s="215" t="n">
        <v>8.33</v>
      </c>
      <c r="U52" s="216" t="n">
        <f aca="false">SUM(H52:T52)</f>
        <v>98.33</v>
      </c>
      <c r="V52" s="217" t="s">
        <v>30</v>
      </c>
      <c r="W52" s="29" t="s">
        <v>26</v>
      </c>
      <c r="X52" s="29" t="s">
        <v>37</v>
      </c>
      <c r="Y52" s="286"/>
      <c r="Z52" s="253"/>
    </row>
    <row r="53" s="10" customFormat="true" ht="14.1" hidden="false" customHeight="true" outlineLevel="0" collapsed="false">
      <c r="A53" s="236" t="s">
        <v>107</v>
      </c>
      <c r="B53" s="237" t="s">
        <v>108</v>
      </c>
      <c r="C53" s="238"/>
      <c r="D53" s="239" t="n">
        <v>5303105</v>
      </c>
      <c r="E53" s="240" t="n">
        <v>45076</v>
      </c>
      <c r="F53" s="241" t="s">
        <v>53</v>
      </c>
      <c r="G53" s="242" t="n">
        <v>45076</v>
      </c>
      <c r="H53" s="243"/>
      <c r="I53" s="244"/>
      <c r="J53" s="244"/>
      <c r="K53" s="244"/>
      <c r="L53" s="244"/>
      <c r="M53" s="243"/>
      <c r="N53" s="244"/>
      <c r="O53" s="243"/>
      <c r="P53" s="245"/>
      <c r="Q53" s="246"/>
      <c r="R53" s="243" t="n">
        <v>285</v>
      </c>
      <c r="S53" s="246" t="n">
        <v>62.5</v>
      </c>
      <c r="T53" s="247" t="n">
        <v>24.23</v>
      </c>
      <c r="U53" s="248" t="n">
        <f aca="false">SUM(H53:T53)</f>
        <v>371.73</v>
      </c>
      <c r="V53" s="249" t="s">
        <v>54</v>
      </c>
      <c r="W53" s="250" t="s">
        <v>26</v>
      </c>
      <c r="X53" s="110" t="s">
        <v>37</v>
      </c>
      <c r="Y53" s="186"/>
      <c r="Z53" s="51"/>
    </row>
    <row r="54" s="10" customFormat="true" ht="14.1" hidden="false" customHeight="true" outlineLevel="0" collapsed="false">
      <c r="A54" s="100" t="s">
        <v>26</v>
      </c>
      <c r="B54" s="2" t="s">
        <v>139</v>
      </c>
      <c r="C54" s="3"/>
      <c r="D54" s="101" t="n">
        <v>6093103</v>
      </c>
      <c r="E54" s="102" t="n">
        <v>45086</v>
      </c>
      <c r="F54" s="103" t="s">
        <v>53</v>
      </c>
      <c r="G54" s="5" t="n">
        <v>45086</v>
      </c>
      <c r="H54" s="105"/>
      <c r="I54" s="106"/>
      <c r="J54" s="106"/>
      <c r="K54" s="106"/>
      <c r="L54" s="106"/>
      <c r="M54" s="105"/>
      <c r="N54" s="106"/>
      <c r="O54" s="105"/>
      <c r="P54" s="7"/>
      <c r="Q54" s="107"/>
      <c r="R54" s="105" t="n">
        <v>330</v>
      </c>
      <c r="S54" s="107" t="n">
        <v>75</v>
      </c>
      <c r="T54" s="108" t="n">
        <v>33.83</v>
      </c>
      <c r="U54" s="95" t="n">
        <f aca="false">SUM(H54:T54)</f>
        <v>438.83</v>
      </c>
      <c r="V54" s="109" t="s">
        <v>54</v>
      </c>
      <c r="W54" s="10" t="s">
        <v>26</v>
      </c>
      <c r="X54" s="110" t="s">
        <v>37</v>
      </c>
      <c r="Y54" s="252"/>
      <c r="Z54" s="253"/>
    </row>
    <row r="55" s="10" customFormat="true" ht="14.1" hidden="false" customHeight="true" outlineLevel="0" collapsed="false">
      <c r="A55" s="100" t="s">
        <v>26</v>
      </c>
      <c r="B55" s="2" t="s">
        <v>153</v>
      </c>
      <c r="C55" s="3"/>
      <c r="D55" s="101" t="n">
        <v>6083103</v>
      </c>
      <c r="E55" s="102" t="n">
        <v>45084</v>
      </c>
      <c r="F55" s="103" t="s">
        <v>53</v>
      </c>
      <c r="G55" s="5" t="n">
        <v>45085</v>
      </c>
      <c r="H55" s="105"/>
      <c r="I55" s="106"/>
      <c r="J55" s="106"/>
      <c r="K55" s="106"/>
      <c r="L55" s="106"/>
      <c r="M55" s="105"/>
      <c r="N55" s="106"/>
      <c r="O55" s="105"/>
      <c r="P55" s="7"/>
      <c r="Q55" s="107"/>
      <c r="R55" s="105" t="n">
        <v>175</v>
      </c>
      <c r="S55" s="107" t="n">
        <v>37.5</v>
      </c>
      <c r="T55" s="108" t="n">
        <v>15.09</v>
      </c>
      <c r="U55" s="95" t="n">
        <f aca="false">SUM(H55:T55)</f>
        <v>227.59</v>
      </c>
      <c r="V55" s="109" t="s">
        <v>54</v>
      </c>
      <c r="W55" s="10" t="s">
        <v>26</v>
      </c>
      <c r="X55" s="110" t="s">
        <v>37</v>
      </c>
      <c r="Y55" s="252"/>
      <c r="Z55" s="253"/>
    </row>
    <row r="56" s="10" customFormat="true" ht="14.1" hidden="false" customHeight="true" outlineLevel="0" collapsed="false">
      <c r="A56" s="100" t="s">
        <v>26</v>
      </c>
      <c r="B56" s="2" t="s">
        <v>131</v>
      </c>
      <c r="C56" s="3"/>
      <c r="D56" s="101" t="n">
        <v>6293107</v>
      </c>
      <c r="E56" s="102" t="n">
        <v>45106</v>
      </c>
      <c r="F56" s="103" t="s">
        <v>53</v>
      </c>
      <c r="G56" s="5" t="n">
        <v>45106</v>
      </c>
      <c r="H56" s="105"/>
      <c r="I56" s="106"/>
      <c r="J56" s="106"/>
      <c r="K56" s="106"/>
      <c r="L56" s="106"/>
      <c r="M56" s="105"/>
      <c r="N56" s="106"/>
      <c r="O56" s="105"/>
      <c r="P56" s="7"/>
      <c r="Q56" s="107"/>
      <c r="R56" s="105" t="n">
        <v>734</v>
      </c>
      <c r="S56" s="107" t="n">
        <v>150</v>
      </c>
      <c r="T56" s="108" t="n">
        <v>67.9</v>
      </c>
      <c r="U56" s="95" t="n">
        <f aca="false">SUM(H56:T56)</f>
        <v>951.9</v>
      </c>
      <c r="V56" s="109" t="s">
        <v>54</v>
      </c>
      <c r="W56" s="10" t="s">
        <v>26</v>
      </c>
      <c r="X56" s="110" t="s">
        <v>37</v>
      </c>
      <c r="Y56" s="252"/>
      <c r="Z56" s="253"/>
    </row>
    <row r="57" s="10" customFormat="true" ht="14.1" hidden="false" customHeight="true" outlineLevel="0" collapsed="false">
      <c r="A57" s="187" t="s">
        <v>26</v>
      </c>
      <c r="B57" s="172" t="s">
        <v>87</v>
      </c>
      <c r="C57" s="173" t="s">
        <v>88</v>
      </c>
      <c r="D57" s="174" t="n">
        <v>3213106</v>
      </c>
      <c r="E57" s="175" t="n">
        <v>45006</v>
      </c>
      <c r="F57" s="176" t="s">
        <v>53</v>
      </c>
      <c r="G57" s="177" t="n">
        <v>45006</v>
      </c>
      <c r="H57" s="178"/>
      <c r="I57" s="179"/>
      <c r="J57" s="179"/>
      <c r="K57" s="179"/>
      <c r="L57" s="179"/>
      <c r="M57" s="178"/>
      <c r="N57" s="179"/>
      <c r="O57" s="178"/>
      <c r="P57" s="180"/>
      <c r="Q57" s="181"/>
      <c r="R57" s="178" t="n">
        <v>45</v>
      </c>
      <c r="S57" s="181" t="n">
        <v>12.5</v>
      </c>
      <c r="T57" s="182" t="n">
        <v>3.94</v>
      </c>
      <c r="U57" s="183" t="n">
        <f aca="false">SUM(H57:T57)</f>
        <v>61.44</v>
      </c>
      <c r="V57" s="184" t="s">
        <v>54</v>
      </c>
      <c r="W57" s="185" t="s">
        <v>38</v>
      </c>
      <c r="X57" s="110" t="s">
        <v>37</v>
      </c>
      <c r="Y57" s="186"/>
      <c r="Z57" s="51"/>
    </row>
    <row r="58" s="10" customFormat="true" ht="14.1" hidden="false" customHeight="true" outlineLevel="0" collapsed="false">
      <c r="A58" s="187" t="s">
        <v>26</v>
      </c>
      <c r="B58" s="172" t="s">
        <v>87</v>
      </c>
      <c r="C58" s="173" t="s">
        <v>88</v>
      </c>
      <c r="D58" s="174" t="n">
        <v>3243105</v>
      </c>
      <c r="E58" s="175" t="n">
        <v>45009</v>
      </c>
      <c r="F58" s="176" t="s">
        <v>53</v>
      </c>
      <c r="G58" s="177" t="n">
        <v>45009</v>
      </c>
      <c r="H58" s="178"/>
      <c r="I58" s="179"/>
      <c r="J58" s="179"/>
      <c r="K58" s="179"/>
      <c r="L58" s="179"/>
      <c r="M58" s="178"/>
      <c r="N58" s="179"/>
      <c r="O58" s="178"/>
      <c r="P58" s="180"/>
      <c r="Q58" s="181"/>
      <c r="R58" s="178" t="n">
        <v>45</v>
      </c>
      <c r="S58" s="181" t="n">
        <v>12.5</v>
      </c>
      <c r="T58" s="182" t="n">
        <v>3.94</v>
      </c>
      <c r="U58" s="183" t="n">
        <f aca="false">SUM(H58:T58)</f>
        <v>61.44</v>
      </c>
      <c r="V58" s="184" t="s">
        <v>54</v>
      </c>
      <c r="W58" s="185" t="s">
        <v>74</v>
      </c>
      <c r="X58" s="110" t="s">
        <v>37</v>
      </c>
      <c r="Y58" s="186"/>
      <c r="Z58" s="51"/>
    </row>
    <row r="59" s="10" customFormat="true" ht="14.1" hidden="false" customHeight="true" outlineLevel="0" collapsed="false">
      <c r="A59" s="100" t="s">
        <v>26</v>
      </c>
      <c r="B59" s="2" t="s">
        <v>147</v>
      </c>
      <c r="C59" s="3"/>
      <c r="D59" s="101" t="n">
        <v>6133101</v>
      </c>
      <c r="E59" s="102" t="n">
        <v>45090</v>
      </c>
      <c r="F59" s="103" t="s">
        <v>53</v>
      </c>
      <c r="G59" s="5" t="n">
        <v>45091</v>
      </c>
      <c r="H59" s="105"/>
      <c r="I59" s="106"/>
      <c r="J59" s="106"/>
      <c r="K59" s="106"/>
      <c r="L59" s="106"/>
      <c r="M59" s="105"/>
      <c r="N59" s="106"/>
      <c r="O59" s="105"/>
      <c r="P59" s="7"/>
      <c r="Q59" s="107"/>
      <c r="R59" s="105" t="n">
        <v>220</v>
      </c>
      <c r="S59" s="107" t="n">
        <v>50</v>
      </c>
      <c r="T59" s="108" t="n">
        <v>18.15</v>
      </c>
      <c r="U59" s="95" t="n">
        <f aca="false">SUM(H59:T59)</f>
        <v>288.15</v>
      </c>
      <c r="V59" s="109" t="s">
        <v>54</v>
      </c>
      <c r="W59" s="10" t="s">
        <v>74</v>
      </c>
      <c r="X59" s="110" t="s">
        <v>37</v>
      </c>
      <c r="Y59" s="252"/>
      <c r="Z59" s="253"/>
    </row>
    <row r="60" s="10" customFormat="true" ht="14.1" hidden="false" customHeight="true" outlineLevel="0" collapsed="false">
      <c r="A60" s="100" t="s">
        <v>26</v>
      </c>
      <c r="B60" s="2" t="s">
        <v>150</v>
      </c>
      <c r="C60" s="3"/>
      <c r="D60" s="101" t="n">
        <v>6053102</v>
      </c>
      <c r="E60" s="102" t="n">
        <v>45082</v>
      </c>
      <c r="F60" s="103" t="s">
        <v>53</v>
      </c>
      <c r="G60" s="5" t="n">
        <v>45083</v>
      </c>
      <c r="H60" s="105"/>
      <c r="I60" s="106"/>
      <c r="J60" s="106"/>
      <c r="K60" s="106"/>
      <c r="L60" s="106"/>
      <c r="M60" s="105"/>
      <c r="N60" s="106"/>
      <c r="O60" s="105"/>
      <c r="P60" s="7"/>
      <c r="Q60" s="107"/>
      <c r="R60" s="105" t="n">
        <v>200</v>
      </c>
      <c r="S60" s="107" t="n">
        <v>50</v>
      </c>
      <c r="T60" s="108" t="n">
        <v>17.25</v>
      </c>
      <c r="U60" s="95" t="n">
        <f aca="false">SUM(H60:T60)</f>
        <v>267.25</v>
      </c>
      <c r="V60" s="109" t="s">
        <v>54</v>
      </c>
      <c r="W60" s="10" t="s">
        <v>74</v>
      </c>
      <c r="X60" s="110" t="s">
        <v>37</v>
      </c>
      <c r="Y60" s="252"/>
      <c r="Z60" s="253"/>
    </row>
    <row r="61" s="10" customFormat="true" ht="14.1" hidden="false" customHeight="true" outlineLevel="0" collapsed="false">
      <c r="A61" s="236" t="s">
        <v>26</v>
      </c>
      <c r="B61" s="237" t="s">
        <v>109</v>
      </c>
      <c r="C61" s="238"/>
      <c r="D61" s="239" t="n">
        <v>5263106</v>
      </c>
      <c r="E61" s="240" t="n">
        <v>45072</v>
      </c>
      <c r="F61" s="241" t="s">
        <v>53</v>
      </c>
      <c r="G61" s="242" t="n">
        <v>45072</v>
      </c>
      <c r="H61" s="243"/>
      <c r="I61" s="244"/>
      <c r="J61" s="244"/>
      <c r="K61" s="244"/>
      <c r="L61" s="244"/>
      <c r="M61" s="243"/>
      <c r="N61" s="244"/>
      <c r="O61" s="243"/>
      <c r="P61" s="245"/>
      <c r="Q61" s="246"/>
      <c r="R61" s="243" t="n">
        <v>214</v>
      </c>
      <c r="S61" s="246" t="n">
        <v>50</v>
      </c>
      <c r="T61" s="247" t="n">
        <v>20.33</v>
      </c>
      <c r="U61" s="248" t="n">
        <f aca="false">SUM(H61:T61)</f>
        <v>284.33</v>
      </c>
      <c r="V61" s="249" t="s">
        <v>54</v>
      </c>
      <c r="W61" s="250" t="s">
        <v>26</v>
      </c>
      <c r="X61" s="110" t="s">
        <v>37</v>
      </c>
      <c r="Y61" s="186"/>
      <c r="Z61" s="51"/>
    </row>
    <row r="62" s="10" customFormat="true" ht="14.1" hidden="false" customHeight="true" outlineLevel="0" collapsed="false">
      <c r="A62" s="236" t="s">
        <v>26</v>
      </c>
      <c r="B62" s="237" t="s">
        <v>115</v>
      </c>
      <c r="C62" s="238"/>
      <c r="D62" s="239" t="n">
        <v>5043101</v>
      </c>
      <c r="E62" s="240" t="n">
        <v>45050</v>
      </c>
      <c r="F62" s="241" t="s">
        <v>53</v>
      </c>
      <c r="G62" s="242" t="n">
        <v>45050</v>
      </c>
      <c r="H62" s="243"/>
      <c r="I62" s="244"/>
      <c r="J62" s="244"/>
      <c r="K62" s="244"/>
      <c r="L62" s="244"/>
      <c r="M62" s="243"/>
      <c r="N62" s="244"/>
      <c r="O62" s="243"/>
      <c r="P62" s="245"/>
      <c r="Q62" s="246"/>
      <c r="R62" s="243" t="n">
        <v>130</v>
      </c>
      <c r="S62" s="246" t="n">
        <v>25</v>
      </c>
      <c r="T62" s="247" t="n">
        <v>10.73</v>
      </c>
      <c r="U62" s="248" t="n">
        <f aca="false">SUM(H62:T62)</f>
        <v>165.73</v>
      </c>
      <c r="V62" s="249" t="s">
        <v>54</v>
      </c>
      <c r="W62" s="250" t="s">
        <v>74</v>
      </c>
      <c r="X62" s="110" t="s">
        <v>37</v>
      </c>
      <c r="Y62" s="186"/>
      <c r="Z62" s="51"/>
    </row>
    <row r="63" s="10" customFormat="true" ht="14.1" hidden="false" customHeight="true" outlineLevel="0" collapsed="false">
      <c r="A63" s="100" t="s">
        <v>26</v>
      </c>
      <c r="B63" s="2" t="s">
        <v>156</v>
      </c>
      <c r="C63" s="3"/>
      <c r="D63" s="101" t="n">
        <v>6233103</v>
      </c>
      <c r="E63" s="102" t="n">
        <v>45100</v>
      </c>
      <c r="F63" s="103" t="s">
        <v>53</v>
      </c>
      <c r="G63" s="5" t="n">
        <v>45100</v>
      </c>
      <c r="H63" s="105"/>
      <c r="I63" s="106"/>
      <c r="J63" s="106"/>
      <c r="K63" s="106"/>
      <c r="L63" s="106"/>
      <c r="M63" s="105"/>
      <c r="N63" s="106"/>
      <c r="O63" s="105"/>
      <c r="P63" s="7"/>
      <c r="Q63" s="107"/>
      <c r="R63" s="105" t="n">
        <v>110</v>
      </c>
      <c r="S63" s="107" t="n">
        <v>25</v>
      </c>
      <c r="T63" s="108" t="n">
        <v>9.35</v>
      </c>
      <c r="U63" s="95" t="n">
        <f aca="false">SUM(H63:T63)</f>
        <v>144.35</v>
      </c>
      <c r="V63" s="109" t="s">
        <v>54</v>
      </c>
      <c r="W63" s="10" t="s">
        <v>26</v>
      </c>
      <c r="X63" s="110" t="s">
        <v>37</v>
      </c>
      <c r="Y63" s="252"/>
      <c r="Z63" s="253"/>
    </row>
    <row r="64" s="10" customFormat="true" ht="14.1" hidden="false" customHeight="true" outlineLevel="0" collapsed="false">
      <c r="A64" s="100" t="s">
        <v>26</v>
      </c>
      <c r="B64" s="2" t="s">
        <v>164</v>
      </c>
      <c r="C64" s="3" t="s">
        <v>165</v>
      </c>
      <c r="D64" s="101" t="n">
        <v>6223102</v>
      </c>
      <c r="E64" s="102" t="n">
        <v>45099</v>
      </c>
      <c r="F64" s="103" t="s">
        <v>53</v>
      </c>
      <c r="G64" s="5" t="n">
        <v>45099</v>
      </c>
      <c r="H64" s="105"/>
      <c r="I64" s="106"/>
      <c r="J64" s="106"/>
      <c r="K64" s="106"/>
      <c r="L64" s="106"/>
      <c r="M64" s="105"/>
      <c r="N64" s="106"/>
      <c r="O64" s="105"/>
      <c r="P64" s="7"/>
      <c r="Q64" s="107"/>
      <c r="R64" s="105" t="n">
        <v>65</v>
      </c>
      <c r="S64" s="107" t="n">
        <v>12.5</v>
      </c>
      <c r="T64" s="108" t="n">
        <v>6.01</v>
      </c>
      <c r="U64" s="95" t="n">
        <f aca="false">SUM(H64:T64)</f>
        <v>83.51</v>
      </c>
      <c r="V64" s="109" t="s">
        <v>54</v>
      </c>
      <c r="W64" s="10" t="s">
        <v>45</v>
      </c>
      <c r="X64" s="110" t="s">
        <v>37</v>
      </c>
      <c r="Y64" s="252"/>
      <c r="Z64" s="253"/>
    </row>
    <row r="65" s="10" customFormat="true" ht="14.1" hidden="false" customHeight="true" outlineLevel="0" collapsed="false">
      <c r="A65" s="236" t="s">
        <v>26</v>
      </c>
      <c r="B65" s="237" t="s">
        <v>106</v>
      </c>
      <c r="C65" s="238"/>
      <c r="D65" s="239" t="n">
        <v>5223105</v>
      </c>
      <c r="E65" s="240" t="n">
        <v>45068</v>
      </c>
      <c r="F65" s="241" t="s">
        <v>53</v>
      </c>
      <c r="G65" s="242" t="n">
        <v>45068</v>
      </c>
      <c r="H65" s="243"/>
      <c r="I65" s="244"/>
      <c r="J65" s="244"/>
      <c r="K65" s="244"/>
      <c r="L65" s="244"/>
      <c r="M65" s="243"/>
      <c r="N65" s="244"/>
      <c r="O65" s="243"/>
      <c r="P65" s="245"/>
      <c r="Q65" s="246"/>
      <c r="R65" s="243" t="n">
        <v>360</v>
      </c>
      <c r="S65" s="246" t="n">
        <v>75</v>
      </c>
      <c r="T65" s="247" t="n">
        <v>31.05</v>
      </c>
      <c r="U65" s="248" t="n">
        <f aca="false">SUM(H65:T65)</f>
        <v>466.05</v>
      </c>
      <c r="V65" s="249" t="s">
        <v>54</v>
      </c>
      <c r="W65" s="250" t="s">
        <v>74</v>
      </c>
      <c r="X65" s="110" t="s">
        <v>37</v>
      </c>
      <c r="Y65" s="186"/>
      <c r="Z65" s="51"/>
    </row>
    <row r="66" s="10" customFormat="true" ht="14.1" hidden="false" customHeight="true" outlineLevel="0" collapsed="false">
      <c r="A66" s="100" t="s">
        <v>26</v>
      </c>
      <c r="B66" s="2" t="s">
        <v>134</v>
      </c>
      <c r="C66" s="3"/>
      <c r="D66" s="101" t="n">
        <v>6213102</v>
      </c>
      <c r="E66" s="102" t="n">
        <v>45098</v>
      </c>
      <c r="F66" s="103" t="s">
        <v>53</v>
      </c>
      <c r="G66" s="5" t="n">
        <v>45098</v>
      </c>
      <c r="H66" s="105"/>
      <c r="I66" s="106"/>
      <c r="J66" s="106"/>
      <c r="K66" s="106"/>
      <c r="L66" s="106"/>
      <c r="M66" s="105"/>
      <c r="N66" s="106"/>
      <c r="O66" s="105"/>
      <c r="P66" s="7"/>
      <c r="Q66" s="107"/>
      <c r="R66" s="105" t="n">
        <v>455</v>
      </c>
      <c r="S66" s="107" t="n">
        <v>112.5</v>
      </c>
      <c r="T66" s="108" t="n">
        <v>39.24</v>
      </c>
      <c r="U66" s="95" t="n">
        <f aca="false">SUM(H66:T66)</f>
        <v>606.74</v>
      </c>
      <c r="V66" s="109" t="s">
        <v>54</v>
      </c>
      <c r="W66" s="10" t="s">
        <v>74</v>
      </c>
      <c r="X66" s="110" t="s">
        <v>37</v>
      </c>
      <c r="Y66" s="252"/>
      <c r="Z66" s="253"/>
    </row>
    <row r="67" s="10" customFormat="true" ht="14.1" hidden="false" customHeight="true" outlineLevel="0" collapsed="false">
      <c r="A67" s="236" t="s">
        <v>26</v>
      </c>
      <c r="B67" s="237" t="s">
        <v>113</v>
      </c>
      <c r="C67" s="238"/>
      <c r="D67" s="239" t="n">
        <v>5053102</v>
      </c>
      <c r="E67" s="240" t="n">
        <v>45051</v>
      </c>
      <c r="F67" s="241" t="s">
        <v>53</v>
      </c>
      <c r="G67" s="242" t="n">
        <v>45051</v>
      </c>
      <c r="H67" s="243"/>
      <c r="I67" s="244"/>
      <c r="J67" s="244"/>
      <c r="K67" s="244"/>
      <c r="L67" s="244"/>
      <c r="M67" s="243"/>
      <c r="N67" s="244"/>
      <c r="O67" s="243"/>
      <c r="P67" s="245"/>
      <c r="Q67" s="246"/>
      <c r="R67" s="243" t="n">
        <v>145</v>
      </c>
      <c r="S67" s="246" t="n">
        <v>50</v>
      </c>
      <c r="T67" s="247" t="n">
        <v>13.41</v>
      </c>
      <c r="U67" s="248" t="n">
        <f aca="false">SUM(H67:T67)</f>
        <v>208.41</v>
      </c>
      <c r="V67" s="249" t="s">
        <v>54</v>
      </c>
      <c r="W67" s="250" t="s">
        <v>74</v>
      </c>
      <c r="X67" s="110" t="s">
        <v>37</v>
      </c>
      <c r="Y67" s="186"/>
      <c r="Z67" s="51"/>
    </row>
    <row r="68" s="10" customFormat="true" ht="14.1" hidden="false" customHeight="true" outlineLevel="0" collapsed="false">
      <c r="A68" s="100" t="s">
        <v>26</v>
      </c>
      <c r="B68" s="2" t="s">
        <v>113</v>
      </c>
      <c r="C68" s="3"/>
      <c r="D68" s="101" t="n">
        <v>6203104</v>
      </c>
      <c r="E68" s="102" t="n">
        <v>45097</v>
      </c>
      <c r="F68" s="103" t="s">
        <v>53</v>
      </c>
      <c r="G68" s="5" t="n">
        <v>45097</v>
      </c>
      <c r="H68" s="105"/>
      <c r="I68" s="106"/>
      <c r="J68" s="106"/>
      <c r="K68" s="106"/>
      <c r="L68" s="106"/>
      <c r="M68" s="105"/>
      <c r="N68" s="106"/>
      <c r="O68" s="105"/>
      <c r="P68" s="7"/>
      <c r="Q68" s="107"/>
      <c r="R68" s="105" t="n">
        <v>175</v>
      </c>
      <c r="S68" s="107" t="n">
        <v>62.5</v>
      </c>
      <c r="T68" s="108" t="n">
        <v>16.19</v>
      </c>
      <c r="U68" s="95" t="n">
        <f aca="false">SUM(H68:T68)</f>
        <v>253.69</v>
      </c>
      <c r="V68" s="109" t="s">
        <v>54</v>
      </c>
      <c r="W68" s="10" t="s">
        <v>26</v>
      </c>
      <c r="X68" s="110" t="s">
        <v>37</v>
      </c>
      <c r="Y68" s="252"/>
      <c r="Z68" s="253"/>
    </row>
    <row r="69" s="10" customFormat="true" ht="14.1" hidden="false" customHeight="true" outlineLevel="0" collapsed="false">
      <c r="A69" s="220" t="s">
        <v>26</v>
      </c>
      <c r="B69" s="221" t="s">
        <v>96</v>
      </c>
      <c r="C69" s="222"/>
      <c r="D69" s="223" t="n">
        <v>4173103</v>
      </c>
      <c r="E69" s="224" t="n">
        <v>45033</v>
      </c>
      <c r="F69" s="225" t="s">
        <v>53</v>
      </c>
      <c r="G69" s="226" t="n">
        <v>45033</v>
      </c>
      <c r="H69" s="227"/>
      <c r="I69" s="228"/>
      <c r="J69" s="228"/>
      <c r="K69" s="228"/>
      <c r="L69" s="228"/>
      <c r="M69" s="227"/>
      <c r="N69" s="228"/>
      <c r="O69" s="227"/>
      <c r="P69" s="229"/>
      <c r="Q69" s="230"/>
      <c r="R69" s="227" t="n">
        <v>195</v>
      </c>
      <c r="S69" s="230" t="n">
        <v>25</v>
      </c>
      <c r="T69" s="231" t="n">
        <v>18.28</v>
      </c>
      <c r="U69" s="232" t="n">
        <f aca="false">SUM(H69:T69)</f>
        <v>238.28</v>
      </c>
      <c r="V69" s="233" t="s">
        <v>54</v>
      </c>
      <c r="W69" s="234" t="s">
        <v>74</v>
      </c>
      <c r="X69" s="110" t="s">
        <v>37</v>
      </c>
      <c r="Y69" s="186"/>
      <c r="Z69" s="51"/>
    </row>
    <row r="70" s="10" customFormat="true" ht="14.1" hidden="false" customHeight="true" outlineLevel="0" collapsed="false">
      <c r="A70" s="220" t="s">
        <v>26</v>
      </c>
      <c r="B70" s="221" t="s">
        <v>103</v>
      </c>
      <c r="C70" s="222"/>
      <c r="D70" s="223" t="n">
        <v>4263104</v>
      </c>
      <c r="E70" s="224" t="n">
        <v>45042</v>
      </c>
      <c r="F70" s="225" t="s">
        <v>53</v>
      </c>
      <c r="G70" s="226" t="n">
        <v>45043</v>
      </c>
      <c r="H70" s="227"/>
      <c r="I70" s="228"/>
      <c r="J70" s="228"/>
      <c r="K70" s="228"/>
      <c r="L70" s="228"/>
      <c r="M70" s="227"/>
      <c r="N70" s="228"/>
      <c r="O70" s="227"/>
      <c r="P70" s="229"/>
      <c r="Q70" s="230"/>
      <c r="R70" s="227" t="n">
        <v>65</v>
      </c>
      <c r="S70" s="230" t="n">
        <v>12.5</v>
      </c>
      <c r="T70" s="231" t="n">
        <v>5.61</v>
      </c>
      <c r="U70" s="232" t="n">
        <f aca="false">SUM(H70:T70)</f>
        <v>83.11</v>
      </c>
      <c r="V70" s="233" t="s">
        <v>54</v>
      </c>
      <c r="W70" s="234" t="s">
        <v>74</v>
      </c>
      <c r="X70" s="110" t="s">
        <v>37</v>
      </c>
      <c r="Y70" s="186"/>
      <c r="Z70" s="51"/>
    </row>
    <row r="71" s="10" customFormat="true" ht="14.1" hidden="false" customHeight="true" outlineLevel="0" collapsed="false">
      <c r="A71" s="100" t="s">
        <v>26</v>
      </c>
      <c r="B71" s="2" t="s">
        <v>168</v>
      </c>
      <c r="C71" s="3"/>
      <c r="D71" s="101" t="n">
        <v>6303063</v>
      </c>
      <c r="E71" s="102" t="n">
        <v>45107</v>
      </c>
      <c r="F71" s="103" t="s">
        <v>53</v>
      </c>
      <c r="G71" s="5" t="n">
        <v>45107</v>
      </c>
      <c r="H71" s="105"/>
      <c r="I71" s="106"/>
      <c r="J71" s="106"/>
      <c r="K71" s="106"/>
      <c r="L71" s="106"/>
      <c r="M71" s="105"/>
      <c r="N71" s="106"/>
      <c r="O71" s="105"/>
      <c r="P71" s="7"/>
      <c r="Q71" s="107"/>
      <c r="R71" s="105" t="n">
        <v>39</v>
      </c>
      <c r="S71" s="107"/>
      <c r="T71" s="108" t="n">
        <v>3.61</v>
      </c>
      <c r="U71" s="95" t="n">
        <f aca="false">SUM(H71:T71)</f>
        <v>42.61</v>
      </c>
      <c r="V71" s="109" t="s">
        <v>30</v>
      </c>
      <c r="W71" s="10" t="s">
        <v>43</v>
      </c>
      <c r="X71" s="110" t="s">
        <v>37</v>
      </c>
      <c r="Y71" s="252"/>
      <c r="Z71" s="253"/>
    </row>
    <row r="72" s="10" customFormat="true" ht="14.1" hidden="false" customHeight="true" outlineLevel="0" collapsed="false">
      <c r="A72" s="100" t="s">
        <v>45</v>
      </c>
      <c r="B72" s="2" t="s">
        <v>171</v>
      </c>
      <c r="C72" s="3"/>
      <c r="D72" s="101" t="n">
        <v>6153053</v>
      </c>
      <c r="E72" s="102" t="n">
        <v>45092</v>
      </c>
      <c r="F72" s="103" t="s">
        <v>13</v>
      </c>
      <c r="G72" s="5" t="n">
        <v>45092</v>
      </c>
      <c r="H72" s="105"/>
      <c r="I72" s="106"/>
      <c r="J72" s="106"/>
      <c r="K72" s="106"/>
      <c r="L72" s="106"/>
      <c r="M72" s="105" t="n">
        <v>95</v>
      </c>
      <c r="N72" s="106"/>
      <c r="O72" s="105"/>
      <c r="P72" s="7"/>
      <c r="Q72" s="107"/>
      <c r="R72" s="105"/>
      <c r="S72" s="107"/>
      <c r="T72" s="108"/>
      <c r="U72" s="95" t="n">
        <f aca="false">SUM(H72:T72)</f>
        <v>95</v>
      </c>
      <c r="V72" s="109" t="s">
        <v>42</v>
      </c>
      <c r="W72" s="10" t="s">
        <v>172</v>
      </c>
      <c r="X72" s="110" t="s">
        <v>37</v>
      </c>
      <c r="Y72" s="252"/>
      <c r="Z72" s="253"/>
    </row>
    <row r="73" s="10" customFormat="true" ht="14.1" hidden="false" customHeight="true" outlineLevel="0" collapsed="false">
      <c r="A73" s="100" t="s">
        <v>26</v>
      </c>
      <c r="B73" s="2" t="s">
        <v>143</v>
      </c>
      <c r="C73" s="3"/>
      <c r="D73" s="101" t="n">
        <v>6053106</v>
      </c>
      <c r="E73" s="102" t="n">
        <v>45082</v>
      </c>
      <c r="F73" s="103" t="s">
        <v>53</v>
      </c>
      <c r="G73" s="5" t="n">
        <v>45083</v>
      </c>
      <c r="H73" s="105"/>
      <c r="I73" s="106"/>
      <c r="J73" s="106"/>
      <c r="K73" s="106"/>
      <c r="L73" s="106"/>
      <c r="M73" s="105"/>
      <c r="N73" s="106"/>
      <c r="O73" s="105"/>
      <c r="P73" s="7"/>
      <c r="Q73" s="107"/>
      <c r="R73" s="105" t="n">
        <v>266</v>
      </c>
      <c r="S73" s="107" t="n">
        <v>37.5</v>
      </c>
      <c r="T73" s="108" t="n">
        <v>24.61</v>
      </c>
      <c r="U73" s="95" t="n">
        <f aca="false">SUM(H73:T73)</f>
        <v>328.11</v>
      </c>
      <c r="V73" s="109" t="s">
        <v>54</v>
      </c>
      <c r="W73" s="10" t="s">
        <v>74</v>
      </c>
      <c r="X73" s="110" t="s">
        <v>37</v>
      </c>
      <c r="Y73" s="252"/>
      <c r="Z73" s="253"/>
    </row>
    <row r="74" s="10" customFormat="true" ht="14.1" hidden="false" customHeight="true" outlineLevel="0" collapsed="false">
      <c r="A74" s="236" t="s">
        <v>119</v>
      </c>
      <c r="B74" s="237" t="s">
        <v>126</v>
      </c>
      <c r="C74" s="238"/>
      <c r="D74" s="239" t="n">
        <v>5013262</v>
      </c>
      <c r="E74" s="240" t="n">
        <v>45047</v>
      </c>
      <c r="F74" s="241" t="s">
        <v>127</v>
      </c>
      <c r="G74" s="242" t="n">
        <v>45047</v>
      </c>
      <c r="H74" s="243"/>
      <c r="I74" s="244"/>
      <c r="J74" s="244"/>
      <c r="K74" s="244"/>
      <c r="L74" s="244"/>
      <c r="M74" s="243"/>
      <c r="N74" s="244"/>
      <c r="O74" s="243" t="n">
        <v>37.5</v>
      </c>
      <c r="P74" s="245"/>
      <c r="Q74" s="246"/>
      <c r="R74" s="243"/>
      <c r="S74" s="246" t="n">
        <v>12.5</v>
      </c>
      <c r="T74" s="247" t="n">
        <v>3.52</v>
      </c>
      <c r="U74" s="248" t="n">
        <f aca="false">SUM(H74:T74)</f>
        <v>53.52</v>
      </c>
      <c r="V74" s="249" t="s">
        <v>30</v>
      </c>
      <c r="W74" s="250" t="s">
        <v>119</v>
      </c>
      <c r="X74" s="110" t="s">
        <v>37</v>
      </c>
      <c r="Y74" s="186"/>
      <c r="Z74" s="51"/>
    </row>
    <row r="75" s="10" customFormat="true" ht="14.1" hidden="false" customHeight="true" outlineLevel="0" collapsed="false">
      <c r="A75" s="100" t="s">
        <v>119</v>
      </c>
      <c r="B75" s="2" t="s">
        <v>126</v>
      </c>
      <c r="C75" s="3"/>
      <c r="D75" s="101" t="n">
        <v>6203051</v>
      </c>
      <c r="E75" s="102" t="n">
        <v>45097</v>
      </c>
      <c r="F75" s="103" t="s">
        <v>111</v>
      </c>
      <c r="G75" s="5" t="n">
        <v>45103</v>
      </c>
      <c r="H75" s="105"/>
      <c r="I75" s="106" t="n">
        <v>762</v>
      </c>
      <c r="J75" s="106"/>
      <c r="K75" s="106"/>
      <c r="L75" s="106"/>
      <c r="M75" s="105"/>
      <c r="N75" s="106"/>
      <c r="O75" s="105"/>
      <c r="P75" s="7"/>
      <c r="Q75" s="107"/>
      <c r="R75" s="105"/>
      <c r="S75" s="107"/>
      <c r="T75" s="108"/>
      <c r="U75" s="95" t="n">
        <f aca="false">SUM(H75:T75)</f>
        <v>762</v>
      </c>
      <c r="V75" s="109" t="s">
        <v>42</v>
      </c>
      <c r="W75" s="10" t="s">
        <v>119</v>
      </c>
      <c r="X75" s="110" t="s">
        <v>37</v>
      </c>
      <c r="Y75" s="252"/>
      <c r="Z75" s="253"/>
    </row>
    <row r="76" s="10" customFormat="true" ht="14.1" hidden="false" customHeight="true" outlineLevel="0" collapsed="false">
      <c r="A76" s="171" t="s">
        <v>45</v>
      </c>
      <c r="B76" s="172" t="s">
        <v>84</v>
      </c>
      <c r="C76" s="173"/>
      <c r="D76" s="174" t="n">
        <v>2072064</v>
      </c>
      <c r="E76" s="175" t="n">
        <v>44964</v>
      </c>
      <c r="F76" s="176" t="s">
        <v>53</v>
      </c>
      <c r="G76" s="177" t="n">
        <v>44964</v>
      </c>
      <c r="H76" s="178"/>
      <c r="I76" s="179"/>
      <c r="J76" s="179"/>
      <c r="K76" s="179"/>
      <c r="L76" s="179"/>
      <c r="M76" s="178"/>
      <c r="N76" s="179"/>
      <c r="O76" s="178"/>
      <c r="P76" s="180"/>
      <c r="Q76" s="181"/>
      <c r="R76" s="178" t="n">
        <v>79</v>
      </c>
      <c r="S76" s="181"/>
      <c r="T76" s="182"/>
      <c r="U76" s="183" t="n">
        <f aca="false">SUM(H76:T76)</f>
        <v>79</v>
      </c>
      <c r="V76" s="184" t="s">
        <v>85</v>
      </c>
      <c r="W76" s="185" t="s">
        <v>86</v>
      </c>
      <c r="X76" s="110" t="s">
        <v>37</v>
      </c>
      <c r="Y76" s="186"/>
      <c r="Z76" s="51"/>
    </row>
    <row r="77" s="10" customFormat="true" ht="14.1" hidden="false" customHeight="true" outlineLevel="0" collapsed="false">
      <c r="A77" s="220" t="s">
        <v>26</v>
      </c>
      <c r="B77" s="221" t="s">
        <v>100</v>
      </c>
      <c r="C77" s="222" t="s">
        <v>101</v>
      </c>
      <c r="D77" s="223" t="n">
        <v>4253102</v>
      </c>
      <c r="E77" s="224" t="n">
        <v>45041</v>
      </c>
      <c r="F77" s="225" t="s">
        <v>53</v>
      </c>
      <c r="G77" s="226" t="n">
        <v>45041</v>
      </c>
      <c r="H77" s="227"/>
      <c r="I77" s="228"/>
      <c r="J77" s="228"/>
      <c r="K77" s="228"/>
      <c r="L77" s="228"/>
      <c r="M77" s="227"/>
      <c r="N77" s="228"/>
      <c r="O77" s="227"/>
      <c r="P77" s="229"/>
      <c r="Q77" s="230"/>
      <c r="R77" s="227" t="n">
        <v>90</v>
      </c>
      <c r="S77" s="230" t="n">
        <v>50</v>
      </c>
      <c r="T77" s="231"/>
      <c r="U77" s="232" t="n">
        <f aca="false">SUM(H77:T77)</f>
        <v>140</v>
      </c>
      <c r="V77" s="233" t="s">
        <v>54</v>
      </c>
      <c r="W77" s="234" t="s">
        <v>74</v>
      </c>
      <c r="X77" s="110" t="s">
        <v>32</v>
      </c>
      <c r="Y77" s="186" t="n">
        <v>70</v>
      </c>
      <c r="Z77" s="51"/>
    </row>
    <row r="78" s="10" customFormat="true" ht="14.1" hidden="false" customHeight="true" outlineLevel="0" collapsed="false">
      <c r="A78" s="236" t="s">
        <v>26</v>
      </c>
      <c r="B78" s="237" t="s">
        <v>117</v>
      </c>
      <c r="C78" s="238"/>
      <c r="D78" s="239" t="n">
        <v>5223106</v>
      </c>
      <c r="E78" s="240" t="n">
        <v>45068</v>
      </c>
      <c r="F78" s="241" t="s">
        <v>53</v>
      </c>
      <c r="G78" s="242" t="n">
        <v>45068</v>
      </c>
      <c r="H78" s="243"/>
      <c r="I78" s="244"/>
      <c r="J78" s="244"/>
      <c r="K78" s="244"/>
      <c r="L78" s="244"/>
      <c r="M78" s="243"/>
      <c r="N78" s="244"/>
      <c r="O78" s="243"/>
      <c r="P78" s="245"/>
      <c r="Q78" s="246"/>
      <c r="R78" s="243" t="n">
        <v>78</v>
      </c>
      <c r="S78" s="246" t="n">
        <v>25</v>
      </c>
      <c r="T78" s="247" t="n">
        <v>6.44</v>
      </c>
      <c r="U78" s="248" t="n">
        <f aca="false">SUM(H78:T78)</f>
        <v>109.44</v>
      </c>
      <c r="V78" s="249" t="s">
        <v>54</v>
      </c>
      <c r="W78" s="250" t="s">
        <v>74</v>
      </c>
      <c r="X78" s="110" t="s">
        <v>37</v>
      </c>
      <c r="Y78" s="186"/>
      <c r="Z78" s="51"/>
    </row>
    <row r="79" s="10" customFormat="true" ht="14.1" hidden="false" customHeight="true" outlineLevel="0" collapsed="false">
      <c r="A79" s="236" t="s">
        <v>119</v>
      </c>
      <c r="B79" s="237" t="s">
        <v>120</v>
      </c>
      <c r="C79" s="238"/>
      <c r="D79" s="239" t="n">
        <v>4283062</v>
      </c>
      <c r="E79" s="240" t="n">
        <v>45044</v>
      </c>
      <c r="F79" s="241" t="s">
        <v>121</v>
      </c>
      <c r="G79" s="242" t="n">
        <v>45047</v>
      </c>
      <c r="H79" s="243"/>
      <c r="I79" s="244"/>
      <c r="J79" s="244"/>
      <c r="K79" s="244"/>
      <c r="L79" s="244"/>
      <c r="M79" s="243"/>
      <c r="N79" s="244"/>
      <c r="O79" s="243"/>
      <c r="P79" s="245"/>
      <c r="Q79" s="246"/>
      <c r="R79" s="243" t="n">
        <v>55</v>
      </c>
      <c r="S79" s="246" t="n">
        <v>12.5</v>
      </c>
      <c r="T79" s="247" t="n">
        <v>5.64</v>
      </c>
      <c r="U79" s="248" t="n">
        <f aca="false">SUM(H79:T79)</f>
        <v>73.14</v>
      </c>
      <c r="V79" s="249" t="s">
        <v>54</v>
      </c>
      <c r="W79" s="250" t="s">
        <v>74</v>
      </c>
      <c r="X79" s="110" t="s">
        <v>37</v>
      </c>
      <c r="Y79" s="186"/>
      <c r="Z79" s="51"/>
    </row>
    <row r="80" s="10" customFormat="true" ht="14.1" hidden="false" customHeight="true" outlineLevel="0" collapsed="false">
      <c r="A80" s="100" t="s">
        <v>38</v>
      </c>
      <c r="B80" s="2" t="s">
        <v>169</v>
      </c>
      <c r="C80" s="3"/>
      <c r="D80" s="101" t="n">
        <v>6263051</v>
      </c>
      <c r="E80" s="102" t="n">
        <v>45103</v>
      </c>
      <c r="F80" s="103" t="s">
        <v>13</v>
      </c>
      <c r="G80" s="5" t="n">
        <v>45103</v>
      </c>
      <c r="H80" s="105"/>
      <c r="I80" s="106"/>
      <c r="J80" s="106"/>
      <c r="K80" s="106"/>
      <c r="L80" s="106"/>
      <c r="M80" s="105" t="n">
        <v>49</v>
      </c>
      <c r="N80" s="106"/>
      <c r="O80" s="105"/>
      <c r="P80" s="7"/>
      <c r="Q80" s="107"/>
      <c r="R80" s="105"/>
      <c r="S80" s="107"/>
      <c r="T80" s="108"/>
      <c r="U80" s="95" t="n">
        <f aca="false">SUM(H80:T80)</f>
        <v>49</v>
      </c>
      <c r="V80" s="109" t="s">
        <v>42</v>
      </c>
      <c r="W80" s="10" t="s">
        <v>43</v>
      </c>
      <c r="X80" s="110" t="s">
        <v>37</v>
      </c>
      <c r="Y80" s="252"/>
      <c r="Z80" s="253"/>
    </row>
    <row r="81" s="10" customFormat="true" ht="14.1" hidden="false" customHeight="true" outlineLevel="0" collapsed="false">
      <c r="A81" s="236" t="s">
        <v>26</v>
      </c>
      <c r="B81" s="237" t="s">
        <v>112</v>
      </c>
      <c r="C81" s="238"/>
      <c r="D81" s="239" t="n">
        <v>5153105</v>
      </c>
      <c r="E81" s="240" t="n">
        <v>45061</v>
      </c>
      <c r="F81" s="241" t="s">
        <v>53</v>
      </c>
      <c r="G81" s="242" t="n">
        <v>45061</v>
      </c>
      <c r="H81" s="243"/>
      <c r="I81" s="244"/>
      <c r="J81" s="244"/>
      <c r="K81" s="244"/>
      <c r="L81" s="244"/>
      <c r="M81" s="243"/>
      <c r="N81" s="244"/>
      <c r="O81" s="243"/>
      <c r="P81" s="245"/>
      <c r="Q81" s="246"/>
      <c r="R81" s="243" t="n">
        <v>168</v>
      </c>
      <c r="S81" s="246" t="n">
        <v>37.5</v>
      </c>
      <c r="T81" s="247" t="n">
        <v>17.22</v>
      </c>
      <c r="U81" s="248" t="n">
        <f aca="false">SUM(H81:T81)</f>
        <v>222.72</v>
      </c>
      <c r="V81" s="249" t="s">
        <v>54</v>
      </c>
      <c r="W81" s="250" t="s">
        <v>74</v>
      </c>
      <c r="X81" s="110" t="s">
        <v>37</v>
      </c>
      <c r="Y81" s="186"/>
      <c r="Z81" s="51"/>
    </row>
    <row r="82" s="10" customFormat="true" ht="14.1" hidden="false" customHeight="true" outlineLevel="0" collapsed="false">
      <c r="A82" s="187" t="s">
        <v>26</v>
      </c>
      <c r="B82" s="172" t="s">
        <v>77</v>
      </c>
      <c r="C82" s="173"/>
      <c r="D82" s="174" t="n">
        <v>3023108</v>
      </c>
      <c r="E82" s="175" t="n">
        <v>44987</v>
      </c>
      <c r="F82" s="176" t="s">
        <v>53</v>
      </c>
      <c r="G82" s="177" t="n">
        <v>44987</v>
      </c>
      <c r="H82" s="178"/>
      <c r="I82" s="179"/>
      <c r="J82" s="179"/>
      <c r="K82" s="179"/>
      <c r="L82" s="179"/>
      <c r="M82" s="178"/>
      <c r="N82" s="179"/>
      <c r="O82" s="178"/>
      <c r="P82" s="180"/>
      <c r="Q82" s="181"/>
      <c r="R82" s="178" t="n">
        <v>213</v>
      </c>
      <c r="S82" s="181" t="n">
        <v>50</v>
      </c>
      <c r="T82" s="182" t="n">
        <v>21.83</v>
      </c>
      <c r="U82" s="183" t="n">
        <f aca="false">SUM(H82:T82)</f>
        <v>284.83</v>
      </c>
      <c r="V82" s="184" t="s">
        <v>73</v>
      </c>
      <c r="W82" s="185" t="s">
        <v>74</v>
      </c>
      <c r="X82" s="110" t="s">
        <v>37</v>
      </c>
      <c r="Y82" s="186"/>
      <c r="Z82" s="51"/>
    </row>
    <row r="83" s="10" customFormat="true" ht="14.1" hidden="false" customHeight="true" outlineLevel="0" collapsed="false">
      <c r="A83" s="100" t="s">
        <v>45</v>
      </c>
      <c r="B83" s="2" t="s">
        <v>173</v>
      </c>
      <c r="C83" s="3"/>
      <c r="D83" s="101" t="n">
        <v>6193062</v>
      </c>
      <c r="E83" s="102" t="n">
        <v>45096</v>
      </c>
      <c r="F83" s="103" t="s">
        <v>53</v>
      </c>
      <c r="G83" s="5" t="n">
        <v>45096</v>
      </c>
      <c r="H83" s="105"/>
      <c r="I83" s="106"/>
      <c r="J83" s="106"/>
      <c r="K83" s="106"/>
      <c r="L83" s="106"/>
      <c r="M83" s="105"/>
      <c r="N83" s="106"/>
      <c r="O83" s="105"/>
      <c r="P83" s="7"/>
      <c r="Q83" s="107"/>
      <c r="R83" s="105" t="n">
        <v>39</v>
      </c>
      <c r="S83" s="107" t="n">
        <v>12.5</v>
      </c>
      <c r="T83" s="108" t="n">
        <v>3.36</v>
      </c>
      <c r="U83" s="95" t="n">
        <f aca="false">SUM(H83:T83)</f>
        <v>54.86</v>
      </c>
      <c r="V83" s="109" t="s">
        <v>54</v>
      </c>
      <c r="W83" s="10" t="s">
        <v>26</v>
      </c>
      <c r="X83" s="110" t="s">
        <v>37</v>
      </c>
      <c r="Y83" s="252"/>
      <c r="Z83" s="253"/>
    </row>
    <row r="84" s="10" customFormat="true" ht="14.1" hidden="false" customHeight="true" outlineLevel="0" collapsed="false">
      <c r="A84" s="100" t="s">
        <v>26</v>
      </c>
      <c r="B84" s="2" t="s">
        <v>140</v>
      </c>
      <c r="C84" s="3"/>
      <c r="D84" s="101" t="n">
        <v>6203102</v>
      </c>
      <c r="E84" s="102" t="n">
        <v>45097</v>
      </c>
      <c r="F84" s="103" t="s">
        <v>53</v>
      </c>
      <c r="G84" s="5" t="n">
        <v>45097</v>
      </c>
      <c r="H84" s="105"/>
      <c r="I84" s="106"/>
      <c r="J84" s="106"/>
      <c r="K84" s="106"/>
      <c r="L84" s="106"/>
      <c r="M84" s="105"/>
      <c r="N84" s="106"/>
      <c r="O84" s="105"/>
      <c r="P84" s="7"/>
      <c r="Q84" s="107"/>
      <c r="R84" s="105" t="n">
        <v>330</v>
      </c>
      <c r="S84" s="107" t="n">
        <v>75</v>
      </c>
      <c r="T84" s="108" t="n">
        <v>30.11</v>
      </c>
      <c r="U84" s="95" t="n">
        <f aca="false">SUM(H84:T84)</f>
        <v>435.11</v>
      </c>
      <c r="V84" s="109" t="s">
        <v>54</v>
      </c>
      <c r="W84" s="10" t="s">
        <v>26</v>
      </c>
      <c r="X84" s="110" t="s">
        <v>37</v>
      </c>
      <c r="Y84" s="252"/>
      <c r="Z84" s="253"/>
    </row>
    <row r="85" s="10" customFormat="true" ht="14.1" hidden="false" customHeight="true" outlineLevel="0" collapsed="false">
      <c r="A85" s="188" t="s">
        <v>26</v>
      </c>
      <c r="B85" s="189" t="s">
        <v>80</v>
      </c>
      <c r="C85" s="190"/>
      <c r="D85" s="191" t="n">
        <v>2273108</v>
      </c>
      <c r="E85" s="192" t="n">
        <v>44984</v>
      </c>
      <c r="F85" s="193" t="s">
        <v>53</v>
      </c>
      <c r="G85" s="177" t="n">
        <v>44985</v>
      </c>
      <c r="H85" s="194"/>
      <c r="I85" s="195"/>
      <c r="J85" s="195"/>
      <c r="K85" s="195"/>
      <c r="L85" s="195"/>
      <c r="M85" s="194"/>
      <c r="N85" s="195"/>
      <c r="O85" s="194"/>
      <c r="P85" s="196"/>
      <c r="Q85" s="197"/>
      <c r="R85" s="194" t="n">
        <v>120</v>
      </c>
      <c r="S85" s="197" t="n">
        <v>25</v>
      </c>
      <c r="T85" s="198" t="n">
        <v>10.2</v>
      </c>
      <c r="U85" s="199" t="n">
        <f aca="false">SUM(H85:T85)</f>
        <v>155.2</v>
      </c>
      <c r="V85" s="200" t="s">
        <v>73</v>
      </c>
      <c r="W85" s="201" t="s">
        <v>74</v>
      </c>
      <c r="X85" s="202" t="s">
        <v>37</v>
      </c>
      <c r="Y85" s="203"/>
      <c r="Z85" s="204"/>
      <c r="AA85" s="205"/>
      <c r="AB85" s="205"/>
      <c r="AC85" s="205"/>
    </row>
    <row r="86" s="10" customFormat="true" ht="14.1" hidden="false" customHeight="true" outlineLevel="0" collapsed="false">
      <c r="A86" s="236" t="s">
        <v>26</v>
      </c>
      <c r="B86" s="237" t="s">
        <v>122</v>
      </c>
      <c r="C86" s="238" t="s">
        <v>123</v>
      </c>
      <c r="D86" s="239" t="n">
        <v>5123101</v>
      </c>
      <c r="E86" s="240" t="n">
        <v>45058</v>
      </c>
      <c r="F86" s="241" t="s">
        <v>53</v>
      </c>
      <c r="G86" s="242" t="n">
        <v>45058</v>
      </c>
      <c r="H86" s="243"/>
      <c r="I86" s="244"/>
      <c r="J86" s="244"/>
      <c r="K86" s="244"/>
      <c r="L86" s="244"/>
      <c r="M86" s="243"/>
      <c r="N86" s="244"/>
      <c r="O86" s="243"/>
      <c r="P86" s="245"/>
      <c r="Q86" s="246"/>
      <c r="R86" s="243" t="n">
        <v>45</v>
      </c>
      <c r="S86" s="246" t="n">
        <v>12.5</v>
      </c>
      <c r="T86" s="247" t="n">
        <v>3.49</v>
      </c>
      <c r="U86" s="248" t="n">
        <f aca="false">SUM(H86:T86)</f>
        <v>60.99</v>
      </c>
      <c r="V86" s="249" t="s">
        <v>54</v>
      </c>
      <c r="W86" s="250" t="s">
        <v>74</v>
      </c>
      <c r="X86" s="110" t="s">
        <v>37</v>
      </c>
      <c r="Y86" s="186"/>
      <c r="Z86" s="51"/>
    </row>
    <row r="87" s="10" customFormat="true" ht="14.1" hidden="false" customHeight="true" outlineLevel="0" collapsed="false">
      <c r="A87" s="100" t="s">
        <v>26</v>
      </c>
      <c r="B87" s="2" t="s">
        <v>122</v>
      </c>
      <c r="C87" s="3" t="s">
        <v>123</v>
      </c>
      <c r="D87" s="101" t="n">
        <v>6153103</v>
      </c>
      <c r="E87" s="102" t="n">
        <v>45092</v>
      </c>
      <c r="F87" s="103" t="s">
        <v>53</v>
      </c>
      <c r="G87" s="5" t="n">
        <v>45092</v>
      </c>
      <c r="H87" s="105"/>
      <c r="I87" s="106"/>
      <c r="J87" s="106"/>
      <c r="K87" s="106"/>
      <c r="L87" s="106"/>
      <c r="M87" s="105"/>
      <c r="N87" s="106"/>
      <c r="O87" s="105"/>
      <c r="P87" s="7"/>
      <c r="Q87" s="107"/>
      <c r="R87" s="105" t="n">
        <v>65</v>
      </c>
      <c r="S87" s="107" t="n">
        <v>12.5</v>
      </c>
      <c r="T87" s="108" t="n">
        <v>5.04</v>
      </c>
      <c r="U87" s="95" t="n">
        <f aca="false">SUM(H87:T87)</f>
        <v>82.54</v>
      </c>
      <c r="V87" s="109" t="s">
        <v>54</v>
      </c>
      <c r="W87" s="10" t="s">
        <v>45</v>
      </c>
      <c r="X87" s="110" t="s">
        <v>37</v>
      </c>
      <c r="Y87" s="252"/>
      <c r="Z87" s="253"/>
    </row>
    <row r="88" s="10" customFormat="true" ht="14.1" hidden="false" customHeight="true" outlineLevel="0" collapsed="false">
      <c r="A88" s="100" t="s">
        <v>26</v>
      </c>
      <c r="B88" s="2" t="s">
        <v>122</v>
      </c>
      <c r="C88" s="3" t="s">
        <v>166</v>
      </c>
      <c r="D88" s="101" t="n">
        <v>6153104</v>
      </c>
      <c r="E88" s="102" t="n">
        <v>45092</v>
      </c>
      <c r="F88" s="103" t="s">
        <v>53</v>
      </c>
      <c r="G88" s="5" t="n">
        <v>45092</v>
      </c>
      <c r="H88" s="105"/>
      <c r="I88" s="106"/>
      <c r="J88" s="106"/>
      <c r="K88" s="106"/>
      <c r="L88" s="106"/>
      <c r="M88" s="105"/>
      <c r="N88" s="106"/>
      <c r="O88" s="105"/>
      <c r="P88" s="7"/>
      <c r="Q88" s="107"/>
      <c r="R88" s="105" t="n">
        <v>65</v>
      </c>
      <c r="S88" s="107" t="n">
        <v>12.5</v>
      </c>
      <c r="T88" s="108" t="n">
        <v>5.93</v>
      </c>
      <c r="U88" s="95" t="n">
        <f aca="false">SUM(H88:T88)</f>
        <v>83.43</v>
      </c>
      <c r="V88" s="109" t="s">
        <v>54</v>
      </c>
      <c r="W88" s="10" t="s">
        <v>45</v>
      </c>
      <c r="X88" s="110" t="s">
        <v>37</v>
      </c>
      <c r="Y88" s="252"/>
      <c r="Z88" s="253"/>
    </row>
    <row r="89" s="10" customFormat="true" ht="14.1" hidden="false" customHeight="true" outlineLevel="0" collapsed="false">
      <c r="A89" s="100" t="s">
        <v>26</v>
      </c>
      <c r="B89" s="2" t="s">
        <v>122</v>
      </c>
      <c r="C89" s="3" t="s">
        <v>155</v>
      </c>
      <c r="D89" s="101" t="n">
        <v>6233101</v>
      </c>
      <c r="E89" s="102" t="n">
        <v>45100</v>
      </c>
      <c r="F89" s="103" t="s">
        <v>53</v>
      </c>
      <c r="G89" s="5" t="n">
        <v>45100</v>
      </c>
      <c r="H89" s="105"/>
      <c r="I89" s="106"/>
      <c r="J89" s="106"/>
      <c r="K89" s="106"/>
      <c r="L89" s="106"/>
      <c r="M89" s="105"/>
      <c r="N89" s="106"/>
      <c r="O89" s="105"/>
      <c r="P89" s="7"/>
      <c r="Q89" s="107"/>
      <c r="R89" s="105" t="n">
        <v>110</v>
      </c>
      <c r="S89" s="107" t="n">
        <v>25</v>
      </c>
      <c r="T89" s="108" t="n">
        <v>11.83</v>
      </c>
      <c r="U89" s="95" t="n">
        <f aca="false">SUM(H89:T89)</f>
        <v>146.83</v>
      </c>
      <c r="V89" s="109" t="s">
        <v>54</v>
      </c>
      <c r="W89" s="10" t="s">
        <v>26</v>
      </c>
      <c r="X89" s="110" t="s">
        <v>37</v>
      </c>
      <c r="Y89" s="252"/>
      <c r="Z89" s="253"/>
    </row>
    <row r="90" s="10" customFormat="true" ht="14.1" hidden="false" customHeight="true" outlineLevel="0" collapsed="false">
      <c r="A90" s="187" t="s">
        <v>26</v>
      </c>
      <c r="B90" s="172" t="s">
        <v>76</v>
      </c>
      <c r="C90" s="173"/>
      <c r="D90" s="174" t="n">
        <v>3223101</v>
      </c>
      <c r="E90" s="175" t="n">
        <v>45007</v>
      </c>
      <c r="F90" s="176" t="s">
        <v>53</v>
      </c>
      <c r="G90" s="177" t="n">
        <v>45007</v>
      </c>
      <c r="H90" s="178"/>
      <c r="I90" s="179"/>
      <c r="J90" s="179"/>
      <c r="K90" s="179"/>
      <c r="L90" s="179"/>
      <c r="M90" s="178"/>
      <c r="N90" s="179"/>
      <c r="O90" s="178"/>
      <c r="P90" s="180"/>
      <c r="Q90" s="181"/>
      <c r="R90" s="178" t="n">
        <v>247</v>
      </c>
      <c r="S90" s="181" t="n">
        <v>62.5</v>
      </c>
      <c r="T90" s="182" t="n">
        <v>21</v>
      </c>
      <c r="U90" s="183" t="n">
        <f aca="false">SUM(H90:T90)</f>
        <v>330.5</v>
      </c>
      <c r="V90" s="184" t="s">
        <v>54</v>
      </c>
      <c r="W90" s="185" t="s">
        <v>74</v>
      </c>
      <c r="X90" s="110" t="s">
        <v>37</v>
      </c>
      <c r="Y90" s="186"/>
      <c r="Z90" s="51"/>
    </row>
    <row r="91" s="10" customFormat="true" ht="14.1" hidden="false" customHeight="true" outlineLevel="0" collapsed="false">
      <c r="A91" s="220" t="s">
        <v>45</v>
      </c>
      <c r="B91" s="221" t="s">
        <v>99</v>
      </c>
      <c r="C91" s="222"/>
      <c r="D91" s="223" t="n">
        <v>4143062</v>
      </c>
      <c r="E91" s="224" t="n">
        <v>45030</v>
      </c>
      <c r="F91" s="225" t="s">
        <v>53</v>
      </c>
      <c r="G91" s="226" t="n">
        <v>45030</v>
      </c>
      <c r="H91" s="227"/>
      <c r="I91" s="228"/>
      <c r="J91" s="228"/>
      <c r="K91" s="228"/>
      <c r="L91" s="228"/>
      <c r="M91" s="227"/>
      <c r="N91" s="228"/>
      <c r="O91" s="227"/>
      <c r="P91" s="229"/>
      <c r="Q91" s="230"/>
      <c r="R91" s="227" t="n">
        <v>130</v>
      </c>
      <c r="S91" s="230" t="n">
        <v>25</v>
      </c>
      <c r="T91" s="231" t="n">
        <v>11.21</v>
      </c>
      <c r="U91" s="232" t="n">
        <f aca="false">SUM(H91:T91)</f>
        <v>166.21</v>
      </c>
      <c r="V91" s="233" t="s">
        <v>54</v>
      </c>
      <c r="W91" s="234" t="s">
        <v>45</v>
      </c>
      <c r="X91" s="110" t="s">
        <v>37</v>
      </c>
      <c r="Y91" s="186"/>
      <c r="Z91" s="51"/>
    </row>
    <row r="92" s="10" customFormat="true" ht="14.1" hidden="false" customHeight="true" outlineLevel="0" collapsed="false">
      <c r="A92" s="100" t="s">
        <v>26</v>
      </c>
      <c r="B92" s="2" t="s">
        <v>99</v>
      </c>
      <c r="C92" s="3"/>
      <c r="D92" s="101" t="n">
        <v>6233062</v>
      </c>
      <c r="E92" s="102" t="n">
        <v>45100</v>
      </c>
      <c r="F92" s="103" t="s">
        <v>53</v>
      </c>
      <c r="G92" s="5" t="n">
        <v>45100</v>
      </c>
      <c r="H92" s="105"/>
      <c r="I92" s="106"/>
      <c r="J92" s="106"/>
      <c r="K92" s="106"/>
      <c r="L92" s="106"/>
      <c r="M92" s="105"/>
      <c r="N92" s="106"/>
      <c r="O92" s="105"/>
      <c r="P92" s="7"/>
      <c r="Q92" s="107"/>
      <c r="R92" s="105" t="n">
        <v>130</v>
      </c>
      <c r="S92" s="107" t="n">
        <v>25</v>
      </c>
      <c r="T92" s="108" t="n">
        <v>11.21</v>
      </c>
      <c r="U92" s="95" t="n">
        <f aca="false">SUM(H92:T92)</f>
        <v>166.21</v>
      </c>
      <c r="V92" s="109" t="s">
        <v>54</v>
      </c>
      <c r="W92" s="10" t="s">
        <v>26</v>
      </c>
      <c r="X92" s="110" t="s">
        <v>37</v>
      </c>
      <c r="Y92" s="252"/>
      <c r="Z92" s="253"/>
    </row>
    <row r="93" s="10" customFormat="true" ht="14.1" hidden="false" customHeight="true" outlineLevel="0" collapsed="false">
      <c r="A93" s="171" t="s">
        <v>26</v>
      </c>
      <c r="B93" s="172" t="s">
        <v>72</v>
      </c>
      <c r="C93" s="173"/>
      <c r="D93" s="174" t="n">
        <v>12222102</v>
      </c>
      <c r="E93" s="175" t="n">
        <v>44917</v>
      </c>
      <c r="F93" s="176" t="s">
        <v>53</v>
      </c>
      <c r="G93" s="177" t="n">
        <v>44917</v>
      </c>
      <c r="H93" s="178"/>
      <c r="I93" s="179"/>
      <c r="J93" s="179"/>
      <c r="K93" s="179"/>
      <c r="L93" s="179"/>
      <c r="M93" s="178"/>
      <c r="N93" s="179"/>
      <c r="O93" s="178"/>
      <c r="P93" s="180"/>
      <c r="Q93" s="181"/>
      <c r="R93" s="178" t="n">
        <v>323</v>
      </c>
      <c r="S93" s="181" t="n">
        <v>70</v>
      </c>
      <c r="T93" s="182" t="n">
        <v>30.28</v>
      </c>
      <c r="U93" s="183" t="n">
        <f aca="false">SUM(H93:T93)</f>
        <v>423.28</v>
      </c>
      <c r="V93" s="184" t="s">
        <v>73</v>
      </c>
      <c r="W93" s="185" t="s">
        <v>74</v>
      </c>
      <c r="X93" s="110" t="s">
        <v>37</v>
      </c>
      <c r="Y93" s="186"/>
      <c r="Z93" s="51"/>
    </row>
    <row r="94" s="10" customFormat="true" ht="14.1" hidden="false" customHeight="true" outlineLevel="0" collapsed="false">
      <c r="A94" s="220" t="s">
        <v>26</v>
      </c>
      <c r="B94" s="221" t="s">
        <v>102</v>
      </c>
      <c r="C94" s="222"/>
      <c r="D94" s="223" t="n">
        <v>4113106</v>
      </c>
      <c r="E94" s="224" t="n">
        <v>45027</v>
      </c>
      <c r="F94" s="225" t="s">
        <v>53</v>
      </c>
      <c r="G94" s="226" t="n">
        <v>45027</v>
      </c>
      <c r="H94" s="227"/>
      <c r="I94" s="228"/>
      <c r="J94" s="228"/>
      <c r="K94" s="228"/>
      <c r="L94" s="228"/>
      <c r="M94" s="227"/>
      <c r="N94" s="228"/>
      <c r="O94" s="227"/>
      <c r="P94" s="229"/>
      <c r="Q94" s="230"/>
      <c r="R94" s="227" t="n">
        <v>65</v>
      </c>
      <c r="S94" s="230" t="n">
        <v>12.5</v>
      </c>
      <c r="T94" s="231" t="n">
        <v>6.09</v>
      </c>
      <c r="U94" s="232" t="n">
        <f aca="false">SUM(H94:T94)</f>
        <v>83.59</v>
      </c>
      <c r="V94" s="233" t="s">
        <v>54</v>
      </c>
      <c r="W94" s="234" t="s">
        <v>26</v>
      </c>
      <c r="X94" s="110" t="s">
        <v>37</v>
      </c>
      <c r="Y94" s="186"/>
      <c r="Z94" s="51"/>
    </row>
    <row r="95" s="10" customFormat="true" ht="14.1" hidden="false" customHeight="true" outlineLevel="0" collapsed="false">
      <c r="A95" s="220" t="s">
        <v>26</v>
      </c>
      <c r="B95" s="221" t="s">
        <v>94</v>
      </c>
      <c r="C95" s="222"/>
      <c r="D95" s="223" t="n">
        <v>4173104</v>
      </c>
      <c r="E95" s="224" t="n">
        <v>45033</v>
      </c>
      <c r="F95" s="225" t="s">
        <v>53</v>
      </c>
      <c r="G95" s="226" t="n">
        <v>45033</v>
      </c>
      <c r="H95" s="227"/>
      <c r="I95" s="228"/>
      <c r="J95" s="228"/>
      <c r="K95" s="228"/>
      <c r="L95" s="228"/>
      <c r="M95" s="227"/>
      <c r="N95" s="228"/>
      <c r="O95" s="227"/>
      <c r="P95" s="229"/>
      <c r="Q95" s="230"/>
      <c r="R95" s="227" t="n">
        <v>435</v>
      </c>
      <c r="S95" s="230" t="n">
        <v>87.5</v>
      </c>
      <c r="T95" s="231" t="n">
        <v>33.71</v>
      </c>
      <c r="U95" s="232" t="n">
        <f aca="false">SUM(H95:T95)</f>
        <v>556.21</v>
      </c>
      <c r="V95" s="233" t="s">
        <v>54</v>
      </c>
      <c r="W95" s="234" t="s">
        <v>74</v>
      </c>
      <c r="X95" s="110" t="s">
        <v>37</v>
      </c>
      <c r="Y95" s="186"/>
      <c r="Z95" s="51"/>
    </row>
    <row r="96" s="10" customFormat="true" ht="14.1" hidden="false" customHeight="true" outlineLevel="0" collapsed="false">
      <c r="A96" s="100" t="s">
        <v>26</v>
      </c>
      <c r="B96" s="2" t="s">
        <v>129</v>
      </c>
      <c r="C96" s="3"/>
      <c r="D96" s="101" t="n">
        <v>6143062</v>
      </c>
      <c r="E96" s="102" t="n">
        <v>45091</v>
      </c>
      <c r="F96" s="103" t="s">
        <v>53</v>
      </c>
      <c r="G96" s="5" t="n">
        <v>45091</v>
      </c>
      <c r="H96" s="105"/>
      <c r="I96" s="106"/>
      <c r="J96" s="106"/>
      <c r="K96" s="106"/>
      <c r="L96" s="106"/>
      <c r="M96" s="105"/>
      <c r="N96" s="106"/>
      <c r="O96" s="105"/>
      <c r="P96" s="7"/>
      <c r="Q96" s="107"/>
      <c r="R96" s="105" t="n">
        <v>1490</v>
      </c>
      <c r="S96" s="107"/>
      <c r="T96" s="108"/>
      <c r="U96" s="95" t="n">
        <f aca="false">SUM(H96:T96)</f>
        <v>1490</v>
      </c>
      <c r="V96" s="109" t="s">
        <v>85</v>
      </c>
      <c r="W96" s="10" t="s">
        <v>130</v>
      </c>
      <c r="X96" s="110" t="s">
        <v>37</v>
      </c>
      <c r="Y96" s="252"/>
      <c r="Z96" s="253"/>
    </row>
    <row r="97" s="10" customFormat="true" ht="14.1" hidden="false" customHeight="true" outlineLevel="0" collapsed="false">
      <c r="A97" s="100" t="s">
        <v>26</v>
      </c>
      <c r="B97" s="2" t="s">
        <v>144</v>
      </c>
      <c r="C97" s="3" t="s">
        <v>148</v>
      </c>
      <c r="D97" s="101" t="n">
        <v>6293105</v>
      </c>
      <c r="E97" s="102" t="n">
        <v>45106</v>
      </c>
      <c r="F97" s="103" t="s">
        <v>53</v>
      </c>
      <c r="G97" s="5" t="n">
        <v>45106</v>
      </c>
      <c r="H97" s="105"/>
      <c r="I97" s="106"/>
      <c r="J97" s="106"/>
      <c r="K97" s="106"/>
      <c r="L97" s="106"/>
      <c r="M97" s="105"/>
      <c r="N97" s="106"/>
      <c r="O97" s="105"/>
      <c r="P97" s="7"/>
      <c r="Q97" s="107"/>
      <c r="R97" s="105" t="n">
        <v>227</v>
      </c>
      <c r="S97" s="107" t="n">
        <v>36.5</v>
      </c>
      <c r="T97" s="108" t="n">
        <v>19.58</v>
      </c>
      <c r="U97" s="95" t="n">
        <f aca="false">SUM(H97:T97)</f>
        <v>283.08</v>
      </c>
      <c r="V97" s="109" t="s">
        <v>54</v>
      </c>
      <c r="W97" s="10" t="s">
        <v>26</v>
      </c>
      <c r="X97" s="110" t="s">
        <v>37</v>
      </c>
      <c r="Y97" s="252"/>
      <c r="Z97" s="253"/>
    </row>
    <row r="98" s="10" customFormat="true" ht="14.1" hidden="false" customHeight="true" outlineLevel="0" collapsed="false">
      <c r="A98" s="100" t="s">
        <v>26</v>
      </c>
      <c r="B98" s="2" t="s">
        <v>144</v>
      </c>
      <c r="C98" s="3" t="s">
        <v>145</v>
      </c>
      <c r="D98" s="101" t="n">
        <v>6293106</v>
      </c>
      <c r="E98" s="102" t="n">
        <v>45106</v>
      </c>
      <c r="F98" s="103" t="s">
        <v>53</v>
      </c>
      <c r="G98" s="5" t="n">
        <v>45106</v>
      </c>
      <c r="H98" s="105"/>
      <c r="I98" s="106"/>
      <c r="J98" s="106"/>
      <c r="K98" s="106"/>
      <c r="L98" s="106"/>
      <c r="M98" s="105"/>
      <c r="N98" s="106"/>
      <c r="O98" s="105"/>
      <c r="P98" s="7"/>
      <c r="Q98" s="107"/>
      <c r="R98" s="105" t="n">
        <v>253</v>
      </c>
      <c r="S98" s="107" t="n">
        <v>50</v>
      </c>
      <c r="T98" s="108" t="n">
        <v>21.82</v>
      </c>
      <c r="U98" s="95" t="n">
        <f aca="false">SUM(H98:T98)</f>
        <v>324.82</v>
      </c>
      <c r="V98" s="109" t="s">
        <v>54</v>
      </c>
      <c r="W98" s="10" t="s">
        <v>26</v>
      </c>
      <c r="X98" s="110" t="s">
        <v>37</v>
      </c>
      <c r="Y98" s="252"/>
      <c r="Z98" s="253"/>
    </row>
    <row r="99" s="10" customFormat="true" ht="14.1" hidden="false" customHeight="true" outlineLevel="0" collapsed="false">
      <c r="A99" s="206"/>
      <c r="B99" s="207"/>
      <c r="C99" s="208"/>
      <c r="D99" s="208"/>
      <c r="E99" s="209"/>
      <c r="F99" s="210"/>
      <c r="G99" s="211"/>
      <c r="H99" s="212"/>
      <c r="I99" s="212"/>
      <c r="J99" s="213"/>
      <c r="K99" s="213"/>
      <c r="L99" s="213"/>
      <c r="M99" s="212"/>
      <c r="N99" s="212"/>
      <c r="O99" s="212"/>
      <c r="P99" s="127"/>
      <c r="Q99" s="214"/>
      <c r="R99" s="212"/>
      <c r="S99" s="214"/>
      <c r="T99" s="215"/>
      <c r="U99" s="216"/>
      <c r="V99" s="217"/>
      <c r="W99" s="29"/>
      <c r="X99" s="29"/>
      <c r="Y99" s="254" t="n">
        <f aca="false">SUM(U53:U98)</f>
        <v>12284.76</v>
      </c>
      <c r="Z99" s="219" t="n">
        <f aca="false">Y99/V101</f>
        <v>0.452945475139315</v>
      </c>
      <c r="AA99" s="51"/>
    </row>
    <row r="100" s="10" customFormat="true" ht="19.5" hidden="false" customHeight="true" outlineLevel="0" collapsed="false">
      <c r="A100" s="255"/>
      <c r="B100" s="256"/>
      <c r="C100" s="256"/>
      <c r="D100" s="49"/>
      <c r="E100" s="49"/>
      <c r="F100" s="257"/>
      <c r="G100" s="49"/>
      <c r="H100" s="258" t="n">
        <f aca="false">SUM(H4:H98)</f>
        <v>75</v>
      </c>
      <c r="I100" s="258" t="n">
        <f aca="false">SUM(I4:I98)</f>
        <v>1260</v>
      </c>
      <c r="J100" s="258" t="n">
        <f aca="false">SUM(J4:J98)</f>
        <v>0</v>
      </c>
      <c r="K100" s="258" t="n">
        <f aca="false">SUM(K4:K98)</f>
        <v>0</v>
      </c>
      <c r="L100" s="258" t="n">
        <f aca="false">SUM(L4:L98)</f>
        <v>0</v>
      </c>
      <c r="M100" s="258" t="n">
        <f aca="false">SUM(M4:M98)</f>
        <v>193</v>
      </c>
      <c r="N100" s="258" t="n">
        <f aca="false">SUM(N4:N98)</f>
        <v>39</v>
      </c>
      <c r="O100" s="258" t="n">
        <f aca="false">SUM(O4:O98)</f>
        <v>37.5</v>
      </c>
      <c r="P100" s="258" t="n">
        <f aca="false">SUM(P4:P98)</f>
        <v>0</v>
      </c>
      <c r="Q100" s="258" t="n">
        <f aca="false">SUM(Q4:Q98)</f>
        <v>0</v>
      </c>
      <c r="R100" s="258" t="n">
        <f aca="false">SUM(R4:R98)</f>
        <v>20877.5</v>
      </c>
      <c r="S100" s="258" t="n">
        <f aca="false">SUM(S4:S98)</f>
        <v>3156.5</v>
      </c>
      <c r="T100" s="258" t="n">
        <f aca="false">SUM(T4:T98)</f>
        <v>1483.44</v>
      </c>
      <c r="U100" s="258" t="n">
        <f aca="false">SUM(U4:U98)</f>
        <v>27121.94</v>
      </c>
      <c r="V100" s="259"/>
      <c r="W100" s="11"/>
      <c r="X100" s="11"/>
      <c r="Y100" s="3"/>
      <c r="Z100" s="2"/>
      <c r="AA100" s="260"/>
      <c r="AB100" s="260"/>
      <c r="AC100" s="260"/>
    </row>
    <row r="101" s="10" customFormat="true" ht="14.1" hidden="false" customHeight="true" outlineLevel="0" collapsed="false">
      <c r="A101" s="2"/>
      <c r="B101" s="2"/>
      <c r="C101" s="3"/>
      <c r="D101" s="3"/>
      <c r="E101" s="4"/>
      <c r="F101" s="3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8"/>
      <c r="U101" s="9"/>
      <c r="V101" s="261" t="n">
        <f aca="false">SUM(H100:T100)</f>
        <v>27121.94</v>
      </c>
      <c r="Y101" s="262"/>
      <c r="Z101" s="12"/>
    </row>
    <row r="102" s="10" customFormat="true" ht="14.1" hidden="false" customHeight="true" outlineLevel="0" collapsed="false">
      <c r="A102" s="2"/>
      <c r="B102" s="2"/>
      <c r="C102" s="3"/>
      <c r="D102" s="3"/>
      <c r="E102" s="4"/>
      <c r="F102" s="3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8"/>
      <c r="U102" s="9"/>
      <c r="V102" s="2"/>
      <c r="Y102" s="262"/>
      <c r="Z102" s="12"/>
    </row>
    <row r="103" s="10" customFormat="true" ht="14.1" hidden="false" customHeight="true" outlineLevel="0" collapsed="false">
      <c r="A103" s="2"/>
      <c r="B103" s="2"/>
      <c r="C103" s="3"/>
      <c r="D103" s="3"/>
      <c r="E103" s="4"/>
      <c r="F103" s="3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8"/>
      <c r="U103" s="9"/>
      <c r="V103" s="2"/>
      <c r="Y103" s="262"/>
      <c r="Z103" s="12"/>
    </row>
    <row r="104" s="10" customFormat="true" ht="14.1" hidden="false" customHeight="true" outlineLevel="0" collapsed="false">
      <c r="A104" s="2"/>
      <c r="B104" s="2"/>
      <c r="C104" s="3"/>
      <c r="D104" s="3"/>
      <c r="E104" s="4"/>
      <c r="F104" s="3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8"/>
      <c r="U104" s="9"/>
      <c r="V104" s="2"/>
      <c r="Y104" s="262"/>
      <c r="Z104" s="12"/>
    </row>
    <row r="105" s="10" customFormat="true" ht="14.1" hidden="false" customHeight="true" outlineLevel="0" collapsed="false">
      <c r="A105" s="2"/>
      <c r="B105" s="2"/>
      <c r="C105" s="3"/>
      <c r="D105" s="3"/>
      <c r="E105" s="4"/>
      <c r="F105" s="3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8"/>
      <c r="U105" s="9"/>
      <c r="V105" s="2"/>
      <c r="Y105" s="262"/>
      <c r="Z105" s="12"/>
    </row>
    <row r="106" s="10" customFormat="true" ht="14.1" hidden="false" customHeight="true" outlineLevel="0" collapsed="false">
      <c r="A106" s="2"/>
      <c r="B106" s="2"/>
      <c r="C106" s="3"/>
      <c r="D106" s="3"/>
      <c r="E106" s="4"/>
      <c r="F106" s="3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8"/>
      <c r="U106" s="9"/>
      <c r="V106" s="2"/>
      <c r="Y106" s="262"/>
      <c r="Z106" s="12"/>
    </row>
    <row r="107" s="10" customFormat="true" ht="14.1" hidden="false" customHeight="true" outlineLevel="0" collapsed="false">
      <c r="A107" s="2"/>
      <c r="B107" s="2"/>
      <c r="C107" s="3"/>
      <c r="D107" s="3"/>
      <c r="E107" s="4"/>
      <c r="F107" s="3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8"/>
      <c r="U107" s="9"/>
      <c r="V107" s="2"/>
      <c r="Y107" s="262"/>
      <c r="Z107" s="12"/>
    </row>
    <row r="108" s="10" customFormat="true" ht="14.1" hidden="false" customHeight="true" outlineLevel="0" collapsed="false">
      <c r="A108" s="2"/>
      <c r="B108" s="2"/>
      <c r="C108" s="3"/>
      <c r="D108" s="3"/>
      <c r="E108" s="4"/>
      <c r="F108" s="3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8"/>
      <c r="U108" s="9"/>
      <c r="V108" s="2"/>
      <c r="Y108" s="262"/>
      <c r="Z108" s="12"/>
    </row>
    <row r="109" s="10" customFormat="true" ht="14.1" hidden="false" customHeight="true" outlineLevel="0" collapsed="false">
      <c r="A109" s="2"/>
      <c r="B109" s="2"/>
      <c r="C109" s="3"/>
      <c r="D109" s="3"/>
      <c r="E109" s="4"/>
      <c r="F109" s="3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8"/>
      <c r="U109" s="9"/>
      <c r="V109" s="2"/>
      <c r="Y109" s="262"/>
      <c r="Z109" s="12"/>
    </row>
    <row r="110" s="10" customFormat="true" ht="14.1" hidden="false" customHeight="true" outlineLevel="0" collapsed="false">
      <c r="A110" s="2"/>
      <c r="B110" s="2"/>
      <c r="C110" s="263"/>
      <c r="D110" s="3"/>
      <c r="E110" s="4"/>
      <c r="F110" s="3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8"/>
      <c r="T110" s="8"/>
      <c r="V110" s="264"/>
      <c r="W110" s="265"/>
      <c r="X110" s="265"/>
      <c r="Y110" s="266"/>
      <c r="Z110" s="2"/>
    </row>
    <row r="111" s="10" customFormat="true" ht="14.1" hidden="false" customHeight="true" outlineLevel="0" collapsed="false">
      <c r="A111" s="2"/>
      <c r="B111" s="2"/>
      <c r="C111" s="3"/>
      <c r="D111" s="3"/>
      <c r="E111" s="4"/>
      <c r="F111" s="3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8"/>
      <c r="U111" s="9"/>
      <c r="V111" s="2"/>
      <c r="Y111" s="262"/>
      <c r="Z111" s="12"/>
    </row>
    <row r="112" s="10" customFormat="true" ht="14.1" hidden="false" customHeight="true" outlineLevel="0" collapsed="false">
      <c r="A112" s="2"/>
      <c r="B112" s="2"/>
      <c r="C112" s="3"/>
      <c r="D112" s="3"/>
      <c r="E112" s="4"/>
      <c r="F112" s="3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8"/>
      <c r="U112" s="9"/>
      <c r="V112" s="2"/>
      <c r="Y112" s="262"/>
      <c r="Z112" s="12"/>
    </row>
    <row r="113" s="10" customFormat="true" ht="14.1" hidden="false" customHeight="true" outlineLevel="0" collapsed="false">
      <c r="A113" s="2"/>
      <c r="B113" s="2"/>
      <c r="C113" s="3"/>
      <c r="D113" s="3"/>
      <c r="E113" s="4"/>
      <c r="F113" s="3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8"/>
      <c r="U113" s="9"/>
      <c r="V113" s="2"/>
      <c r="Y113" s="262"/>
      <c r="Z113" s="12"/>
    </row>
    <row r="114" s="10" customFormat="true" ht="14.1" hidden="false" customHeight="true" outlineLevel="0" collapsed="false">
      <c r="A114" s="2"/>
      <c r="B114" s="2"/>
      <c r="C114" s="3"/>
      <c r="D114" s="3"/>
      <c r="E114" s="4"/>
      <c r="F114" s="3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8"/>
      <c r="U114" s="9"/>
      <c r="V114" s="2"/>
      <c r="Y114" s="262"/>
      <c r="Z114" s="12"/>
    </row>
    <row r="115" s="10" customFormat="true" ht="14.1" hidden="false" customHeight="true" outlineLevel="0" collapsed="false">
      <c r="A115" s="2"/>
      <c r="B115" s="2"/>
      <c r="C115" s="3"/>
      <c r="D115" s="3"/>
      <c r="E115" s="4"/>
      <c r="F115" s="3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8"/>
      <c r="U115" s="9"/>
      <c r="V115" s="2"/>
      <c r="Y115" s="262"/>
      <c r="Z115" s="12"/>
    </row>
    <row r="116" s="10" customFormat="true" ht="14.1" hidden="false" customHeight="true" outlineLevel="0" collapsed="false">
      <c r="A116" s="2"/>
      <c r="B116" s="2"/>
      <c r="C116" s="3"/>
      <c r="D116" s="3"/>
      <c r="E116" s="4"/>
      <c r="F116" s="3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8"/>
      <c r="U116" s="9"/>
      <c r="V116" s="2"/>
      <c r="Y116" s="262"/>
      <c r="Z116" s="12"/>
    </row>
    <row r="117" s="10" customFormat="true" ht="14.1" hidden="false" customHeight="true" outlineLevel="0" collapsed="false">
      <c r="A117" s="2"/>
      <c r="B117" s="2"/>
      <c r="C117" s="3"/>
      <c r="D117" s="3"/>
      <c r="E117" s="4"/>
      <c r="F117" s="3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8"/>
      <c r="U117" s="9"/>
      <c r="V117" s="2"/>
      <c r="Y117" s="262"/>
      <c r="Z117" s="12"/>
    </row>
    <row r="118" s="10" customFormat="true" ht="14.1" hidden="false" customHeight="true" outlineLevel="0" collapsed="false">
      <c r="A118" s="2"/>
      <c r="B118" s="2"/>
      <c r="C118" s="3"/>
      <c r="D118" s="3"/>
      <c r="E118" s="4"/>
      <c r="F118" s="3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8"/>
      <c r="U118" s="9"/>
      <c r="V118" s="2"/>
      <c r="Y118" s="262"/>
      <c r="Z118" s="12"/>
    </row>
    <row r="119" s="10" customFormat="true" ht="14.1" hidden="false" customHeight="true" outlineLevel="0" collapsed="false">
      <c r="A119" s="2"/>
      <c r="B119" s="2"/>
      <c r="C119" s="3"/>
      <c r="D119" s="3"/>
      <c r="E119" s="4"/>
      <c r="F119" s="3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8"/>
      <c r="U119" s="9"/>
      <c r="V119" s="2"/>
      <c r="Y119" s="262"/>
      <c r="Z119" s="12"/>
    </row>
    <row r="120" s="10" customFormat="true" ht="14.1" hidden="false" customHeight="true" outlineLevel="0" collapsed="false">
      <c r="A120" s="2"/>
      <c r="B120" s="2"/>
      <c r="C120" s="3"/>
      <c r="D120" s="3"/>
      <c r="E120" s="4"/>
      <c r="F120" s="3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8"/>
      <c r="U120" s="9"/>
      <c r="V120" s="2"/>
      <c r="Y120" s="262"/>
      <c r="Z120" s="12"/>
    </row>
    <row r="121" s="10" customFormat="true" ht="14.1" hidden="false" customHeight="true" outlineLevel="0" collapsed="false">
      <c r="A121" s="2"/>
      <c r="B121" s="2"/>
      <c r="C121" s="3"/>
      <c r="D121" s="3"/>
      <c r="E121" s="4"/>
      <c r="F121" s="3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8"/>
      <c r="U121" s="9"/>
      <c r="V121" s="2"/>
      <c r="Y121" s="262"/>
      <c r="Z121" s="12"/>
    </row>
    <row r="122" s="10" customFormat="true" ht="14.1" hidden="false" customHeight="true" outlineLevel="0" collapsed="false">
      <c r="A122" s="2"/>
      <c r="B122" s="2"/>
      <c r="C122" s="3"/>
      <c r="D122" s="3"/>
      <c r="E122" s="4"/>
      <c r="F122" s="3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8"/>
      <c r="U122" s="9"/>
      <c r="V122" s="2"/>
      <c r="Y122" s="262"/>
      <c r="Z122" s="12"/>
    </row>
    <row r="123" s="10" customFormat="true" ht="14.1" hidden="false" customHeight="true" outlineLevel="0" collapsed="false">
      <c r="A123" s="2"/>
      <c r="B123" s="2"/>
      <c r="C123" s="3"/>
      <c r="D123" s="3"/>
      <c r="E123" s="4"/>
      <c r="F123" s="3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8"/>
      <c r="U123" s="9"/>
      <c r="V123" s="2"/>
      <c r="Y123" s="262"/>
      <c r="Z123" s="12"/>
    </row>
    <row r="124" s="10" customFormat="true" ht="14.1" hidden="false" customHeight="true" outlineLevel="0" collapsed="false">
      <c r="A124" s="2"/>
      <c r="B124" s="2"/>
      <c r="C124" s="3"/>
      <c r="D124" s="3"/>
      <c r="E124" s="4"/>
      <c r="F124" s="3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8"/>
      <c r="U124" s="9"/>
      <c r="V124" s="2"/>
      <c r="Y124" s="262"/>
      <c r="Z124" s="12"/>
    </row>
    <row r="125" s="10" customFormat="true" ht="14.1" hidden="false" customHeight="true" outlineLevel="0" collapsed="false">
      <c r="A125" s="2"/>
      <c r="B125" s="2"/>
      <c r="C125" s="3"/>
      <c r="D125" s="3"/>
      <c r="E125" s="4"/>
      <c r="F125" s="3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8"/>
      <c r="U125" s="9"/>
      <c r="V125" s="2"/>
      <c r="Y125" s="262"/>
      <c r="Z125" s="12"/>
    </row>
    <row r="126" s="10" customFormat="true" ht="14.1" hidden="false" customHeight="true" outlineLevel="0" collapsed="false">
      <c r="A126" s="2"/>
      <c r="B126" s="2"/>
      <c r="C126" s="3"/>
      <c r="D126" s="3"/>
      <c r="E126" s="4"/>
      <c r="F126" s="3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8"/>
      <c r="U126" s="9"/>
      <c r="V126" s="2"/>
      <c r="Y126" s="262"/>
      <c r="Z126" s="12"/>
    </row>
    <row r="127" s="10" customFormat="true" ht="14.1" hidden="false" customHeight="true" outlineLevel="0" collapsed="false">
      <c r="A127" s="2"/>
      <c r="B127" s="2"/>
      <c r="C127" s="3"/>
      <c r="D127" s="3"/>
      <c r="E127" s="4"/>
      <c r="F127" s="3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8"/>
      <c r="U127" s="9"/>
      <c r="V127" s="2"/>
      <c r="Y127" s="262"/>
      <c r="Z127" s="12"/>
    </row>
    <row r="128" s="10" customFormat="true" ht="14.1" hidden="false" customHeight="true" outlineLevel="0" collapsed="false">
      <c r="A128" s="2"/>
      <c r="B128" s="2"/>
      <c r="C128" s="3"/>
      <c r="D128" s="3"/>
      <c r="E128" s="4"/>
      <c r="F128" s="3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8"/>
      <c r="U128" s="9"/>
      <c r="V128" s="2"/>
      <c r="Y128" s="262"/>
      <c r="Z128" s="12"/>
    </row>
    <row r="129" s="10" customFormat="true" ht="14.1" hidden="false" customHeight="true" outlineLevel="0" collapsed="false">
      <c r="A129" s="2"/>
      <c r="B129" s="2"/>
      <c r="C129" s="3"/>
      <c r="D129" s="3"/>
      <c r="E129" s="4"/>
      <c r="F129" s="3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8"/>
      <c r="U129" s="9"/>
      <c r="V129" s="2"/>
      <c r="Y129" s="262"/>
      <c r="Z129" s="12"/>
    </row>
    <row r="130" s="10" customFormat="true" ht="14.1" hidden="false" customHeight="true" outlineLevel="0" collapsed="false">
      <c r="A130" s="2"/>
      <c r="B130" s="2"/>
      <c r="C130" s="3"/>
      <c r="D130" s="3"/>
      <c r="E130" s="4"/>
      <c r="F130" s="3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8"/>
      <c r="U130" s="9"/>
      <c r="V130" s="2"/>
      <c r="Y130" s="262"/>
      <c r="Z130" s="12"/>
    </row>
    <row r="131" s="10" customFormat="true" ht="14.1" hidden="false" customHeight="true" outlineLevel="0" collapsed="false">
      <c r="A131" s="2"/>
      <c r="B131" s="2"/>
      <c r="C131" s="3"/>
      <c r="D131" s="3"/>
      <c r="E131" s="4"/>
      <c r="F131" s="3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8"/>
      <c r="U131" s="9"/>
      <c r="V131" s="2"/>
      <c r="Y131" s="262"/>
      <c r="Z131" s="12"/>
    </row>
    <row r="132" s="10" customFormat="true" ht="14.1" hidden="false" customHeight="true" outlineLevel="0" collapsed="false">
      <c r="A132" s="2"/>
      <c r="B132" s="2"/>
      <c r="C132" s="3"/>
      <c r="D132" s="3"/>
      <c r="E132" s="4"/>
      <c r="F132" s="3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8"/>
      <c r="U132" s="9"/>
      <c r="V132" s="2"/>
      <c r="Y132" s="262"/>
      <c r="Z132" s="12"/>
    </row>
    <row r="133" s="10" customFormat="true" ht="14.1" hidden="false" customHeight="true" outlineLevel="0" collapsed="false">
      <c r="A133" s="2"/>
      <c r="B133" s="2"/>
      <c r="C133" s="3"/>
      <c r="D133" s="3"/>
      <c r="E133" s="4"/>
      <c r="F133" s="3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8"/>
      <c r="U133" s="9"/>
      <c r="V133" s="2"/>
      <c r="Y133" s="262"/>
      <c r="Z133" s="12"/>
    </row>
    <row r="134" s="10" customFormat="true" ht="14.1" hidden="false" customHeight="true" outlineLevel="0" collapsed="false">
      <c r="A134" s="2"/>
      <c r="B134" s="2"/>
      <c r="C134" s="3"/>
      <c r="D134" s="3"/>
      <c r="E134" s="4"/>
      <c r="F134" s="3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8"/>
      <c r="U134" s="9"/>
      <c r="V134" s="2"/>
      <c r="Y134" s="262"/>
      <c r="Z134" s="12"/>
    </row>
    <row r="135" s="10" customFormat="true" ht="14.1" hidden="false" customHeight="true" outlineLevel="0" collapsed="false">
      <c r="A135" s="2"/>
      <c r="B135" s="2"/>
      <c r="C135" s="3"/>
      <c r="D135" s="3"/>
      <c r="E135" s="4"/>
      <c r="F135" s="3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8"/>
      <c r="U135" s="9"/>
      <c r="V135" s="2"/>
      <c r="Y135" s="262"/>
      <c r="Z135" s="12"/>
    </row>
    <row r="136" s="10" customFormat="true" ht="14.1" hidden="false" customHeight="true" outlineLevel="0" collapsed="false">
      <c r="A136" s="2"/>
      <c r="B136" s="2"/>
      <c r="C136" s="3"/>
      <c r="D136" s="3"/>
      <c r="E136" s="4"/>
      <c r="F136" s="3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8"/>
      <c r="U136" s="9"/>
      <c r="V136" s="2"/>
      <c r="Y136" s="262"/>
      <c r="Z136" s="12"/>
    </row>
    <row r="137" s="10" customFormat="true" ht="14.1" hidden="false" customHeight="true" outlineLevel="0" collapsed="false">
      <c r="A137" s="2"/>
      <c r="B137" s="2"/>
      <c r="C137" s="3"/>
      <c r="D137" s="3"/>
      <c r="E137" s="4"/>
      <c r="F137" s="3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8"/>
      <c r="U137" s="9"/>
      <c r="V137" s="2"/>
      <c r="Y137" s="262"/>
      <c r="Z137" s="12"/>
    </row>
    <row r="138" s="10" customFormat="true" ht="14.1" hidden="false" customHeight="true" outlineLevel="0" collapsed="false">
      <c r="A138" s="2"/>
      <c r="B138" s="2"/>
      <c r="C138" s="3"/>
      <c r="D138" s="3"/>
      <c r="E138" s="4"/>
      <c r="F138" s="3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8"/>
      <c r="U138" s="9"/>
      <c r="V138" s="2"/>
      <c r="Y138" s="262"/>
      <c r="Z138" s="12"/>
    </row>
    <row r="139" s="10" customFormat="true" ht="14.1" hidden="false" customHeight="true" outlineLevel="0" collapsed="false">
      <c r="A139" s="2"/>
      <c r="B139" s="2"/>
      <c r="C139" s="3"/>
      <c r="D139" s="3"/>
      <c r="E139" s="4"/>
      <c r="F139" s="3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8"/>
      <c r="U139" s="9"/>
      <c r="V139" s="2"/>
      <c r="Y139" s="262"/>
      <c r="Z139" s="12"/>
    </row>
    <row r="140" s="10" customFormat="true" ht="14.1" hidden="false" customHeight="true" outlineLevel="0" collapsed="false">
      <c r="A140" s="2"/>
      <c r="B140" s="2"/>
      <c r="C140" s="3"/>
      <c r="D140" s="3"/>
      <c r="E140" s="4"/>
      <c r="F140" s="3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8"/>
      <c r="U140" s="9"/>
      <c r="V140" s="2"/>
      <c r="Y140" s="262"/>
      <c r="Z140" s="12"/>
    </row>
    <row r="141" s="10" customFormat="true" ht="14.1" hidden="false" customHeight="true" outlineLevel="0" collapsed="false">
      <c r="A141" s="2"/>
      <c r="B141" s="2"/>
      <c r="C141" s="3"/>
      <c r="D141" s="3"/>
      <c r="E141" s="4"/>
      <c r="F141" s="3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8"/>
      <c r="U141" s="9"/>
      <c r="V141" s="2"/>
      <c r="Y141" s="262"/>
      <c r="Z141" s="12"/>
    </row>
    <row r="142" s="10" customFormat="true" ht="14.1" hidden="false" customHeight="true" outlineLevel="0" collapsed="false">
      <c r="A142" s="2"/>
      <c r="B142" s="2"/>
      <c r="C142" s="3"/>
      <c r="D142" s="3"/>
      <c r="E142" s="4"/>
      <c r="F142" s="3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8"/>
      <c r="U142" s="9"/>
      <c r="V142" s="2"/>
      <c r="Y142" s="262"/>
      <c r="Z142" s="12"/>
    </row>
    <row r="143" s="10" customFormat="true" ht="14.1" hidden="false" customHeight="true" outlineLevel="0" collapsed="false">
      <c r="A143" s="2"/>
      <c r="B143" s="2"/>
      <c r="C143" s="3"/>
      <c r="D143" s="3"/>
      <c r="E143" s="4"/>
      <c r="F143" s="3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8"/>
      <c r="U143" s="9"/>
      <c r="V143" s="2"/>
      <c r="Y143" s="262"/>
      <c r="Z143" s="12"/>
    </row>
    <row r="144" s="10" customFormat="true" ht="14.1" hidden="false" customHeight="true" outlineLevel="0" collapsed="false">
      <c r="A144" s="2"/>
      <c r="B144" s="2"/>
      <c r="C144" s="3"/>
      <c r="D144" s="3"/>
      <c r="E144" s="4"/>
      <c r="F144" s="3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8"/>
      <c r="U144" s="9"/>
      <c r="V144" s="2"/>
      <c r="Y144" s="262"/>
      <c r="Z144" s="12"/>
    </row>
    <row r="145" s="10" customFormat="true" ht="14.1" hidden="false" customHeight="true" outlineLevel="0" collapsed="false">
      <c r="A145" s="2"/>
      <c r="B145" s="2"/>
      <c r="C145" s="3"/>
      <c r="D145" s="3"/>
      <c r="E145" s="4"/>
      <c r="F145" s="3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8"/>
      <c r="U145" s="9"/>
      <c r="V145" s="2"/>
      <c r="Y145" s="262"/>
      <c r="Z145" s="12"/>
    </row>
    <row r="146" s="10" customFormat="true" ht="14.1" hidden="false" customHeight="true" outlineLevel="0" collapsed="false">
      <c r="A146" s="2"/>
      <c r="B146" s="2"/>
      <c r="C146" s="3"/>
      <c r="D146" s="3"/>
      <c r="E146" s="4"/>
      <c r="F146" s="3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8"/>
      <c r="U146" s="9"/>
      <c r="V146" s="2"/>
      <c r="Y146" s="262"/>
      <c r="Z146" s="12"/>
    </row>
    <row r="147" s="10" customFormat="true" ht="14.1" hidden="false" customHeight="true" outlineLevel="0" collapsed="false">
      <c r="A147" s="2"/>
      <c r="B147" s="2"/>
      <c r="C147" s="3"/>
      <c r="D147" s="3"/>
      <c r="E147" s="4"/>
      <c r="F147" s="3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8"/>
      <c r="U147" s="9"/>
      <c r="V147" s="2"/>
      <c r="Y147" s="262"/>
      <c r="Z147" s="12"/>
    </row>
    <row r="148" s="10" customFormat="true" ht="14.1" hidden="false" customHeight="true" outlineLevel="0" collapsed="false">
      <c r="A148" s="2"/>
      <c r="B148" s="2"/>
      <c r="C148" s="3"/>
      <c r="D148" s="3"/>
      <c r="E148" s="4"/>
      <c r="F148" s="3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8"/>
      <c r="U148" s="9"/>
      <c r="V148" s="2"/>
      <c r="Y148" s="262"/>
      <c r="Z148" s="12"/>
    </row>
    <row r="149" s="10" customFormat="true" ht="14.1" hidden="false" customHeight="true" outlineLevel="0" collapsed="false">
      <c r="A149" s="2"/>
      <c r="B149" s="2"/>
      <c r="C149" s="3"/>
      <c r="D149" s="3"/>
      <c r="E149" s="4"/>
      <c r="F149" s="3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8"/>
      <c r="U149" s="9"/>
      <c r="V149" s="2"/>
      <c r="Y149" s="262"/>
      <c r="Z149" s="12"/>
    </row>
    <row r="150" s="10" customFormat="true" ht="14.1" hidden="false" customHeight="true" outlineLevel="0" collapsed="false">
      <c r="A150" s="2"/>
      <c r="B150" s="2"/>
      <c r="C150" s="3"/>
      <c r="D150" s="3"/>
      <c r="E150" s="4"/>
      <c r="F150" s="3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8"/>
      <c r="U150" s="9"/>
      <c r="V150" s="2"/>
      <c r="Y150" s="262"/>
      <c r="Z150" s="12"/>
    </row>
    <row r="151" s="10" customFormat="true" ht="14.1" hidden="false" customHeight="true" outlineLevel="0" collapsed="false">
      <c r="A151" s="2"/>
      <c r="B151" s="2"/>
      <c r="C151" s="3"/>
      <c r="D151" s="3"/>
      <c r="E151" s="4"/>
      <c r="F151" s="3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8"/>
      <c r="U151" s="9"/>
      <c r="V151" s="2"/>
      <c r="Y151" s="262"/>
      <c r="Z151" s="12"/>
    </row>
    <row r="152" s="10" customFormat="true" ht="14.1" hidden="false" customHeight="true" outlineLevel="0" collapsed="false">
      <c r="A152" s="2"/>
      <c r="B152" s="2"/>
      <c r="C152" s="3"/>
      <c r="D152" s="3"/>
      <c r="E152" s="4"/>
      <c r="F152" s="3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8"/>
      <c r="U152" s="9"/>
      <c r="V152" s="2"/>
      <c r="Y152" s="262"/>
      <c r="Z152" s="12"/>
    </row>
    <row r="153" s="10" customFormat="true" ht="14.1" hidden="false" customHeight="true" outlineLevel="0" collapsed="false">
      <c r="A153" s="2"/>
      <c r="B153" s="2"/>
      <c r="C153" s="3"/>
      <c r="D153" s="3"/>
      <c r="E153" s="4"/>
      <c r="F153" s="3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8"/>
      <c r="U153" s="9"/>
      <c r="V153" s="2"/>
      <c r="Y153" s="262"/>
      <c r="Z153" s="12"/>
    </row>
    <row r="154" s="10" customFormat="true" ht="14.1" hidden="false" customHeight="true" outlineLevel="0" collapsed="false">
      <c r="A154" s="2"/>
      <c r="B154" s="2"/>
      <c r="C154" s="3"/>
      <c r="D154" s="3"/>
      <c r="E154" s="4"/>
      <c r="F154" s="3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8"/>
      <c r="U154" s="9"/>
      <c r="V154" s="2"/>
      <c r="Y154" s="262"/>
      <c r="Z154" s="12"/>
    </row>
    <row r="155" s="10" customFormat="true" ht="14.1" hidden="false" customHeight="true" outlineLevel="0" collapsed="false">
      <c r="A155" s="2"/>
      <c r="B155" s="2"/>
      <c r="C155" s="3"/>
      <c r="D155" s="3"/>
      <c r="E155" s="4"/>
      <c r="F155" s="3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8"/>
      <c r="U155" s="9"/>
      <c r="V155" s="2"/>
      <c r="Y155" s="262"/>
      <c r="Z155" s="12"/>
    </row>
    <row r="156" s="10" customFormat="true" ht="14.1" hidden="false" customHeight="true" outlineLevel="0" collapsed="false">
      <c r="A156" s="2"/>
      <c r="B156" s="2"/>
      <c r="C156" s="3"/>
      <c r="D156" s="3"/>
      <c r="E156" s="4"/>
      <c r="F156" s="3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8"/>
      <c r="U156" s="9"/>
      <c r="V156" s="2"/>
      <c r="Y156" s="262"/>
      <c r="Z156" s="12"/>
    </row>
    <row r="157" s="10" customFormat="true" ht="14.1" hidden="false" customHeight="true" outlineLevel="0" collapsed="false">
      <c r="A157" s="2"/>
      <c r="B157" s="2"/>
      <c r="C157" s="3"/>
      <c r="D157" s="3"/>
      <c r="E157" s="4"/>
      <c r="F157" s="3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8"/>
      <c r="U157" s="9"/>
      <c r="V157" s="2"/>
      <c r="Y157" s="262"/>
      <c r="Z157" s="12"/>
    </row>
    <row r="158" s="10" customFormat="true" ht="14.1" hidden="false" customHeight="true" outlineLevel="0" collapsed="false">
      <c r="A158" s="2"/>
      <c r="B158" s="2"/>
      <c r="C158" s="3"/>
      <c r="D158" s="3"/>
      <c r="E158" s="4"/>
      <c r="F158" s="3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8"/>
      <c r="U158" s="9"/>
      <c r="V158" s="2"/>
      <c r="Y158" s="262"/>
      <c r="Z158" s="12"/>
    </row>
    <row r="159" s="10" customFormat="true" ht="14.1" hidden="false" customHeight="true" outlineLevel="0" collapsed="false">
      <c r="A159" s="2"/>
      <c r="B159" s="2"/>
      <c r="C159" s="3"/>
      <c r="D159" s="3"/>
      <c r="E159" s="4"/>
      <c r="F159" s="3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8"/>
      <c r="U159" s="9"/>
      <c r="V159" s="2"/>
      <c r="Y159" s="262"/>
      <c r="Z159" s="12"/>
    </row>
    <row r="160" s="10" customFormat="true" ht="14.1" hidden="false" customHeight="true" outlineLevel="0" collapsed="false">
      <c r="A160" s="2"/>
      <c r="B160" s="2"/>
      <c r="C160" s="3"/>
      <c r="D160" s="3"/>
      <c r="E160" s="4"/>
      <c r="F160" s="3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8"/>
      <c r="U160" s="9"/>
      <c r="V160" s="2"/>
      <c r="Y160" s="262"/>
      <c r="Z160" s="12"/>
    </row>
    <row r="161" s="10" customFormat="true" ht="14.1" hidden="false" customHeight="true" outlineLevel="0" collapsed="false">
      <c r="A161" s="2"/>
      <c r="B161" s="2"/>
      <c r="C161" s="3"/>
      <c r="D161" s="3"/>
      <c r="E161" s="4"/>
      <c r="F161" s="3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8"/>
      <c r="U161" s="9"/>
      <c r="V161" s="2"/>
      <c r="Y161" s="262"/>
      <c r="Z161" s="12"/>
    </row>
    <row r="162" s="10" customFormat="true" ht="14.1" hidden="false" customHeight="true" outlineLevel="0" collapsed="false">
      <c r="A162" s="2"/>
      <c r="B162" s="2"/>
      <c r="C162" s="3"/>
      <c r="D162" s="3"/>
      <c r="E162" s="4"/>
      <c r="F162" s="3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8"/>
      <c r="U162" s="9"/>
      <c r="V162" s="2"/>
      <c r="Y162" s="262"/>
      <c r="Z162" s="12"/>
    </row>
    <row r="163" s="10" customFormat="true" ht="14.1" hidden="false" customHeight="true" outlineLevel="0" collapsed="false">
      <c r="A163" s="2"/>
      <c r="B163" s="2"/>
      <c r="C163" s="3"/>
      <c r="D163" s="3"/>
      <c r="E163" s="4"/>
      <c r="F163" s="3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8"/>
      <c r="U163" s="9"/>
      <c r="V163" s="2"/>
      <c r="Y163" s="262"/>
      <c r="Z163" s="12"/>
    </row>
    <row r="164" s="10" customFormat="true" ht="14.1" hidden="false" customHeight="true" outlineLevel="0" collapsed="false">
      <c r="A164" s="2"/>
      <c r="B164" s="2"/>
      <c r="C164" s="3"/>
      <c r="D164" s="3"/>
      <c r="E164" s="4"/>
      <c r="F164" s="3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8"/>
      <c r="U164" s="9"/>
      <c r="V164" s="2"/>
      <c r="Y164" s="262"/>
      <c r="Z164" s="12"/>
    </row>
    <row r="165" s="10" customFormat="true" ht="14.1" hidden="false" customHeight="true" outlineLevel="0" collapsed="false">
      <c r="A165" s="2"/>
      <c r="B165" s="2"/>
      <c r="C165" s="3"/>
      <c r="D165" s="3"/>
      <c r="E165" s="4"/>
      <c r="F165" s="3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8"/>
      <c r="U165" s="9"/>
      <c r="V165" s="2"/>
      <c r="Y165" s="262"/>
      <c r="Z165" s="12"/>
    </row>
    <row r="166" s="10" customFormat="true" ht="14.1" hidden="false" customHeight="true" outlineLevel="0" collapsed="false">
      <c r="A166" s="2"/>
      <c r="B166" s="2"/>
      <c r="C166" s="3"/>
      <c r="D166" s="3"/>
      <c r="E166" s="4"/>
      <c r="F166" s="3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8"/>
      <c r="U166" s="9"/>
      <c r="V166" s="2"/>
      <c r="Y166" s="262"/>
      <c r="Z166" s="12"/>
    </row>
    <row r="167" s="10" customFormat="true" ht="14.1" hidden="false" customHeight="true" outlineLevel="0" collapsed="false">
      <c r="A167" s="2"/>
      <c r="B167" s="2"/>
      <c r="C167" s="3"/>
      <c r="D167" s="3"/>
      <c r="E167" s="4"/>
      <c r="F167" s="3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8"/>
      <c r="U167" s="9"/>
      <c r="V167" s="2"/>
      <c r="Y167" s="262"/>
      <c r="Z167" s="12"/>
    </row>
    <row r="168" s="10" customFormat="true" ht="14.1" hidden="false" customHeight="true" outlineLevel="0" collapsed="false">
      <c r="A168" s="2"/>
      <c r="B168" s="2"/>
      <c r="C168" s="3"/>
      <c r="D168" s="3"/>
      <c r="E168" s="4"/>
      <c r="F168" s="3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8"/>
      <c r="U168" s="9"/>
      <c r="V168" s="2"/>
      <c r="Y168" s="262"/>
      <c r="Z168" s="12"/>
    </row>
    <row r="169" s="10" customFormat="true" ht="14.1" hidden="false" customHeight="true" outlineLevel="0" collapsed="false">
      <c r="A169" s="2"/>
      <c r="B169" s="2"/>
      <c r="C169" s="3"/>
      <c r="D169" s="3"/>
      <c r="E169" s="4"/>
      <c r="F169" s="3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8"/>
      <c r="U169" s="9"/>
      <c r="V169" s="2"/>
      <c r="Y169" s="262"/>
      <c r="Z169" s="12"/>
    </row>
    <row r="170" s="10" customFormat="true" ht="14.1" hidden="false" customHeight="true" outlineLevel="0" collapsed="false">
      <c r="A170" s="2"/>
      <c r="B170" s="2"/>
      <c r="C170" s="3"/>
      <c r="D170" s="3"/>
      <c r="E170" s="4"/>
      <c r="F170" s="3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8"/>
      <c r="U170" s="9"/>
      <c r="V170" s="2"/>
      <c r="Y170" s="262"/>
      <c r="Z170" s="12"/>
    </row>
    <row r="171" s="10" customFormat="true" ht="14.1" hidden="false" customHeight="true" outlineLevel="0" collapsed="false">
      <c r="A171" s="2"/>
      <c r="B171" s="2"/>
      <c r="C171" s="3"/>
      <c r="D171" s="3"/>
      <c r="E171" s="4"/>
      <c r="F171" s="3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8"/>
      <c r="U171" s="9"/>
      <c r="V171" s="2"/>
      <c r="Y171" s="262"/>
      <c r="Z171" s="12"/>
    </row>
    <row r="172" s="10" customFormat="true" ht="14.1" hidden="false" customHeight="true" outlineLevel="0" collapsed="false">
      <c r="A172" s="2"/>
      <c r="B172" s="2"/>
      <c r="C172" s="3"/>
      <c r="D172" s="3"/>
      <c r="E172" s="4"/>
      <c r="F172" s="3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8"/>
      <c r="U172" s="9"/>
      <c r="V172" s="2"/>
      <c r="Y172" s="262"/>
      <c r="Z172" s="12"/>
    </row>
    <row r="173" s="10" customFormat="true" ht="14.1" hidden="false" customHeight="true" outlineLevel="0" collapsed="false">
      <c r="A173" s="2"/>
      <c r="B173" s="2"/>
      <c r="C173" s="3"/>
      <c r="D173" s="3"/>
      <c r="E173" s="4"/>
      <c r="F173" s="3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8"/>
      <c r="U173" s="9"/>
      <c r="V173" s="2"/>
      <c r="Y173" s="262"/>
      <c r="Z173" s="12"/>
    </row>
    <row r="174" s="10" customFormat="true" ht="14.1" hidden="false" customHeight="true" outlineLevel="0" collapsed="false">
      <c r="A174" s="2"/>
      <c r="B174" s="2"/>
      <c r="C174" s="3"/>
      <c r="D174" s="3"/>
      <c r="E174" s="4"/>
      <c r="F174" s="3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8"/>
      <c r="U174" s="9"/>
      <c r="V174" s="2"/>
      <c r="Y174" s="262"/>
      <c r="Z174" s="12"/>
    </row>
    <row r="175" s="10" customFormat="true" ht="14.1" hidden="false" customHeight="true" outlineLevel="0" collapsed="false">
      <c r="A175" s="2"/>
      <c r="B175" s="2"/>
      <c r="C175" s="3"/>
      <c r="D175" s="3"/>
      <c r="E175" s="4"/>
      <c r="F175" s="3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8"/>
      <c r="U175" s="9"/>
      <c r="V175" s="2"/>
      <c r="Y175" s="262"/>
      <c r="Z175" s="12"/>
    </row>
    <row r="176" s="10" customFormat="true" ht="14.1" hidden="false" customHeight="true" outlineLevel="0" collapsed="false">
      <c r="A176" s="2"/>
      <c r="B176" s="2"/>
      <c r="C176" s="3"/>
      <c r="D176" s="3"/>
      <c r="E176" s="4"/>
      <c r="F176" s="3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8"/>
      <c r="U176" s="9"/>
      <c r="V176" s="2"/>
      <c r="Y176" s="262"/>
      <c r="Z176" s="12"/>
    </row>
    <row r="177" s="10" customFormat="true" ht="14.1" hidden="false" customHeight="true" outlineLevel="0" collapsed="false">
      <c r="A177" s="2"/>
      <c r="B177" s="2"/>
      <c r="C177" s="3"/>
      <c r="D177" s="3"/>
      <c r="E177" s="4"/>
      <c r="F177" s="3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8"/>
      <c r="U177" s="9"/>
      <c r="V177" s="2"/>
      <c r="Y177" s="262"/>
      <c r="Z177" s="12"/>
    </row>
    <row r="178" s="10" customFormat="true" ht="14.1" hidden="false" customHeight="true" outlineLevel="0" collapsed="false">
      <c r="A178" s="2"/>
      <c r="B178" s="2"/>
      <c r="C178" s="3"/>
      <c r="D178" s="3"/>
      <c r="E178" s="4"/>
      <c r="F178" s="3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8"/>
      <c r="U178" s="9"/>
      <c r="V178" s="2"/>
      <c r="Y178" s="262"/>
      <c r="Z178" s="12"/>
    </row>
    <row r="179" s="10" customFormat="true" ht="14.1" hidden="false" customHeight="true" outlineLevel="0" collapsed="false">
      <c r="A179" s="2"/>
      <c r="B179" s="2"/>
      <c r="C179" s="3"/>
      <c r="D179" s="3"/>
      <c r="E179" s="4"/>
      <c r="F179" s="3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8"/>
      <c r="U179" s="9"/>
      <c r="V179" s="2"/>
      <c r="Y179" s="262"/>
      <c r="Z179" s="12"/>
    </row>
    <row r="180" s="10" customFormat="true" ht="14.1" hidden="false" customHeight="true" outlineLevel="0" collapsed="false">
      <c r="A180" s="2"/>
      <c r="B180" s="2"/>
      <c r="C180" s="3"/>
      <c r="D180" s="3"/>
      <c r="E180" s="4"/>
      <c r="F180" s="3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8"/>
      <c r="U180" s="9"/>
      <c r="V180" s="2"/>
      <c r="Y180" s="262"/>
      <c r="Z180" s="12"/>
    </row>
    <row r="181" s="10" customFormat="true" ht="14.1" hidden="false" customHeight="true" outlineLevel="0" collapsed="false">
      <c r="A181" s="2"/>
      <c r="B181" s="2"/>
      <c r="C181" s="3"/>
      <c r="D181" s="3"/>
      <c r="E181" s="4"/>
      <c r="F181" s="3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8"/>
      <c r="U181" s="9"/>
      <c r="V181" s="2"/>
      <c r="Y181" s="262"/>
      <c r="Z181" s="12"/>
    </row>
    <row r="182" s="10" customFormat="true" ht="14.1" hidden="false" customHeight="true" outlineLevel="0" collapsed="false">
      <c r="A182" s="2"/>
      <c r="B182" s="2"/>
      <c r="C182" s="3"/>
      <c r="D182" s="3"/>
      <c r="E182" s="4"/>
      <c r="F182" s="3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8"/>
      <c r="U182" s="9"/>
      <c r="V182" s="2"/>
      <c r="Y182" s="262"/>
      <c r="Z182" s="12"/>
    </row>
    <row r="183" s="10" customFormat="true" ht="14.1" hidden="false" customHeight="true" outlineLevel="0" collapsed="false">
      <c r="A183" s="2"/>
      <c r="B183" s="2"/>
      <c r="C183" s="3"/>
      <c r="D183" s="3"/>
      <c r="E183" s="4"/>
      <c r="F183" s="3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8"/>
      <c r="U183" s="9"/>
      <c r="V183" s="2"/>
      <c r="Y183" s="262"/>
      <c r="Z183" s="12"/>
    </row>
    <row r="184" s="10" customFormat="true" ht="14.1" hidden="false" customHeight="true" outlineLevel="0" collapsed="false">
      <c r="A184" s="2"/>
      <c r="B184" s="2"/>
      <c r="C184" s="3"/>
      <c r="D184" s="3"/>
      <c r="E184" s="4"/>
      <c r="F184" s="3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8"/>
      <c r="U184" s="9"/>
      <c r="V184" s="2"/>
      <c r="Y184" s="262"/>
      <c r="Z184" s="12"/>
    </row>
    <row r="185" s="10" customFormat="true" ht="14.1" hidden="false" customHeight="true" outlineLevel="0" collapsed="false">
      <c r="A185" s="2"/>
      <c r="B185" s="2"/>
      <c r="C185" s="3"/>
      <c r="D185" s="3"/>
      <c r="E185" s="4"/>
      <c r="F185" s="3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8"/>
      <c r="U185" s="9"/>
      <c r="V185" s="2"/>
      <c r="Y185" s="262"/>
      <c r="Z185" s="12"/>
    </row>
    <row r="186" s="10" customFormat="true" ht="14.1" hidden="false" customHeight="true" outlineLevel="0" collapsed="false">
      <c r="A186" s="2"/>
      <c r="B186" s="2"/>
      <c r="C186" s="3"/>
      <c r="D186" s="3"/>
      <c r="E186" s="4"/>
      <c r="F186" s="3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8"/>
      <c r="U186" s="9"/>
      <c r="V186" s="2"/>
      <c r="Y186" s="262"/>
      <c r="Z186" s="12"/>
    </row>
    <row r="187" s="10" customFormat="true" ht="14.1" hidden="false" customHeight="true" outlineLevel="0" collapsed="false">
      <c r="A187" s="2"/>
      <c r="B187" s="2"/>
      <c r="C187" s="3"/>
      <c r="D187" s="3"/>
      <c r="E187" s="4"/>
      <c r="F187" s="3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8"/>
      <c r="U187" s="9"/>
      <c r="V187" s="2"/>
      <c r="Y187" s="262"/>
      <c r="Z187" s="12"/>
    </row>
    <row r="188" s="10" customFormat="true" ht="14.1" hidden="false" customHeight="true" outlineLevel="0" collapsed="false">
      <c r="A188" s="2"/>
      <c r="B188" s="2"/>
      <c r="C188" s="3"/>
      <c r="D188" s="3"/>
      <c r="E188" s="4"/>
      <c r="F188" s="3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8"/>
      <c r="U188" s="9"/>
      <c r="V188" s="2"/>
      <c r="Y188" s="262"/>
      <c r="Z188" s="12"/>
    </row>
    <row r="189" s="10" customFormat="true" ht="14.1" hidden="false" customHeight="true" outlineLevel="0" collapsed="false">
      <c r="A189" s="2"/>
      <c r="B189" s="2"/>
      <c r="C189" s="3"/>
      <c r="D189" s="3"/>
      <c r="E189" s="4"/>
      <c r="F189" s="3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8"/>
      <c r="U189" s="9"/>
      <c r="V189" s="2"/>
      <c r="Y189" s="262"/>
      <c r="Z189" s="12"/>
    </row>
    <row r="190" s="10" customFormat="true" ht="14.1" hidden="false" customHeight="true" outlineLevel="0" collapsed="false">
      <c r="A190" s="2"/>
      <c r="B190" s="2"/>
      <c r="C190" s="3"/>
      <c r="D190" s="3"/>
      <c r="E190" s="4"/>
      <c r="F190" s="3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8"/>
      <c r="U190" s="9"/>
      <c r="V190" s="2"/>
      <c r="Y190" s="262"/>
      <c r="Z190" s="12"/>
    </row>
    <row r="191" s="10" customFormat="true" ht="14.1" hidden="false" customHeight="true" outlineLevel="0" collapsed="false">
      <c r="A191" s="2"/>
      <c r="B191" s="2"/>
      <c r="C191" s="3"/>
      <c r="D191" s="3"/>
      <c r="E191" s="4"/>
      <c r="F191" s="3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8"/>
      <c r="U191" s="9"/>
      <c r="V191" s="2"/>
      <c r="Y191" s="262"/>
      <c r="Z191" s="12"/>
    </row>
    <row r="192" s="10" customFormat="true" ht="14.1" hidden="false" customHeight="true" outlineLevel="0" collapsed="false">
      <c r="A192" s="2"/>
      <c r="B192" s="2"/>
      <c r="C192" s="3"/>
      <c r="D192" s="3"/>
      <c r="E192" s="4"/>
      <c r="F192" s="3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8"/>
      <c r="U192" s="9"/>
      <c r="V192" s="2"/>
      <c r="Y192" s="262"/>
      <c r="Z192" s="12"/>
    </row>
    <row r="193" s="10" customFormat="true" ht="14.1" hidden="false" customHeight="true" outlineLevel="0" collapsed="false">
      <c r="A193" s="2"/>
      <c r="B193" s="2"/>
      <c r="C193" s="3"/>
      <c r="D193" s="3"/>
      <c r="E193" s="4"/>
      <c r="F193" s="3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8"/>
      <c r="U193" s="9"/>
      <c r="V193" s="2"/>
      <c r="Y193" s="262"/>
      <c r="Z193" s="12"/>
    </row>
    <row r="194" s="10" customFormat="true" ht="14.1" hidden="false" customHeight="true" outlineLevel="0" collapsed="false">
      <c r="A194" s="2"/>
      <c r="B194" s="2"/>
      <c r="C194" s="3"/>
      <c r="D194" s="3"/>
      <c r="E194" s="4"/>
      <c r="F194" s="3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8"/>
      <c r="U194" s="9"/>
      <c r="V194" s="2"/>
      <c r="Y194" s="262"/>
      <c r="Z194" s="12"/>
    </row>
    <row r="195" s="10" customFormat="true" ht="14.1" hidden="false" customHeight="true" outlineLevel="0" collapsed="false">
      <c r="A195" s="2"/>
      <c r="B195" s="2"/>
      <c r="C195" s="3"/>
      <c r="D195" s="3"/>
      <c r="E195" s="4"/>
      <c r="F195" s="3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8"/>
      <c r="U195" s="9"/>
      <c r="V195" s="2"/>
      <c r="Y195" s="262"/>
      <c r="Z195" s="12"/>
    </row>
    <row r="196" s="10" customFormat="true" ht="14.1" hidden="false" customHeight="true" outlineLevel="0" collapsed="false">
      <c r="A196" s="2"/>
      <c r="B196" s="2"/>
      <c r="C196" s="3"/>
      <c r="D196" s="3"/>
      <c r="E196" s="4"/>
      <c r="F196" s="3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8"/>
      <c r="U196" s="9"/>
      <c r="V196" s="2"/>
      <c r="Y196" s="262"/>
      <c r="Z196" s="12"/>
    </row>
    <row r="197" s="10" customFormat="true" ht="14.1" hidden="false" customHeight="true" outlineLevel="0" collapsed="false">
      <c r="A197" s="2"/>
      <c r="B197" s="2"/>
      <c r="C197" s="3"/>
      <c r="D197" s="3"/>
      <c r="E197" s="4"/>
      <c r="F197" s="3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8"/>
      <c r="U197" s="9"/>
      <c r="V197" s="2"/>
      <c r="Y197" s="262"/>
      <c r="Z197" s="12"/>
    </row>
    <row r="198" s="10" customFormat="true" ht="14.1" hidden="false" customHeight="true" outlineLevel="0" collapsed="false">
      <c r="A198" s="2"/>
      <c r="B198" s="2"/>
      <c r="C198" s="3"/>
      <c r="D198" s="3"/>
      <c r="E198" s="4"/>
      <c r="F198" s="3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8"/>
      <c r="U198" s="9"/>
      <c r="V198" s="2"/>
      <c r="Y198" s="262"/>
      <c r="Z198" s="12"/>
    </row>
    <row r="199" s="10" customFormat="true" ht="14.1" hidden="false" customHeight="true" outlineLevel="0" collapsed="false">
      <c r="A199" s="2"/>
      <c r="B199" s="2"/>
      <c r="C199" s="3"/>
      <c r="D199" s="3"/>
      <c r="E199" s="4"/>
      <c r="F199" s="3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8"/>
      <c r="U199" s="9"/>
      <c r="V199" s="2"/>
      <c r="Y199" s="262"/>
      <c r="Z199" s="12"/>
    </row>
    <row r="200" s="10" customFormat="true" ht="14.1" hidden="false" customHeight="true" outlineLevel="0" collapsed="false">
      <c r="A200" s="2"/>
      <c r="B200" s="2"/>
      <c r="C200" s="3"/>
      <c r="D200" s="3"/>
      <c r="E200" s="4"/>
      <c r="F200" s="3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8"/>
      <c r="U200" s="9"/>
      <c r="V200" s="2"/>
      <c r="Y200" s="262"/>
      <c r="Z200" s="12"/>
    </row>
    <row r="201" s="10" customFormat="true" ht="14.1" hidden="false" customHeight="true" outlineLevel="0" collapsed="false">
      <c r="A201" s="2"/>
      <c r="B201" s="2"/>
      <c r="C201" s="3"/>
      <c r="D201" s="3"/>
      <c r="E201" s="4"/>
      <c r="F201" s="3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8"/>
      <c r="U201" s="9"/>
      <c r="V201" s="2"/>
      <c r="Y201" s="262"/>
      <c r="Z201" s="12"/>
    </row>
    <row r="202" s="10" customFormat="true" ht="14.1" hidden="false" customHeight="true" outlineLevel="0" collapsed="false">
      <c r="A202" s="2"/>
      <c r="B202" s="2"/>
      <c r="C202" s="3"/>
      <c r="D202" s="3"/>
      <c r="E202" s="4"/>
      <c r="F202" s="3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8"/>
      <c r="U202" s="9"/>
      <c r="V202" s="2"/>
      <c r="Y202" s="262"/>
      <c r="Z202" s="12"/>
    </row>
    <row r="203" s="10" customFormat="true" ht="14.1" hidden="false" customHeight="true" outlineLevel="0" collapsed="false">
      <c r="A203" s="2"/>
      <c r="B203" s="2"/>
      <c r="C203" s="3"/>
      <c r="D203" s="3"/>
      <c r="E203" s="4"/>
      <c r="F203" s="3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8"/>
      <c r="U203" s="9"/>
      <c r="V203" s="2"/>
      <c r="Y203" s="262"/>
      <c r="Z203" s="12"/>
    </row>
    <row r="204" s="10" customFormat="true" ht="14.1" hidden="false" customHeight="true" outlineLevel="0" collapsed="false">
      <c r="A204" s="2"/>
      <c r="B204" s="2"/>
      <c r="C204" s="3"/>
      <c r="D204" s="3"/>
      <c r="E204" s="4"/>
      <c r="F204" s="3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8"/>
      <c r="U204" s="9"/>
      <c r="V204" s="2"/>
      <c r="Y204" s="262"/>
      <c r="Z204" s="12"/>
    </row>
    <row r="205" s="10" customFormat="true" ht="14.1" hidden="false" customHeight="true" outlineLevel="0" collapsed="false">
      <c r="A205" s="2"/>
      <c r="B205" s="2"/>
      <c r="C205" s="3"/>
      <c r="D205" s="3"/>
      <c r="E205" s="4"/>
      <c r="F205" s="3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8"/>
      <c r="U205" s="9"/>
      <c r="V205" s="2"/>
      <c r="Y205" s="262"/>
      <c r="Z205" s="12"/>
    </row>
    <row r="206" s="10" customFormat="true" ht="14.1" hidden="false" customHeight="true" outlineLevel="0" collapsed="false">
      <c r="A206" s="2"/>
      <c r="B206" s="2"/>
      <c r="C206" s="3"/>
      <c r="D206" s="3"/>
      <c r="E206" s="4"/>
      <c r="F206" s="3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8"/>
      <c r="U206" s="9"/>
      <c r="V206" s="2"/>
      <c r="Y206" s="262"/>
      <c r="Z206" s="12"/>
    </row>
    <row r="207" s="10" customFormat="true" ht="14.1" hidden="false" customHeight="true" outlineLevel="0" collapsed="false">
      <c r="A207" s="2"/>
      <c r="B207" s="2"/>
      <c r="C207" s="3"/>
      <c r="D207" s="3"/>
      <c r="E207" s="4"/>
      <c r="F207" s="3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8"/>
      <c r="U207" s="9"/>
      <c r="V207" s="2"/>
      <c r="Y207" s="262"/>
      <c r="Z207" s="12"/>
    </row>
    <row r="208" s="10" customFormat="true" ht="14.1" hidden="false" customHeight="true" outlineLevel="0" collapsed="false">
      <c r="A208" s="2"/>
      <c r="B208" s="2"/>
      <c r="C208" s="3"/>
      <c r="D208" s="3"/>
      <c r="E208" s="4"/>
      <c r="F208" s="3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8"/>
      <c r="U208" s="9"/>
      <c r="V208" s="2"/>
      <c r="Y208" s="262"/>
      <c r="Z208" s="12"/>
    </row>
    <row r="209" s="10" customFormat="true" ht="14.1" hidden="false" customHeight="true" outlineLevel="0" collapsed="false">
      <c r="A209" s="2"/>
      <c r="B209" s="2"/>
      <c r="C209" s="3"/>
      <c r="D209" s="3"/>
      <c r="E209" s="4"/>
      <c r="F209" s="3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8"/>
      <c r="U209" s="9"/>
      <c r="V209" s="2"/>
      <c r="Y209" s="262"/>
      <c r="Z209" s="12"/>
    </row>
    <row r="210" s="10" customFormat="true" ht="14.1" hidden="false" customHeight="true" outlineLevel="0" collapsed="false">
      <c r="A210" s="2"/>
      <c r="B210" s="2"/>
      <c r="C210" s="3"/>
      <c r="D210" s="3"/>
      <c r="E210" s="4"/>
      <c r="F210" s="3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8"/>
      <c r="U210" s="9"/>
      <c r="V210" s="2"/>
      <c r="Y210" s="262"/>
      <c r="Z210" s="12"/>
    </row>
    <row r="211" s="10" customFormat="true" ht="14.1" hidden="false" customHeight="true" outlineLevel="0" collapsed="false">
      <c r="A211" s="2"/>
      <c r="B211" s="2"/>
      <c r="C211" s="3"/>
      <c r="D211" s="3"/>
      <c r="E211" s="4"/>
      <c r="F211" s="3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8"/>
      <c r="U211" s="9"/>
      <c r="V211" s="2"/>
      <c r="Y211" s="262"/>
      <c r="Z211" s="12"/>
    </row>
    <row r="212" s="10" customFormat="true" ht="14.1" hidden="false" customHeight="true" outlineLevel="0" collapsed="false">
      <c r="A212" s="2"/>
      <c r="B212" s="2"/>
      <c r="C212" s="3"/>
      <c r="D212" s="3"/>
      <c r="E212" s="4"/>
      <c r="F212" s="3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8"/>
      <c r="U212" s="9"/>
      <c r="V212" s="2"/>
      <c r="Y212" s="262"/>
      <c r="Z212" s="12"/>
    </row>
    <row r="213" s="10" customFormat="true" ht="14.1" hidden="false" customHeight="true" outlineLevel="0" collapsed="false">
      <c r="A213" s="2"/>
      <c r="B213" s="2"/>
      <c r="C213" s="3"/>
      <c r="D213" s="3"/>
      <c r="E213" s="4"/>
      <c r="F213" s="3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8"/>
      <c r="U213" s="9"/>
      <c r="V213" s="2"/>
      <c r="Y213" s="262"/>
      <c r="Z213" s="12"/>
    </row>
    <row r="214" s="10" customFormat="true" ht="14.1" hidden="false" customHeight="true" outlineLevel="0" collapsed="false">
      <c r="A214" s="2"/>
      <c r="B214" s="2"/>
      <c r="C214" s="3"/>
      <c r="D214" s="3"/>
      <c r="E214" s="4"/>
      <c r="F214" s="3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8"/>
      <c r="U214" s="9"/>
      <c r="V214" s="2"/>
      <c r="Y214" s="262"/>
      <c r="Z214" s="12"/>
    </row>
    <row r="215" s="10" customFormat="true" ht="14.1" hidden="false" customHeight="true" outlineLevel="0" collapsed="false">
      <c r="A215" s="2"/>
      <c r="B215" s="2"/>
      <c r="C215" s="3"/>
      <c r="D215" s="3"/>
      <c r="E215" s="4"/>
      <c r="F215" s="3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8"/>
      <c r="U215" s="9"/>
      <c r="V215" s="2"/>
      <c r="Y215" s="262"/>
      <c r="Z215" s="12"/>
    </row>
    <row r="216" s="10" customFormat="true" ht="14.1" hidden="false" customHeight="true" outlineLevel="0" collapsed="false">
      <c r="A216" s="2"/>
      <c r="B216" s="2"/>
      <c r="C216" s="3"/>
      <c r="D216" s="3"/>
      <c r="E216" s="4"/>
      <c r="F216" s="3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8"/>
      <c r="U216" s="9"/>
      <c r="V216" s="2"/>
      <c r="Y216" s="262"/>
      <c r="Z216" s="12"/>
    </row>
    <row r="217" s="10" customFormat="true" ht="14.1" hidden="false" customHeight="true" outlineLevel="0" collapsed="false">
      <c r="A217" s="2"/>
      <c r="B217" s="2"/>
      <c r="C217" s="3"/>
      <c r="D217" s="3"/>
      <c r="E217" s="4"/>
      <c r="F217" s="3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8"/>
      <c r="U217" s="9"/>
      <c r="V217" s="2"/>
      <c r="Y217" s="262"/>
      <c r="Z217" s="12"/>
    </row>
    <row r="218" s="10" customFormat="true" ht="14.1" hidden="false" customHeight="true" outlineLevel="0" collapsed="false">
      <c r="A218" s="2"/>
      <c r="B218" s="2"/>
      <c r="C218" s="3"/>
      <c r="D218" s="3"/>
      <c r="E218" s="4"/>
      <c r="F218" s="3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8"/>
      <c r="U218" s="9"/>
      <c r="V218" s="2"/>
      <c r="Y218" s="262"/>
      <c r="Z218" s="12"/>
    </row>
    <row r="219" s="10" customFormat="true" ht="14.1" hidden="false" customHeight="true" outlineLevel="0" collapsed="false">
      <c r="A219" s="2"/>
      <c r="B219" s="2"/>
      <c r="C219" s="3"/>
      <c r="D219" s="3"/>
      <c r="E219" s="4"/>
      <c r="F219" s="3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8"/>
      <c r="U219" s="9"/>
      <c r="V219" s="2"/>
      <c r="Y219" s="262"/>
      <c r="Z219" s="12"/>
    </row>
    <row r="220" s="10" customFormat="true" ht="14.1" hidden="false" customHeight="true" outlineLevel="0" collapsed="false">
      <c r="A220" s="2"/>
      <c r="B220" s="2"/>
      <c r="C220" s="3"/>
      <c r="D220" s="3"/>
      <c r="E220" s="4"/>
      <c r="F220" s="3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8"/>
      <c r="U220" s="9"/>
      <c r="V220" s="2"/>
      <c r="Y220" s="262"/>
      <c r="Z220" s="12"/>
    </row>
    <row r="221" s="10" customFormat="true" ht="14.1" hidden="false" customHeight="true" outlineLevel="0" collapsed="false">
      <c r="A221" s="2"/>
      <c r="B221" s="2"/>
      <c r="C221" s="3"/>
      <c r="D221" s="3"/>
      <c r="E221" s="4"/>
      <c r="F221" s="3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8"/>
      <c r="U221" s="9"/>
      <c r="V221" s="2"/>
      <c r="Y221" s="262"/>
      <c r="Z221" s="12"/>
    </row>
    <row r="222" s="10" customFormat="true" ht="14.1" hidden="false" customHeight="true" outlineLevel="0" collapsed="false">
      <c r="A222" s="2"/>
      <c r="B222" s="2"/>
      <c r="C222" s="3"/>
      <c r="D222" s="3"/>
      <c r="E222" s="4"/>
      <c r="F222" s="3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8"/>
      <c r="U222" s="9"/>
      <c r="V222" s="2"/>
      <c r="Y222" s="262"/>
      <c r="Z222" s="12"/>
    </row>
    <row r="223" s="10" customFormat="true" ht="14.1" hidden="false" customHeight="true" outlineLevel="0" collapsed="false">
      <c r="A223" s="2"/>
      <c r="B223" s="2"/>
      <c r="C223" s="3"/>
      <c r="D223" s="3"/>
      <c r="E223" s="4"/>
      <c r="F223" s="3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8"/>
      <c r="U223" s="9"/>
      <c r="V223" s="2"/>
      <c r="Y223" s="262"/>
      <c r="Z223" s="12"/>
    </row>
    <row r="224" s="10" customFormat="true" ht="14.1" hidden="false" customHeight="true" outlineLevel="0" collapsed="false">
      <c r="A224" s="2"/>
      <c r="B224" s="2"/>
      <c r="C224" s="3"/>
      <c r="D224" s="3"/>
      <c r="E224" s="4"/>
      <c r="F224" s="3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8"/>
      <c r="U224" s="9"/>
      <c r="V224" s="2"/>
      <c r="Y224" s="262"/>
      <c r="Z224" s="12"/>
    </row>
    <row r="225" s="10" customFormat="true" ht="14.1" hidden="false" customHeight="true" outlineLevel="0" collapsed="false">
      <c r="A225" s="2"/>
      <c r="B225" s="2"/>
      <c r="C225" s="3"/>
      <c r="D225" s="3"/>
      <c r="E225" s="4"/>
      <c r="F225" s="3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8"/>
      <c r="U225" s="9"/>
      <c r="V225" s="2"/>
      <c r="Y225" s="262"/>
      <c r="Z225" s="12"/>
    </row>
    <row r="226" s="10" customFormat="true" ht="14.1" hidden="false" customHeight="true" outlineLevel="0" collapsed="false">
      <c r="A226" s="2"/>
      <c r="B226" s="2"/>
      <c r="C226" s="3"/>
      <c r="D226" s="3"/>
      <c r="E226" s="4"/>
      <c r="F226" s="3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8"/>
      <c r="U226" s="9"/>
      <c r="V226" s="2"/>
      <c r="Y226" s="262"/>
      <c r="Z226" s="12"/>
    </row>
    <row r="227" s="10" customFormat="true" ht="14.1" hidden="false" customHeight="true" outlineLevel="0" collapsed="false">
      <c r="A227" s="2"/>
      <c r="B227" s="2"/>
      <c r="C227" s="3"/>
      <c r="D227" s="3"/>
      <c r="E227" s="4"/>
      <c r="F227" s="3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8"/>
      <c r="U227" s="9"/>
      <c r="V227" s="2"/>
      <c r="Y227" s="262"/>
      <c r="Z227" s="12"/>
    </row>
    <row r="228" s="10" customFormat="true" ht="14.1" hidden="false" customHeight="true" outlineLevel="0" collapsed="false">
      <c r="A228" s="2"/>
      <c r="B228" s="2"/>
      <c r="C228" s="3"/>
      <c r="D228" s="3"/>
      <c r="E228" s="4"/>
      <c r="F228" s="3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8"/>
      <c r="U228" s="9"/>
      <c r="V228" s="2"/>
      <c r="Y228" s="262"/>
      <c r="Z228" s="12"/>
    </row>
    <row r="229" s="10" customFormat="true" ht="14.1" hidden="false" customHeight="true" outlineLevel="0" collapsed="false">
      <c r="A229" s="2"/>
      <c r="B229" s="2"/>
      <c r="C229" s="3"/>
      <c r="D229" s="3"/>
      <c r="E229" s="4"/>
      <c r="F229" s="3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8"/>
      <c r="U229" s="9"/>
      <c r="V229" s="2"/>
      <c r="Y229" s="262"/>
      <c r="Z229" s="12"/>
    </row>
    <row r="230" s="10" customFormat="true" ht="14.1" hidden="false" customHeight="true" outlineLevel="0" collapsed="false">
      <c r="A230" s="2"/>
      <c r="B230" s="2"/>
      <c r="C230" s="3"/>
      <c r="D230" s="3"/>
      <c r="E230" s="4"/>
      <c r="F230" s="3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8"/>
      <c r="U230" s="9"/>
      <c r="V230" s="2"/>
      <c r="Y230" s="262"/>
      <c r="Z230" s="12"/>
    </row>
    <row r="231" s="10" customFormat="true" ht="14.1" hidden="false" customHeight="true" outlineLevel="0" collapsed="false">
      <c r="A231" s="2"/>
      <c r="B231" s="2"/>
      <c r="C231" s="3"/>
      <c r="D231" s="3"/>
      <c r="E231" s="4"/>
      <c r="F231" s="3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8"/>
      <c r="U231" s="9"/>
      <c r="V231" s="2"/>
      <c r="Y231" s="262"/>
      <c r="Z231" s="12"/>
    </row>
    <row r="232" s="10" customFormat="true" ht="14.1" hidden="false" customHeight="true" outlineLevel="0" collapsed="false">
      <c r="A232" s="2"/>
      <c r="B232" s="2"/>
      <c r="C232" s="3"/>
      <c r="D232" s="3"/>
      <c r="E232" s="4"/>
      <c r="F232" s="3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8"/>
      <c r="U232" s="9"/>
      <c r="V232" s="2"/>
      <c r="Y232" s="262"/>
      <c r="Z232" s="12"/>
    </row>
    <row r="233" s="10" customFormat="true" ht="14.1" hidden="false" customHeight="true" outlineLevel="0" collapsed="false">
      <c r="A233" s="2"/>
      <c r="B233" s="2"/>
      <c r="C233" s="3"/>
      <c r="D233" s="3"/>
      <c r="E233" s="4"/>
      <c r="F233" s="3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8"/>
      <c r="U233" s="9"/>
      <c r="V233" s="2"/>
      <c r="Y233" s="262"/>
      <c r="Z233" s="12"/>
    </row>
    <row r="234" s="10" customFormat="true" ht="14.1" hidden="false" customHeight="true" outlineLevel="0" collapsed="false">
      <c r="A234" s="2"/>
      <c r="B234" s="2"/>
      <c r="C234" s="3"/>
      <c r="D234" s="3"/>
      <c r="E234" s="4"/>
      <c r="F234" s="3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8"/>
      <c r="U234" s="9"/>
      <c r="V234" s="2"/>
      <c r="Y234" s="262"/>
      <c r="Z234" s="12"/>
    </row>
    <row r="235" s="10" customFormat="true" ht="14.1" hidden="false" customHeight="true" outlineLevel="0" collapsed="false">
      <c r="A235" s="2"/>
      <c r="B235" s="2"/>
      <c r="C235" s="3"/>
      <c r="D235" s="3"/>
      <c r="E235" s="4"/>
      <c r="F235" s="3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8"/>
      <c r="U235" s="9"/>
      <c r="V235" s="2"/>
      <c r="Y235" s="262"/>
      <c r="Z235" s="12"/>
    </row>
    <row r="236" s="10" customFormat="true" ht="14.1" hidden="false" customHeight="true" outlineLevel="0" collapsed="false">
      <c r="A236" s="2"/>
      <c r="B236" s="2"/>
      <c r="C236" s="3"/>
      <c r="D236" s="3"/>
      <c r="E236" s="4"/>
      <c r="F236" s="3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8"/>
      <c r="U236" s="9"/>
      <c r="V236" s="2"/>
      <c r="Y236" s="262"/>
      <c r="Z236" s="12"/>
    </row>
    <row r="237" s="10" customFormat="true" ht="14.1" hidden="false" customHeight="true" outlineLevel="0" collapsed="false">
      <c r="A237" s="2"/>
      <c r="B237" s="2"/>
      <c r="C237" s="3"/>
      <c r="D237" s="3"/>
      <c r="E237" s="4"/>
      <c r="F237" s="3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8"/>
      <c r="U237" s="9"/>
      <c r="V237" s="2"/>
      <c r="Y237" s="262"/>
      <c r="Z237" s="12"/>
    </row>
    <row r="238" s="10" customFormat="true" ht="14.1" hidden="false" customHeight="true" outlineLevel="0" collapsed="false">
      <c r="A238" s="2"/>
      <c r="B238" s="2"/>
      <c r="C238" s="3"/>
      <c r="D238" s="3"/>
      <c r="E238" s="4"/>
      <c r="F238" s="3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8"/>
      <c r="U238" s="9"/>
      <c r="V238" s="2"/>
      <c r="Y238" s="262"/>
      <c r="Z238" s="12"/>
    </row>
    <row r="239" s="10" customFormat="true" ht="14.1" hidden="false" customHeight="true" outlineLevel="0" collapsed="false">
      <c r="A239" s="2"/>
      <c r="B239" s="2"/>
      <c r="C239" s="3"/>
      <c r="D239" s="3"/>
      <c r="E239" s="4"/>
      <c r="F239" s="3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8"/>
      <c r="U239" s="9"/>
      <c r="V239" s="2"/>
      <c r="Y239" s="262"/>
      <c r="Z239" s="12"/>
    </row>
    <row r="240" s="10" customFormat="true" ht="14.1" hidden="false" customHeight="true" outlineLevel="0" collapsed="false">
      <c r="A240" s="2"/>
      <c r="B240" s="2"/>
      <c r="C240" s="3"/>
      <c r="D240" s="3"/>
      <c r="E240" s="4"/>
      <c r="F240" s="3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8"/>
      <c r="U240" s="9"/>
      <c r="V240" s="2"/>
      <c r="Y240" s="262"/>
      <c r="Z240" s="12"/>
    </row>
    <row r="241" s="10" customFormat="true" ht="14.1" hidden="false" customHeight="true" outlineLevel="0" collapsed="false">
      <c r="A241" s="2"/>
      <c r="B241" s="2"/>
      <c r="C241" s="3"/>
      <c r="D241" s="3"/>
      <c r="E241" s="4"/>
      <c r="F241" s="3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8"/>
      <c r="U241" s="9"/>
      <c r="V241" s="2"/>
      <c r="Y241" s="262"/>
      <c r="Z241" s="12"/>
    </row>
    <row r="242" s="10" customFormat="true" ht="14.1" hidden="false" customHeight="true" outlineLevel="0" collapsed="false">
      <c r="A242" s="2"/>
      <c r="B242" s="2"/>
      <c r="C242" s="3"/>
      <c r="D242" s="3"/>
      <c r="E242" s="4"/>
      <c r="F242" s="3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8"/>
      <c r="U242" s="9"/>
      <c r="V242" s="2"/>
      <c r="Y242" s="262"/>
      <c r="Z242" s="12"/>
    </row>
    <row r="243" s="10" customFormat="true" ht="14.1" hidden="false" customHeight="true" outlineLevel="0" collapsed="false">
      <c r="A243" s="2"/>
      <c r="B243" s="2"/>
      <c r="C243" s="3"/>
      <c r="D243" s="3"/>
      <c r="E243" s="4"/>
      <c r="F243" s="3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8"/>
      <c r="U243" s="9"/>
      <c r="V243" s="2"/>
      <c r="Y243" s="262"/>
      <c r="Z243" s="12"/>
    </row>
    <row r="244" s="10" customFormat="true" ht="14.1" hidden="false" customHeight="true" outlineLevel="0" collapsed="false">
      <c r="A244" s="2"/>
      <c r="B244" s="2"/>
      <c r="C244" s="3"/>
      <c r="D244" s="3"/>
      <c r="E244" s="4"/>
      <c r="F244" s="3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8"/>
      <c r="U244" s="9"/>
      <c r="V244" s="2"/>
      <c r="Y244" s="262"/>
      <c r="Z244" s="12"/>
    </row>
    <row r="245" s="10" customFormat="true" ht="14.1" hidden="false" customHeight="true" outlineLevel="0" collapsed="false">
      <c r="A245" s="2"/>
      <c r="B245" s="2"/>
      <c r="C245" s="3"/>
      <c r="D245" s="3"/>
      <c r="E245" s="4"/>
      <c r="F245" s="3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8"/>
      <c r="U245" s="9"/>
      <c r="V245" s="2"/>
      <c r="Y245" s="262"/>
      <c r="Z245" s="12"/>
    </row>
    <row r="246" s="10" customFormat="true" ht="14.1" hidden="false" customHeight="true" outlineLevel="0" collapsed="false">
      <c r="A246" s="2"/>
      <c r="B246" s="2"/>
      <c r="C246" s="3"/>
      <c r="D246" s="3"/>
      <c r="E246" s="4"/>
      <c r="F246" s="3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8"/>
      <c r="U246" s="9"/>
      <c r="V246" s="2"/>
      <c r="Y246" s="262"/>
      <c r="Z246" s="12"/>
    </row>
    <row r="247" s="10" customFormat="true" ht="14.1" hidden="false" customHeight="true" outlineLevel="0" collapsed="false">
      <c r="A247" s="2"/>
      <c r="B247" s="2"/>
      <c r="C247" s="3"/>
      <c r="D247" s="3"/>
      <c r="E247" s="4"/>
      <c r="F247" s="3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8"/>
      <c r="U247" s="9"/>
      <c r="V247" s="2"/>
      <c r="Y247" s="262"/>
      <c r="Z247" s="12"/>
    </row>
    <row r="248" s="10" customFormat="true" ht="14.1" hidden="false" customHeight="true" outlineLevel="0" collapsed="false">
      <c r="A248" s="2"/>
      <c r="B248" s="2"/>
      <c r="C248" s="3"/>
      <c r="D248" s="3"/>
      <c r="E248" s="4"/>
      <c r="F248" s="3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8"/>
      <c r="U248" s="9"/>
      <c r="V248" s="2"/>
      <c r="Y248" s="262"/>
      <c r="Z248" s="12"/>
    </row>
    <row r="249" s="10" customFormat="true" ht="14.1" hidden="false" customHeight="true" outlineLevel="0" collapsed="false">
      <c r="A249" s="2"/>
      <c r="B249" s="2"/>
      <c r="C249" s="3"/>
      <c r="D249" s="3"/>
      <c r="E249" s="4"/>
      <c r="F249" s="3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8"/>
      <c r="U249" s="9"/>
      <c r="V249" s="2"/>
      <c r="Y249" s="262"/>
      <c r="Z249" s="12"/>
    </row>
    <row r="250" s="10" customFormat="true" ht="14.1" hidden="false" customHeight="true" outlineLevel="0" collapsed="false">
      <c r="A250" s="2"/>
      <c r="B250" s="2"/>
      <c r="C250" s="3"/>
      <c r="D250" s="3"/>
      <c r="E250" s="4"/>
      <c r="F250" s="3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8"/>
      <c r="U250" s="9"/>
      <c r="V250" s="2"/>
      <c r="Y250" s="262"/>
      <c r="Z250" s="12"/>
    </row>
    <row r="251" s="10" customFormat="true" ht="14.1" hidden="false" customHeight="true" outlineLevel="0" collapsed="false">
      <c r="A251" s="2"/>
      <c r="B251" s="2"/>
      <c r="C251" s="3"/>
      <c r="D251" s="3"/>
      <c r="E251" s="4"/>
      <c r="F251" s="3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8"/>
      <c r="U251" s="9"/>
      <c r="V251" s="2"/>
      <c r="Y251" s="262"/>
      <c r="Z251" s="12"/>
    </row>
    <row r="252" s="10" customFormat="true" ht="14.1" hidden="false" customHeight="true" outlineLevel="0" collapsed="false">
      <c r="A252" s="2"/>
      <c r="B252" s="2"/>
      <c r="C252" s="3"/>
      <c r="D252" s="3"/>
      <c r="E252" s="4"/>
      <c r="F252" s="3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8"/>
      <c r="U252" s="9"/>
      <c r="V252" s="2"/>
      <c r="Y252" s="262"/>
      <c r="Z252" s="12"/>
    </row>
    <row r="253" s="10" customFormat="true" ht="14.1" hidden="false" customHeight="true" outlineLevel="0" collapsed="false">
      <c r="A253" s="2"/>
      <c r="B253" s="2"/>
      <c r="C253" s="3"/>
      <c r="D253" s="3"/>
      <c r="E253" s="4"/>
      <c r="F253" s="3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8"/>
      <c r="U253" s="9"/>
      <c r="V253" s="2"/>
      <c r="Y253" s="262"/>
      <c r="Z253" s="12"/>
    </row>
    <row r="254" s="10" customFormat="true" ht="14.1" hidden="false" customHeight="true" outlineLevel="0" collapsed="false">
      <c r="A254" s="2"/>
      <c r="B254" s="2"/>
      <c r="C254" s="3"/>
      <c r="D254" s="3"/>
      <c r="E254" s="4"/>
      <c r="F254" s="3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8"/>
      <c r="U254" s="9"/>
      <c r="V254" s="2"/>
      <c r="Y254" s="262"/>
      <c r="Z254" s="12"/>
    </row>
    <row r="255" s="10" customFormat="true" ht="14.1" hidden="false" customHeight="true" outlineLevel="0" collapsed="false">
      <c r="A255" s="2"/>
      <c r="B255" s="2"/>
      <c r="C255" s="3"/>
      <c r="D255" s="3"/>
      <c r="E255" s="4"/>
      <c r="F255" s="3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8"/>
      <c r="U255" s="9"/>
      <c r="V255" s="2"/>
      <c r="Y255" s="262"/>
      <c r="Z255" s="12"/>
    </row>
    <row r="256" s="10" customFormat="true" ht="14.1" hidden="false" customHeight="true" outlineLevel="0" collapsed="false">
      <c r="A256" s="2"/>
      <c r="B256" s="2"/>
      <c r="C256" s="3"/>
      <c r="D256" s="3"/>
      <c r="E256" s="4"/>
      <c r="F256" s="3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8"/>
      <c r="U256" s="9"/>
      <c r="V256" s="2"/>
      <c r="Y256" s="262"/>
      <c r="Z256" s="12"/>
    </row>
    <row r="257" s="10" customFormat="true" ht="14.1" hidden="false" customHeight="true" outlineLevel="0" collapsed="false">
      <c r="A257" s="2"/>
      <c r="B257" s="2"/>
      <c r="C257" s="3"/>
      <c r="D257" s="3"/>
      <c r="E257" s="4"/>
      <c r="F257" s="3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8"/>
      <c r="U257" s="9"/>
      <c r="V257" s="2"/>
      <c r="Y257" s="262"/>
      <c r="Z257" s="12"/>
    </row>
    <row r="258" s="10" customFormat="true" ht="14.1" hidden="false" customHeight="true" outlineLevel="0" collapsed="false">
      <c r="A258" s="2"/>
      <c r="B258" s="2"/>
      <c r="C258" s="3"/>
      <c r="D258" s="3"/>
      <c r="E258" s="4"/>
      <c r="F258" s="3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8"/>
      <c r="U258" s="9"/>
      <c r="V258" s="2"/>
      <c r="Y258" s="262"/>
      <c r="Z258" s="12"/>
    </row>
    <row r="259" s="10" customFormat="true" ht="14.1" hidden="false" customHeight="true" outlineLevel="0" collapsed="false">
      <c r="A259" s="2"/>
      <c r="B259" s="2"/>
      <c r="C259" s="3"/>
      <c r="D259" s="3"/>
      <c r="E259" s="4"/>
      <c r="F259" s="3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8"/>
      <c r="U259" s="9"/>
      <c r="V259" s="2"/>
      <c r="Y259" s="262"/>
      <c r="Z259" s="12"/>
    </row>
    <row r="260" s="10" customFormat="true" ht="14.1" hidden="false" customHeight="true" outlineLevel="0" collapsed="false">
      <c r="A260" s="2"/>
      <c r="B260" s="2"/>
      <c r="C260" s="3"/>
      <c r="D260" s="3"/>
      <c r="E260" s="4"/>
      <c r="F260" s="3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8"/>
      <c r="U260" s="9"/>
      <c r="V260" s="2"/>
      <c r="Y260" s="262"/>
      <c r="Z260" s="12"/>
    </row>
    <row r="261" s="10" customFormat="true" ht="14.1" hidden="false" customHeight="true" outlineLevel="0" collapsed="false">
      <c r="A261" s="2"/>
      <c r="B261" s="2"/>
      <c r="C261" s="3"/>
      <c r="D261" s="3"/>
      <c r="E261" s="4"/>
      <c r="F261" s="3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8"/>
      <c r="U261" s="9"/>
      <c r="V261" s="2"/>
      <c r="Y261" s="262"/>
      <c r="Z261" s="12"/>
    </row>
    <row r="262" s="10" customFormat="true" ht="14.1" hidden="false" customHeight="true" outlineLevel="0" collapsed="false">
      <c r="A262" s="2"/>
      <c r="B262" s="2"/>
      <c r="C262" s="3"/>
      <c r="D262" s="3"/>
      <c r="E262" s="4"/>
      <c r="F262" s="3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8"/>
      <c r="U262" s="9"/>
      <c r="V262" s="2"/>
      <c r="Y262" s="262"/>
      <c r="Z262" s="12"/>
    </row>
    <row r="263" s="10" customFormat="true" ht="14.1" hidden="false" customHeight="true" outlineLevel="0" collapsed="false">
      <c r="A263" s="2"/>
      <c r="B263" s="2"/>
      <c r="C263" s="3"/>
      <c r="D263" s="3"/>
      <c r="E263" s="4"/>
      <c r="F263" s="3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8"/>
      <c r="U263" s="9"/>
      <c r="V263" s="2"/>
      <c r="Y263" s="262"/>
      <c r="Z263" s="12"/>
    </row>
    <row r="264" s="10" customFormat="true" ht="14.1" hidden="false" customHeight="true" outlineLevel="0" collapsed="false">
      <c r="A264" s="2"/>
      <c r="B264" s="2"/>
      <c r="C264" s="3"/>
      <c r="D264" s="3"/>
      <c r="E264" s="4"/>
      <c r="F264" s="3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8"/>
      <c r="U264" s="9"/>
      <c r="V264" s="2"/>
      <c r="Y264" s="262"/>
      <c r="Z264" s="12"/>
    </row>
    <row r="265" s="10" customFormat="true" ht="14.1" hidden="false" customHeight="true" outlineLevel="0" collapsed="false">
      <c r="A265" s="2"/>
      <c r="B265" s="2"/>
      <c r="C265" s="3"/>
      <c r="D265" s="3"/>
      <c r="E265" s="4"/>
      <c r="F265" s="3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8"/>
      <c r="U265" s="9"/>
      <c r="V265" s="2"/>
      <c r="Y265" s="262"/>
      <c r="Z265" s="12"/>
    </row>
    <row r="266" s="10" customFormat="true" ht="14.1" hidden="false" customHeight="true" outlineLevel="0" collapsed="false">
      <c r="A266" s="2"/>
      <c r="B266" s="2"/>
      <c r="C266" s="3"/>
      <c r="D266" s="3"/>
      <c r="E266" s="4"/>
      <c r="F266" s="3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8"/>
      <c r="U266" s="9"/>
      <c r="V266" s="2"/>
      <c r="Y266" s="262"/>
      <c r="Z266" s="12"/>
    </row>
    <row r="267" s="10" customFormat="true" ht="14.1" hidden="false" customHeight="true" outlineLevel="0" collapsed="false">
      <c r="A267" s="2"/>
      <c r="B267" s="2"/>
      <c r="C267" s="3"/>
      <c r="D267" s="3"/>
      <c r="E267" s="4"/>
      <c r="F267" s="3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8"/>
      <c r="U267" s="9"/>
      <c r="V267" s="2"/>
      <c r="Y267" s="262"/>
      <c r="Z267" s="12"/>
    </row>
    <row r="268" s="10" customFormat="true" ht="14.1" hidden="false" customHeight="true" outlineLevel="0" collapsed="false">
      <c r="A268" s="2"/>
      <c r="B268" s="2"/>
      <c r="C268" s="3"/>
      <c r="D268" s="3"/>
      <c r="E268" s="4"/>
      <c r="F268" s="3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8"/>
      <c r="U268" s="9"/>
      <c r="V268" s="2"/>
      <c r="Y268" s="262"/>
      <c r="Z268" s="12"/>
    </row>
    <row r="269" s="10" customFormat="true" ht="14.1" hidden="false" customHeight="true" outlineLevel="0" collapsed="false">
      <c r="A269" s="2"/>
      <c r="B269" s="2"/>
      <c r="C269" s="3"/>
      <c r="D269" s="3"/>
      <c r="E269" s="4"/>
      <c r="F269" s="3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8"/>
      <c r="U269" s="9"/>
      <c r="V269" s="2"/>
      <c r="Y269" s="262"/>
      <c r="Z269" s="12"/>
    </row>
    <row r="270" s="10" customFormat="true" ht="14.1" hidden="false" customHeight="true" outlineLevel="0" collapsed="false">
      <c r="A270" s="2"/>
      <c r="B270" s="2"/>
      <c r="C270" s="3"/>
      <c r="D270" s="3"/>
      <c r="E270" s="4"/>
      <c r="F270" s="3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8"/>
      <c r="U270" s="9"/>
      <c r="V270" s="2"/>
      <c r="Y270" s="262"/>
      <c r="Z270" s="12"/>
    </row>
    <row r="271" s="10" customFormat="true" ht="14.1" hidden="false" customHeight="true" outlineLevel="0" collapsed="false">
      <c r="A271" s="2"/>
      <c r="B271" s="2"/>
      <c r="C271" s="3"/>
      <c r="D271" s="3"/>
      <c r="E271" s="4"/>
      <c r="F271" s="3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8"/>
      <c r="U271" s="9"/>
      <c r="V271" s="2"/>
      <c r="Y271" s="262"/>
      <c r="Z271" s="12"/>
    </row>
    <row r="272" s="10" customFormat="true" ht="14.1" hidden="false" customHeight="true" outlineLevel="0" collapsed="false">
      <c r="A272" s="2"/>
      <c r="B272" s="2"/>
      <c r="C272" s="3"/>
      <c r="D272" s="3"/>
      <c r="E272" s="4"/>
      <c r="F272" s="3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8"/>
      <c r="U272" s="9"/>
      <c r="V272" s="2"/>
      <c r="Y272" s="262"/>
      <c r="Z272" s="12"/>
    </row>
    <row r="273" s="10" customFormat="true" ht="14.1" hidden="false" customHeight="true" outlineLevel="0" collapsed="false">
      <c r="A273" s="2"/>
      <c r="B273" s="2"/>
      <c r="C273" s="3"/>
      <c r="D273" s="3"/>
      <c r="E273" s="4"/>
      <c r="F273" s="3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8"/>
      <c r="U273" s="9"/>
      <c r="V273" s="2"/>
      <c r="Y273" s="262"/>
      <c r="Z273" s="12"/>
    </row>
    <row r="274" s="10" customFormat="true" ht="14.1" hidden="false" customHeight="true" outlineLevel="0" collapsed="false">
      <c r="A274" s="2"/>
      <c r="B274" s="2"/>
      <c r="C274" s="3"/>
      <c r="D274" s="3"/>
      <c r="E274" s="4"/>
      <c r="F274" s="3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8"/>
      <c r="U274" s="9"/>
      <c r="V274" s="2"/>
      <c r="Y274" s="262"/>
      <c r="Z274" s="12"/>
    </row>
    <row r="275" s="10" customFormat="true" ht="14.1" hidden="false" customHeight="true" outlineLevel="0" collapsed="false">
      <c r="A275" s="2"/>
      <c r="B275" s="2"/>
      <c r="C275" s="3"/>
      <c r="D275" s="3"/>
      <c r="E275" s="4"/>
      <c r="F275" s="3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8"/>
      <c r="U275" s="9"/>
      <c r="V275" s="2"/>
      <c r="Y275" s="262"/>
      <c r="Z275" s="12"/>
    </row>
    <row r="276" s="10" customFormat="true" ht="14.1" hidden="false" customHeight="true" outlineLevel="0" collapsed="false">
      <c r="A276" s="2"/>
      <c r="B276" s="2"/>
      <c r="C276" s="3"/>
      <c r="D276" s="3"/>
      <c r="E276" s="4"/>
      <c r="F276" s="3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8"/>
      <c r="U276" s="9"/>
      <c r="V276" s="2"/>
      <c r="Y276" s="262"/>
      <c r="Z276" s="12"/>
    </row>
    <row r="277" s="10" customFormat="true" ht="14.1" hidden="false" customHeight="true" outlineLevel="0" collapsed="false">
      <c r="A277" s="2"/>
      <c r="B277" s="2"/>
      <c r="C277" s="3"/>
      <c r="D277" s="3"/>
      <c r="E277" s="4"/>
      <c r="F277" s="3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8"/>
      <c r="U277" s="9"/>
      <c r="V277" s="2"/>
      <c r="Y277" s="262"/>
      <c r="Z277" s="12"/>
    </row>
    <row r="278" s="10" customFormat="true" ht="14.1" hidden="false" customHeight="true" outlineLevel="0" collapsed="false">
      <c r="A278" s="2"/>
      <c r="B278" s="2"/>
      <c r="C278" s="3"/>
      <c r="D278" s="3"/>
      <c r="E278" s="4"/>
      <c r="F278" s="3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8"/>
      <c r="U278" s="9"/>
      <c r="V278" s="2"/>
      <c r="Y278" s="262"/>
      <c r="Z278" s="12"/>
    </row>
    <row r="279" s="10" customFormat="true" ht="14.1" hidden="false" customHeight="true" outlineLevel="0" collapsed="false">
      <c r="A279" s="2"/>
      <c r="B279" s="2"/>
      <c r="C279" s="3"/>
      <c r="D279" s="3"/>
      <c r="E279" s="4"/>
      <c r="F279" s="3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8"/>
      <c r="U279" s="9"/>
      <c r="V279" s="2"/>
      <c r="Y279" s="262"/>
      <c r="Z279" s="12"/>
    </row>
    <row r="280" s="10" customFormat="true" ht="14.1" hidden="false" customHeight="true" outlineLevel="0" collapsed="false">
      <c r="A280" s="2"/>
      <c r="B280" s="2"/>
      <c r="C280" s="3"/>
      <c r="D280" s="3"/>
      <c r="E280" s="4"/>
      <c r="F280" s="3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8"/>
      <c r="U280" s="9"/>
      <c r="V280" s="2"/>
      <c r="Y280" s="262"/>
      <c r="Z280" s="12"/>
    </row>
    <row r="281" s="10" customFormat="true" ht="14.1" hidden="false" customHeight="true" outlineLevel="0" collapsed="false">
      <c r="A281" s="2"/>
      <c r="B281" s="2"/>
      <c r="C281" s="3"/>
      <c r="D281" s="3"/>
      <c r="E281" s="4"/>
      <c r="F281" s="3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8"/>
      <c r="U281" s="9"/>
      <c r="V281" s="2"/>
      <c r="Y281" s="262"/>
      <c r="Z281" s="12"/>
    </row>
    <row r="282" s="10" customFormat="true" ht="14.1" hidden="false" customHeight="true" outlineLevel="0" collapsed="false">
      <c r="A282" s="2"/>
      <c r="B282" s="2"/>
      <c r="C282" s="3"/>
      <c r="D282" s="3"/>
      <c r="E282" s="4"/>
      <c r="F282" s="3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8"/>
      <c r="U282" s="9"/>
      <c r="V282" s="2"/>
      <c r="Y282" s="262"/>
      <c r="Z282" s="12"/>
    </row>
    <row r="283" s="10" customFormat="true" ht="14.1" hidden="false" customHeight="true" outlineLevel="0" collapsed="false">
      <c r="A283" s="2"/>
      <c r="B283" s="2"/>
      <c r="C283" s="3"/>
      <c r="D283" s="3"/>
      <c r="E283" s="4"/>
      <c r="F283" s="3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8"/>
      <c r="U283" s="9"/>
      <c r="V283" s="2"/>
      <c r="Y283" s="262"/>
      <c r="Z283" s="12"/>
    </row>
    <row r="284" s="10" customFormat="true" ht="14.1" hidden="false" customHeight="true" outlineLevel="0" collapsed="false">
      <c r="A284" s="2"/>
      <c r="B284" s="2"/>
      <c r="C284" s="3"/>
      <c r="D284" s="3"/>
      <c r="E284" s="4"/>
      <c r="F284" s="3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8"/>
      <c r="U284" s="9"/>
      <c r="V284" s="2"/>
      <c r="Y284" s="262"/>
      <c r="Z284" s="12"/>
    </row>
    <row r="285" s="10" customFormat="true" ht="14.1" hidden="false" customHeight="true" outlineLevel="0" collapsed="false">
      <c r="A285" s="2"/>
      <c r="B285" s="2"/>
      <c r="C285" s="3"/>
      <c r="D285" s="3"/>
      <c r="E285" s="4"/>
      <c r="F285" s="3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8"/>
      <c r="U285" s="9"/>
      <c r="V285" s="2"/>
      <c r="Y285" s="262"/>
      <c r="Z285" s="12"/>
    </row>
    <row r="286" s="10" customFormat="true" ht="14.1" hidden="false" customHeight="true" outlineLevel="0" collapsed="false">
      <c r="A286" s="2"/>
      <c r="B286" s="2"/>
      <c r="C286" s="3"/>
      <c r="D286" s="3"/>
      <c r="E286" s="4"/>
      <c r="F286" s="3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8"/>
      <c r="U286" s="9"/>
      <c r="V286" s="2"/>
      <c r="Y286" s="262"/>
      <c r="Z286" s="12"/>
    </row>
    <row r="287" s="10" customFormat="true" ht="14.1" hidden="false" customHeight="true" outlineLevel="0" collapsed="false">
      <c r="A287" s="2"/>
      <c r="B287" s="2"/>
      <c r="C287" s="3"/>
      <c r="D287" s="3"/>
      <c r="E287" s="4"/>
      <c r="F287" s="3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8"/>
      <c r="U287" s="9"/>
      <c r="V287" s="2"/>
      <c r="Y287" s="262"/>
      <c r="Z287" s="12"/>
    </row>
    <row r="288" s="10" customFormat="true" ht="14.1" hidden="false" customHeight="true" outlineLevel="0" collapsed="false">
      <c r="A288" s="2"/>
      <c r="B288" s="2"/>
      <c r="C288" s="3"/>
      <c r="D288" s="3"/>
      <c r="E288" s="4"/>
      <c r="F288" s="3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8"/>
      <c r="U288" s="9"/>
      <c r="V288" s="2"/>
      <c r="Y288" s="262"/>
      <c r="Z288" s="12"/>
    </row>
    <row r="289" s="10" customFormat="true" ht="14.1" hidden="false" customHeight="true" outlineLevel="0" collapsed="false">
      <c r="A289" s="2"/>
      <c r="B289" s="2"/>
      <c r="C289" s="3"/>
      <c r="D289" s="3"/>
      <c r="E289" s="4"/>
      <c r="F289" s="3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8"/>
      <c r="U289" s="9"/>
      <c r="V289" s="2"/>
      <c r="Y289" s="262"/>
      <c r="Z289" s="12"/>
    </row>
    <row r="290" s="10" customFormat="true" ht="14.1" hidden="false" customHeight="true" outlineLevel="0" collapsed="false">
      <c r="A290" s="2"/>
      <c r="B290" s="2"/>
      <c r="C290" s="3"/>
      <c r="D290" s="3"/>
      <c r="E290" s="4"/>
      <c r="F290" s="3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8"/>
      <c r="U290" s="9"/>
      <c r="V290" s="2"/>
      <c r="Y290" s="262"/>
      <c r="Z290" s="12"/>
    </row>
    <row r="291" s="10" customFormat="true" ht="14.1" hidden="false" customHeight="true" outlineLevel="0" collapsed="false">
      <c r="A291" s="2"/>
      <c r="B291" s="2"/>
      <c r="C291" s="3"/>
      <c r="D291" s="3"/>
      <c r="E291" s="4"/>
      <c r="F291" s="3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8"/>
      <c r="U291" s="9"/>
      <c r="V291" s="2"/>
      <c r="Y291" s="262"/>
      <c r="Z291" s="12"/>
    </row>
    <row r="292" s="10" customFormat="true" ht="14.1" hidden="false" customHeight="true" outlineLevel="0" collapsed="false">
      <c r="A292" s="2"/>
      <c r="B292" s="2"/>
      <c r="C292" s="3"/>
      <c r="D292" s="3"/>
      <c r="E292" s="4"/>
      <c r="F292" s="3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8"/>
      <c r="U292" s="9"/>
      <c r="V292" s="2"/>
      <c r="Y292" s="262"/>
      <c r="Z292" s="12"/>
    </row>
    <row r="293" s="10" customFormat="true" ht="14.1" hidden="false" customHeight="true" outlineLevel="0" collapsed="false">
      <c r="A293" s="2"/>
      <c r="B293" s="2"/>
      <c r="C293" s="3"/>
      <c r="D293" s="3"/>
      <c r="E293" s="4"/>
      <c r="F293" s="3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8"/>
      <c r="U293" s="9"/>
      <c r="V293" s="2"/>
      <c r="Y293" s="262"/>
      <c r="Z293" s="12"/>
    </row>
    <row r="294" s="10" customFormat="true" ht="14.1" hidden="false" customHeight="true" outlineLevel="0" collapsed="false">
      <c r="A294" s="2"/>
      <c r="B294" s="2"/>
      <c r="C294" s="3"/>
      <c r="D294" s="3"/>
      <c r="E294" s="4"/>
      <c r="F294" s="3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8"/>
      <c r="U294" s="9"/>
      <c r="V294" s="2"/>
      <c r="Y294" s="262"/>
      <c r="Z294" s="12"/>
    </row>
    <row r="295" s="10" customFormat="true" ht="14.1" hidden="false" customHeight="true" outlineLevel="0" collapsed="false">
      <c r="A295" s="2"/>
      <c r="B295" s="2"/>
      <c r="C295" s="3"/>
      <c r="D295" s="3"/>
      <c r="E295" s="4"/>
      <c r="F295" s="3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8"/>
      <c r="U295" s="9"/>
      <c r="V295" s="2"/>
      <c r="Y295" s="262"/>
      <c r="Z295" s="12"/>
    </row>
    <row r="296" s="10" customFormat="true" ht="14.1" hidden="false" customHeight="true" outlineLevel="0" collapsed="false">
      <c r="A296" s="2"/>
      <c r="B296" s="2"/>
      <c r="C296" s="3"/>
      <c r="D296" s="3"/>
      <c r="E296" s="4"/>
      <c r="F296" s="3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8"/>
      <c r="U296" s="9"/>
      <c r="V296" s="2"/>
      <c r="Y296" s="262"/>
      <c r="Z296" s="12"/>
    </row>
    <row r="297" s="10" customFormat="true" ht="14.1" hidden="false" customHeight="true" outlineLevel="0" collapsed="false">
      <c r="A297" s="2"/>
      <c r="B297" s="2"/>
      <c r="C297" s="3"/>
      <c r="D297" s="3"/>
      <c r="E297" s="4"/>
      <c r="F297" s="3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8"/>
      <c r="U297" s="9"/>
      <c r="V297" s="2"/>
      <c r="Y297" s="262"/>
      <c r="Z297" s="12"/>
    </row>
    <row r="298" s="10" customFormat="true" ht="14.1" hidden="false" customHeight="true" outlineLevel="0" collapsed="false">
      <c r="A298" s="2"/>
      <c r="B298" s="2"/>
      <c r="C298" s="3"/>
      <c r="D298" s="3"/>
      <c r="E298" s="4"/>
      <c r="F298" s="3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8"/>
      <c r="U298" s="9"/>
      <c r="V298" s="2"/>
      <c r="Y298" s="262"/>
      <c r="Z298" s="12"/>
    </row>
    <row r="299" s="10" customFormat="true" ht="14.1" hidden="false" customHeight="true" outlineLevel="0" collapsed="false">
      <c r="A299" s="2"/>
      <c r="B299" s="2"/>
      <c r="C299" s="3"/>
      <c r="D299" s="3"/>
      <c r="E299" s="4"/>
      <c r="F299" s="3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8"/>
      <c r="U299" s="9"/>
      <c r="V299" s="2"/>
      <c r="Y299" s="262"/>
      <c r="Z299" s="12"/>
    </row>
    <row r="300" s="10" customFormat="true" ht="14.1" hidden="false" customHeight="true" outlineLevel="0" collapsed="false">
      <c r="A300" s="2"/>
      <c r="B300" s="2"/>
      <c r="C300" s="263"/>
      <c r="D300" s="3"/>
      <c r="E300" s="4"/>
      <c r="F300" s="3"/>
      <c r="G300" s="5"/>
      <c r="H300" s="7"/>
      <c r="I300" s="7"/>
      <c r="J300" s="7"/>
      <c r="K300" s="267"/>
      <c r="L300" s="7"/>
      <c r="M300" s="7"/>
      <c r="N300" s="7"/>
      <c r="O300" s="7"/>
      <c r="P300" s="7"/>
      <c r="Q300" s="7"/>
      <c r="R300" s="7"/>
      <c r="S300" s="8"/>
      <c r="T300" s="8"/>
      <c r="V300" s="264"/>
      <c r="W300" s="265"/>
      <c r="X300" s="265"/>
      <c r="Y300" s="266"/>
      <c r="Z300" s="2"/>
    </row>
    <row r="301" s="260" customFormat="true" ht="26.25" hidden="false" customHeight="true" outlineLevel="0" collapsed="false">
      <c r="A301" s="268"/>
      <c r="B301" s="269"/>
      <c r="C301" s="269"/>
      <c r="D301" s="10"/>
      <c r="E301" s="10"/>
      <c r="F301" s="262"/>
      <c r="G301" s="10"/>
      <c r="H301" s="267"/>
      <c r="I301" s="267"/>
      <c r="J301" s="267"/>
      <c r="K301" s="7"/>
      <c r="L301" s="267"/>
      <c r="M301" s="267"/>
      <c r="N301" s="267"/>
      <c r="O301" s="267"/>
      <c r="P301" s="267"/>
      <c r="Q301" s="267"/>
      <c r="R301" s="267"/>
      <c r="S301" s="267"/>
      <c r="T301" s="267"/>
      <c r="U301" s="267"/>
      <c r="V301" s="139"/>
      <c r="W301" s="11"/>
      <c r="X301" s="11"/>
      <c r="Y301" s="3"/>
      <c r="Z301" s="2"/>
    </row>
    <row r="302" customFormat="false" ht="15" hidden="false" customHeight="true" outlineLevel="0" collapsed="false">
      <c r="V302" s="270"/>
      <c r="W302" s="2"/>
      <c r="X302" s="2"/>
    </row>
    <row r="310" s="2" customFormat="true" ht="9.75" hidden="false" customHeight="true" outlineLevel="0" collapsed="false">
      <c r="F310" s="3"/>
    </row>
    <row r="311" s="2" customFormat="true" ht="10.5" hidden="false" customHeight="true" outlineLevel="0" collapsed="false">
      <c r="F311" s="136"/>
    </row>
    <row r="312" s="2" customFormat="true" ht="9.75" hidden="false" customHeight="true" outlineLevel="0" collapsed="false">
      <c r="F312" s="3"/>
    </row>
    <row r="313" customFormat="false" ht="15" hidden="false" customHeight="true" outlineLevel="0" collapsed="false"/>
    <row r="322" customFormat="false" ht="10.5" hidden="false" customHeight="true" outlineLevel="0" collapsed="false"/>
    <row r="325" s="2" customFormat="true" ht="9.75" hidden="false" customHeight="true" outlineLevel="0" collapsed="false">
      <c r="J325" s="4"/>
    </row>
  </sheetData>
  <printOptions headings="false" gridLines="true" gridLinesSet="true" horizontalCentered="false" verticalCentered="false"/>
  <pageMargins left="0.2" right="0.209722222222222" top="0.170138888888889" bottom="0.170138888888889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37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1" topLeftCell="A84" activePane="bottomLeft" state="frozen"/>
      <selection pane="topLeft" activeCell="A1" activeCellId="0" sqref="A1"/>
      <selection pane="bottomLeft" activeCell="I107" activeCellId="0" sqref="I107"/>
    </sheetView>
  </sheetViews>
  <sheetFormatPr defaultColWidth="6.8671875" defaultRowHeight="14.25" zeroHeight="false" outlineLevelRow="0" outlineLevelCol="0"/>
  <cols>
    <col collapsed="false" customWidth="true" hidden="false" outlineLevel="0" max="1" min="1" style="2" width="4.43"/>
    <col collapsed="false" customWidth="true" hidden="false" outlineLevel="0" max="2" min="2" style="2" width="18.29"/>
    <col collapsed="false" customWidth="true" hidden="false" outlineLevel="0" max="3" min="3" style="2" width="10.85"/>
    <col collapsed="false" customWidth="true" hidden="false" outlineLevel="0" max="4" min="4" style="135" width="9.14"/>
    <col collapsed="false" customWidth="true" hidden="false" outlineLevel="0" max="5" min="5" style="4" width="5.01"/>
    <col collapsed="false" customWidth="true" hidden="false" outlineLevel="0" max="6" min="6" style="136" width="10.29"/>
    <col collapsed="false" customWidth="true" hidden="false" outlineLevel="0" max="7" min="7" style="137" width="5.57"/>
    <col collapsed="false" customWidth="true" hidden="false" outlineLevel="0" max="8" min="8" style="7" width="6.71"/>
    <col collapsed="false" customWidth="true" hidden="false" outlineLevel="0" max="9" min="9" style="7" width="5.14"/>
    <col collapsed="false" customWidth="true" hidden="false" outlineLevel="0" max="10" min="10" style="7" width="5.57"/>
    <col collapsed="false" customWidth="true" hidden="false" outlineLevel="0" max="11" min="11" style="7" width="5.14"/>
    <col collapsed="false" customWidth="true" hidden="false" outlineLevel="0" max="12" min="12" style="7" width="4.86"/>
    <col collapsed="false" customWidth="true" hidden="false" outlineLevel="0" max="13" min="13" style="7" width="6.15"/>
    <col collapsed="false" customWidth="true" hidden="false" outlineLevel="0" max="14" min="14" style="7" width="5.43"/>
    <col collapsed="false" customWidth="true" hidden="false" outlineLevel="0" max="15" min="15" style="7" width="6.28"/>
    <col collapsed="false" customWidth="true" hidden="false" outlineLevel="0" max="16" min="16" style="7" width="6.71"/>
    <col collapsed="false" customWidth="true" hidden="false" outlineLevel="0" max="17" min="17" style="8" width="5.7"/>
    <col collapsed="false" customWidth="true" hidden="false" outlineLevel="0" max="18" min="18" style="2" width="7"/>
    <col collapsed="false" customWidth="true" hidden="false" outlineLevel="0" max="19" min="19" style="10" width="7"/>
    <col collapsed="false" customWidth="true" hidden="false" outlineLevel="0" max="20" min="20" style="138" width="6.28"/>
    <col collapsed="false" customWidth="true" hidden="false" outlineLevel="0" max="21" min="21" style="139" width="9.14"/>
    <col collapsed="false" customWidth="true" hidden="false" outlineLevel="0" max="22" min="22" style="11" width="9"/>
    <col collapsed="false" customWidth="true" hidden="false" outlineLevel="0" max="23" min="23" style="10" width="6.71"/>
    <col collapsed="false" customWidth="true" hidden="false" outlineLevel="0" max="24" min="24" style="10" width="3.57"/>
    <col collapsed="false" customWidth="true" hidden="false" outlineLevel="0" max="25" min="25" style="3" width="7.57"/>
    <col collapsed="false" customWidth="true" hidden="false" outlineLevel="0" max="26" min="26" style="2" width="8.57"/>
    <col collapsed="false" customWidth="true" hidden="false" outlineLevel="0" max="27" min="27" style="2" width="7.42"/>
    <col collapsed="false" customWidth="false" hidden="false" outlineLevel="0" max="1024" min="28" style="2" width="6.86"/>
  </cols>
  <sheetData>
    <row r="1" customFormat="false" ht="18.75" hidden="false" customHeight="true" outlineLevel="0" collapsed="false">
      <c r="A1" s="140"/>
      <c r="B1" s="141" t="n">
        <v>45110</v>
      </c>
      <c r="C1" s="142"/>
      <c r="D1" s="143"/>
      <c r="E1" s="144" t="s">
        <v>55</v>
      </c>
      <c r="F1" s="145"/>
      <c r="G1" s="145"/>
      <c r="H1" s="146" t="s">
        <v>56</v>
      </c>
      <c r="I1" s="147"/>
      <c r="K1" s="148" t="s">
        <v>57</v>
      </c>
      <c r="L1" s="148"/>
      <c r="M1" s="149"/>
      <c r="N1" s="148"/>
      <c r="O1" s="150" t="s">
        <v>58</v>
      </c>
      <c r="P1" s="151"/>
      <c r="Q1" s="152"/>
      <c r="R1" s="153"/>
      <c r="S1" s="154"/>
      <c r="T1" s="155"/>
      <c r="U1" s="156"/>
      <c r="V1" s="157"/>
      <c r="W1" s="11"/>
      <c r="X1" s="11"/>
    </row>
    <row r="2" s="10" customFormat="true" ht="12.75" hidden="false" customHeight="true" outlineLevel="0" collapsed="false">
      <c r="A2" s="29" t="s">
        <v>59</v>
      </c>
      <c r="B2" s="158" t="s">
        <v>1</v>
      </c>
      <c r="C2" s="158"/>
      <c r="D2" s="159" t="s">
        <v>3</v>
      </c>
      <c r="E2" s="160" t="s">
        <v>60</v>
      </c>
      <c r="F2" s="161" t="s">
        <v>5</v>
      </c>
      <c r="G2" s="162" t="s">
        <v>61</v>
      </c>
      <c r="H2" s="163" t="s">
        <v>62</v>
      </c>
      <c r="I2" s="163" t="s">
        <v>63</v>
      </c>
      <c r="J2" s="163" t="s">
        <v>64</v>
      </c>
      <c r="K2" s="163" t="s">
        <v>65</v>
      </c>
      <c r="L2" s="128" t="s">
        <v>12</v>
      </c>
      <c r="M2" s="164" t="s">
        <v>66</v>
      </c>
      <c r="N2" s="128" t="s">
        <v>67</v>
      </c>
      <c r="O2" s="163" t="s">
        <v>68</v>
      </c>
      <c r="P2" s="163" t="s">
        <v>69</v>
      </c>
      <c r="Q2" s="128" t="s">
        <v>70</v>
      </c>
      <c r="R2" s="163" t="s">
        <v>71</v>
      </c>
      <c r="S2" s="163" t="s">
        <v>19</v>
      </c>
      <c r="T2" s="165" t="s">
        <v>20</v>
      </c>
      <c r="U2" s="158" t="s">
        <v>21</v>
      </c>
      <c r="V2" s="139"/>
      <c r="W2" s="166"/>
      <c r="X2" s="166"/>
      <c r="Y2" s="167"/>
      <c r="Z2" s="2"/>
    </row>
    <row r="3" customFormat="false" ht="4.5" hidden="false" customHeight="true" outlineLevel="0" collapsed="false">
      <c r="D3" s="2"/>
      <c r="F3" s="3"/>
      <c r="G3" s="5"/>
      <c r="I3" s="93"/>
      <c r="M3" s="107"/>
      <c r="Q3" s="7"/>
      <c r="R3" s="7"/>
      <c r="S3" s="7"/>
      <c r="T3" s="8"/>
      <c r="U3" s="9"/>
      <c r="V3" s="109"/>
      <c r="W3" s="168"/>
      <c r="X3" s="168"/>
      <c r="Y3" s="169"/>
      <c r="Z3" s="170"/>
    </row>
    <row r="4" s="10" customFormat="true" ht="14.1" hidden="false" customHeight="true" outlineLevel="0" collapsed="false">
      <c r="A4" s="220" t="s">
        <v>26</v>
      </c>
      <c r="B4" s="221" t="s">
        <v>95</v>
      </c>
      <c r="C4" s="222"/>
      <c r="D4" s="223" t="n">
        <v>4243107</v>
      </c>
      <c r="E4" s="224" t="n">
        <v>45040</v>
      </c>
      <c r="F4" s="225" t="s">
        <v>53</v>
      </c>
      <c r="G4" s="226" t="n">
        <v>45041</v>
      </c>
      <c r="H4" s="227"/>
      <c r="I4" s="228"/>
      <c r="J4" s="228"/>
      <c r="K4" s="228"/>
      <c r="L4" s="228"/>
      <c r="M4" s="227"/>
      <c r="N4" s="228"/>
      <c r="O4" s="227"/>
      <c r="P4" s="229"/>
      <c r="Q4" s="230"/>
      <c r="R4" s="227" t="n">
        <v>317</v>
      </c>
      <c r="S4" s="230" t="n">
        <v>62.5</v>
      </c>
      <c r="T4" s="231" t="n">
        <v>26.15</v>
      </c>
      <c r="U4" s="232" t="n">
        <f aca="false">SUM(H4:T4)</f>
        <v>405.65</v>
      </c>
      <c r="V4" s="233" t="s">
        <v>54</v>
      </c>
      <c r="W4" s="234" t="s">
        <v>74</v>
      </c>
      <c r="X4" s="110" t="s">
        <v>37</v>
      </c>
      <c r="Y4" s="186"/>
      <c r="Z4" s="51"/>
    </row>
    <row r="5" s="10" customFormat="true" ht="14.1" hidden="false" customHeight="true" outlineLevel="0" collapsed="false">
      <c r="A5" s="236" t="s">
        <v>26</v>
      </c>
      <c r="B5" s="237" t="s">
        <v>116</v>
      </c>
      <c r="C5" s="238"/>
      <c r="D5" s="239" t="n">
        <v>5083105</v>
      </c>
      <c r="E5" s="240" t="n">
        <v>45054</v>
      </c>
      <c r="F5" s="241" t="s">
        <v>53</v>
      </c>
      <c r="G5" s="242" t="n">
        <v>45055</v>
      </c>
      <c r="H5" s="243"/>
      <c r="I5" s="244"/>
      <c r="J5" s="244"/>
      <c r="K5" s="244"/>
      <c r="L5" s="244"/>
      <c r="M5" s="243"/>
      <c r="N5" s="244"/>
      <c r="O5" s="243"/>
      <c r="P5" s="245"/>
      <c r="Q5" s="246"/>
      <c r="R5" s="243" t="n">
        <v>130</v>
      </c>
      <c r="S5" s="246" t="n">
        <v>25</v>
      </c>
      <c r="T5" s="247" t="n">
        <v>10.73</v>
      </c>
      <c r="U5" s="248" t="n">
        <f aca="false">SUM(H5:T5)</f>
        <v>165.73</v>
      </c>
      <c r="V5" s="249" t="s">
        <v>54</v>
      </c>
      <c r="W5" s="250" t="s">
        <v>74</v>
      </c>
      <c r="X5" s="110" t="s">
        <v>37</v>
      </c>
      <c r="Y5" s="186"/>
      <c r="Z5" s="51"/>
    </row>
    <row r="6" s="10" customFormat="true" ht="14.1" hidden="false" customHeight="true" outlineLevel="0" collapsed="false">
      <c r="A6" s="187" t="s">
        <v>26</v>
      </c>
      <c r="B6" s="172" t="s">
        <v>81</v>
      </c>
      <c r="C6" s="173"/>
      <c r="D6" s="174" t="n">
        <v>3303101</v>
      </c>
      <c r="E6" s="175" t="n">
        <v>45015</v>
      </c>
      <c r="F6" s="176" t="s">
        <v>53</v>
      </c>
      <c r="G6" s="177" t="n">
        <v>45015</v>
      </c>
      <c r="H6" s="178"/>
      <c r="I6" s="179"/>
      <c r="J6" s="179"/>
      <c r="K6" s="179"/>
      <c r="L6" s="179"/>
      <c r="M6" s="178"/>
      <c r="N6" s="179"/>
      <c r="O6" s="178"/>
      <c r="P6" s="180"/>
      <c r="Q6" s="181"/>
      <c r="R6" s="178" t="n">
        <v>110</v>
      </c>
      <c r="S6" s="181" t="n">
        <v>25</v>
      </c>
      <c r="T6" s="182" t="n">
        <v>11.28</v>
      </c>
      <c r="U6" s="183" t="n">
        <f aca="false">SUM(H6:T6)</f>
        <v>146.28</v>
      </c>
      <c r="V6" s="184" t="s">
        <v>54</v>
      </c>
      <c r="W6" s="185" t="s">
        <v>45</v>
      </c>
      <c r="X6" s="110" t="s">
        <v>37</v>
      </c>
      <c r="Y6" s="186"/>
      <c r="Z6" s="51"/>
    </row>
    <row r="7" s="10" customFormat="true" ht="14.1" hidden="false" customHeight="true" outlineLevel="0" collapsed="false">
      <c r="A7" s="236" t="s">
        <v>26</v>
      </c>
      <c r="B7" s="237" t="s">
        <v>81</v>
      </c>
      <c r="C7" s="238"/>
      <c r="D7" s="239" t="n">
        <v>5153103</v>
      </c>
      <c r="E7" s="240" t="n">
        <v>45061</v>
      </c>
      <c r="F7" s="241" t="s">
        <v>53</v>
      </c>
      <c r="G7" s="242" t="n">
        <v>45061</v>
      </c>
      <c r="H7" s="243"/>
      <c r="I7" s="244"/>
      <c r="J7" s="244"/>
      <c r="K7" s="244"/>
      <c r="L7" s="244"/>
      <c r="M7" s="243"/>
      <c r="N7" s="244"/>
      <c r="O7" s="243"/>
      <c r="P7" s="245"/>
      <c r="Q7" s="246"/>
      <c r="R7" s="243" t="n">
        <v>185</v>
      </c>
      <c r="S7" s="246" t="n">
        <v>37.5</v>
      </c>
      <c r="T7" s="247" t="n">
        <v>18.96</v>
      </c>
      <c r="U7" s="248" t="n">
        <f aca="false">SUM(H7:T7)</f>
        <v>241.46</v>
      </c>
      <c r="V7" s="249" t="s">
        <v>54</v>
      </c>
      <c r="W7" s="250" t="s">
        <v>74</v>
      </c>
      <c r="X7" s="110" t="s">
        <v>37</v>
      </c>
      <c r="Y7" s="186"/>
      <c r="Z7" s="51"/>
    </row>
    <row r="8" s="10" customFormat="true" ht="14.1" hidden="false" customHeight="true" outlineLevel="0" collapsed="false">
      <c r="A8" s="100" t="s">
        <v>26</v>
      </c>
      <c r="B8" s="2" t="s">
        <v>135</v>
      </c>
      <c r="C8" s="3"/>
      <c r="D8" s="101" t="n">
        <v>6263101</v>
      </c>
      <c r="E8" s="102" t="n">
        <v>45103</v>
      </c>
      <c r="F8" s="103" t="s">
        <v>53</v>
      </c>
      <c r="G8" s="5" t="n">
        <v>45103</v>
      </c>
      <c r="H8" s="105"/>
      <c r="I8" s="106"/>
      <c r="J8" s="106"/>
      <c r="K8" s="106"/>
      <c r="L8" s="106"/>
      <c r="M8" s="105"/>
      <c r="N8" s="106"/>
      <c r="O8" s="105"/>
      <c r="P8" s="7"/>
      <c r="Q8" s="107"/>
      <c r="R8" s="105" t="n">
        <v>447</v>
      </c>
      <c r="S8" s="107" t="n">
        <v>87.5</v>
      </c>
      <c r="T8" s="108" t="n">
        <v>34.64</v>
      </c>
      <c r="U8" s="95" t="n">
        <f aca="false">SUM(H8:T8)</f>
        <v>569.14</v>
      </c>
      <c r="V8" s="109" t="s">
        <v>54</v>
      </c>
      <c r="W8" s="10" t="s">
        <v>26</v>
      </c>
      <c r="X8" s="110" t="s">
        <v>37</v>
      </c>
      <c r="Y8" s="252"/>
      <c r="Z8" s="253"/>
    </row>
    <row r="9" s="10" customFormat="true" ht="14.1" hidden="false" customHeight="true" outlineLevel="0" collapsed="false">
      <c r="A9" s="236" t="s">
        <v>26</v>
      </c>
      <c r="B9" s="237" t="s">
        <v>105</v>
      </c>
      <c r="C9" s="238"/>
      <c r="D9" s="239" t="n">
        <v>5023102</v>
      </c>
      <c r="E9" s="240" t="n">
        <v>45048</v>
      </c>
      <c r="F9" s="241" t="s">
        <v>53</v>
      </c>
      <c r="G9" s="242" t="n">
        <v>45050</v>
      </c>
      <c r="H9" s="243"/>
      <c r="I9" s="244"/>
      <c r="J9" s="244"/>
      <c r="K9" s="244"/>
      <c r="L9" s="244"/>
      <c r="M9" s="243"/>
      <c r="N9" s="244"/>
      <c r="O9" s="243"/>
      <c r="P9" s="245"/>
      <c r="Q9" s="246"/>
      <c r="R9" s="243" t="n">
        <v>2200</v>
      </c>
      <c r="S9" s="246" t="n">
        <v>180</v>
      </c>
      <c r="T9" s="247" t="n">
        <v>203.5</v>
      </c>
      <c r="U9" s="248" t="n">
        <f aca="false">SUM(H9:T9)</f>
        <v>2583.5</v>
      </c>
      <c r="V9" s="249" t="s">
        <v>30</v>
      </c>
      <c r="W9" s="250" t="s">
        <v>26</v>
      </c>
      <c r="X9" s="110" t="s">
        <v>37</v>
      </c>
      <c r="Y9" s="186"/>
      <c r="Z9" s="51"/>
    </row>
    <row r="10" s="10" customFormat="true" ht="14.1" hidden="false" customHeight="true" outlineLevel="0" collapsed="false">
      <c r="A10" s="236" t="s">
        <v>26</v>
      </c>
      <c r="B10" s="237" t="s">
        <v>118</v>
      </c>
      <c r="C10" s="238"/>
      <c r="D10" s="239" t="n">
        <v>5263107</v>
      </c>
      <c r="E10" s="240" t="n">
        <v>45072</v>
      </c>
      <c r="F10" s="241" t="s">
        <v>53</v>
      </c>
      <c r="G10" s="242" t="n">
        <v>45072</v>
      </c>
      <c r="H10" s="243"/>
      <c r="I10" s="244"/>
      <c r="J10" s="244"/>
      <c r="K10" s="244"/>
      <c r="L10" s="244"/>
      <c r="M10" s="243"/>
      <c r="N10" s="244"/>
      <c r="O10" s="243"/>
      <c r="P10" s="245"/>
      <c r="Q10" s="246"/>
      <c r="R10" s="243" t="n">
        <v>65</v>
      </c>
      <c r="S10" s="246" t="n">
        <v>12.5</v>
      </c>
      <c r="T10" s="247" t="n">
        <v>6.66</v>
      </c>
      <c r="U10" s="248" t="n">
        <f aca="false">SUM(H10:T10)</f>
        <v>84.16</v>
      </c>
      <c r="V10" s="249" t="s">
        <v>54</v>
      </c>
      <c r="W10" s="250" t="s">
        <v>26</v>
      </c>
      <c r="X10" s="110" t="s">
        <v>37</v>
      </c>
      <c r="Y10" s="186"/>
      <c r="Z10" s="51"/>
    </row>
    <row r="11" s="205" customFormat="true" ht="14.1" hidden="false" customHeight="true" outlineLevel="0" collapsed="false">
      <c r="A11" s="236" t="s">
        <v>26</v>
      </c>
      <c r="B11" s="237" t="s">
        <v>128</v>
      </c>
      <c r="C11" s="238"/>
      <c r="D11" s="239" t="n">
        <v>5303104</v>
      </c>
      <c r="E11" s="240" t="n">
        <v>45076</v>
      </c>
      <c r="F11" s="241" t="s">
        <v>53</v>
      </c>
      <c r="G11" s="242" t="n">
        <v>45076</v>
      </c>
      <c r="H11" s="243"/>
      <c r="I11" s="244"/>
      <c r="J11" s="244"/>
      <c r="K11" s="244"/>
      <c r="L11" s="244"/>
      <c r="M11" s="243"/>
      <c r="N11" s="244"/>
      <c r="O11" s="243"/>
      <c r="P11" s="245"/>
      <c r="Q11" s="246"/>
      <c r="R11" s="243" t="n">
        <v>29</v>
      </c>
      <c r="S11" s="246" t="n">
        <v>12.5</v>
      </c>
      <c r="T11" s="247" t="n">
        <v>2.5</v>
      </c>
      <c r="U11" s="248" t="n">
        <f aca="false">SUM(H11:T11)</f>
        <v>44</v>
      </c>
      <c r="V11" s="249" t="s">
        <v>54</v>
      </c>
      <c r="W11" s="250" t="s">
        <v>26</v>
      </c>
      <c r="X11" s="110" t="s">
        <v>37</v>
      </c>
      <c r="Y11" s="186"/>
      <c r="Z11" s="51"/>
      <c r="AA11" s="10"/>
      <c r="AB11" s="10"/>
      <c r="AC11" s="10"/>
    </row>
    <row r="12" s="10" customFormat="true" ht="14.1" hidden="false" customHeight="true" outlineLevel="0" collapsed="false">
      <c r="A12" s="100" t="s">
        <v>26</v>
      </c>
      <c r="B12" s="2" t="s">
        <v>142</v>
      </c>
      <c r="C12" s="3"/>
      <c r="D12" s="101" t="n">
        <v>6143103</v>
      </c>
      <c r="E12" s="102" t="n">
        <v>45091</v>
      </c>
      <c r="F12" s="103" t="s">
        <v>53</v>
      </c>
      <c r="G12" s="5" t="n">
        <v>45091</v>
      </c>
      <c r="H12" s="105"/>
      <c r="I12" s="106"/>
      <c r="J12" s="106"/>
      <c r="K12" s="106"/>
      <c r="L12" s="106"/>
      <c r="M12" s="105"/>
      <c r="N12" s="106"/>
      <c r="O12" s="105"/>
      <c r="P12" s="7"/>
      <c r="Q12" s="107"/>
      <c r="R12" s="105" t="n">
        <v>279</v>
      </c>
      <c r="S12" s="107" t="n">
        <v>62.5</v>
      </c>
      <c r="T12" s="108" t="n">
        <v>23.02</v>
      </c>
      <c r="U12" s="95" t="n">
        <f aca="false">SUM(H12:T12)</f>
        <v>364.52</v>
      </c>
      <c r="V12" s="109" t="s">
        <v>54</v>
      </c>
      <c r="W12" s="10" t="s">
        <v>45</v>
      </c>
      <c r="X12" s="110" t="s">
        <v>37</v>
      </c>
      <c r="Y12" s="252"/>
      <c r="Z12" s="253"/>
    </row>
    <row r="13" s="10" customFormat="true" ht="14.1" hidden="false" customHeight="true" outlineLevel="0" collapsed="false">
      <c r="A13" s="100" t="s">
        <v>26</v>
      </c>
      <c r="B13" s="2" t="s">
        <v>167</v>
      </c>
      <c r="C13" s="3"/>
      <c r="D13" s="101" t="n">
        <v>6223063</v>
      </c>
      <c r="E13" s="102" t="n">
        <v>45099</v>
      </c>
      <c r="F13" s="103" t="s">
        <v>53</v>
      </c>
      <c r="G13" s="5" t="n">
        <v>45099</v>
      </c>
      <c r="H13" s="105"/>
      <c r="I13" s="106"/>
      <c r="J13" s="106"/>
      <c r="K13" s="106"/>
      <c r="L13" s="106"/>
      <c r="M13" s="105"/>
      <c r="N13" s="106"/>
      <c r="O13" s="105"/>
      <c r="P13" s="7"/>
      <c r="Q13" s="107"/>
      <c r="R13" s="105" t="n">
        <v>65</v>
      </c>
      <c r="S13" s="107" t="n">
        <v>12.5</v>
      </c>
      <c r="T13" s="108" t="n">
        <v>5.04</v>
      </c>
      <c r="U13" s="95" t="n">
        <f aca="false">SUM(H13:T13)</f>
        <v>82.54</v>
      </c>
      <c r="V13" s="109" t="s">
        <v>54</v>
      </c>
      <c r="W13" s="10" t="s">
        <v>45</v>
      </c>
      <c r="X13" s="110" t="s">
        <v>37</v>
      </c>
      <c r="Y13" s="252"/>
      <c r="Z13" s="253"/>
    </row>
    <row r="14" s="10" customFormat="true" ht="14.1" hidden="false" customHeight="true" outlineLevel="0" collapsed="false">
      <c r="A14" s="187" t="s">
        <v>26</v>
      </c>
      <c r="B14" s="172" t="s">
        <v>92</v>
      </c>
      <c r="C14" s="173" t="s">
        <v>93</v>
      </c>
      <c r="D14" s="174" t="n">
        <v>3313101</v>
      </c>
      <c r="E14" s="175" t="n">
        <v>45016</v>
      </c>
      <c r="F14" s="176" t="s">
        <v>53</v>
      </c>
      <c r="G14" s="177" t="n">
        <v>45016</v>
      </c>
      <c r="H14" s="178"/>
      <c r="I14" s="179"/>
      <c r="J14" s="179"/>
      <c r="K14" s="179"/>
      <c r="L14" s="179"/>
      <c r="M14" s="178"/>
      <c r="N14" s="179"/>
      <c r="O14" s="178"/>
      <c r="P14" s="180"/>
      <c r="Q14" s="181"/>
      <c r="R14" s="178" t="n">
        <v>-50</v>
      </c>
      <c r="S14" s="181"/>
      <c r="T14" s="182" t="n">
        <v>-4.63</v>
      </c>
      <c r="U14" s="183" t="n">
        <f aca="false">SUM(H14:T14)</f>
        <v>-54.63</v>
      </c>
      <c r="V14" s="184" t="s">
        <v>85</v>
      </c>
      <c r="W14" s="185" t="s">
        <v>26</v>
      </c>
      <c r="X14" s="110" t="s">
        <v>37</v>
      </c>
      <c r="Y14" s="186"/>
      <c r="Z14" s="51"/>
    </row>
    <row r="15" s="10" customFormat="true" ht="14.1" hidden="false" customHeight="true" outlineLevel="0" collapsed="false">
      <c r="A15" s="100" t="s">
        <v>26</v>
      </c>
      <c r="B15" s="2" t="s">
        <v>161</v>
      </c>
      <c r="C15" s="3"/>
      <c r="D15" s="101" t="n">
        <v>6053041</v>
      </c>
      <c r="E15" s="102" t="n">
        <v>45082</v>
      </c>
      <c r="F15" s="103" t="s">
        <v>53</v>
      </c>
      <c r="G15" s="5" t="n">
        <v>45082</v>
      </c>
      <c r="H15" s="105"/>
      <c r="I15" s="106"/>
      <c r="J15" s="106"/>
      <c r="K15" s="106"/>
      <c r="L15" s="106"/>
      <c r="M15" s="105"/>
      <c r="N15" s="106"/>
      <c r="O15" s="105"/>
      <c r="P15" s="7"/>
      <c r="Q15" s="107"/>
      <c r="R15" s="105" t="n">
        <v>98</v>
      </c>
      <c r="S15" s="107"/>
      <c r="T15" s="108"/>
      <c r="U15" s="95" t="n">
        <f aca="false">SUM(H15:T15)</f>
        <v>98</v>
      </c>
      <c r="V15" s="109" t="s">
        <v>54</v>
      </c>
      <c r="W15" s="10" t="s">
        <v>26</v>
      </c>
      <c r="X15" s="110" t="s">
        <v>37</v>
      </c>
      <c r="Y15" s="252"/>
      <c r="Z15" s="253"/>
    </row>
    <row r="16" s="10" customFormat="true" ht="14.1" hidden="false" customHeight="true" outlineLevel="0" collapsed="false">
      <c r="A16" s="100" t="s">
        <v>26</v>
      </c>
      <c r="B16" s="2" t="s">
        <v>141</v>
      </c>
      <c r="C16" s="3"/>
      <c r="D16" s="101" t="n">
        <v>6263104</v>
      </c>
      <c r="E16" s="102" t="n">
        <v>45103</v>
      </c>
      <c r="F16" s="103" t="s">
        <v>53</v>
      </c>
      <c r="G16" s="5" t="n">
        <v>45103</v>
      </c>
      <c r="H16" s="105"/>
      <c r="I16" s="106"/>
      <c r="J16" s="106"/>
      <c r="K16" s="106"/>
      <c r="L16" s="106"/>
      <c r="M16" s="105"/>
      <c r="N16" s="106"/>
      <c r="O16" s="105"/>
      <c r="P16" s="7"/>
      <c r="Q16" s="107"/>
      <c r="R16" s="105" t="n">
        <v>298</v>
      </c>
      <c r="S16" s="107" t="n">
        <v>62.5</v>
      </c>
      <c r="T16" s="108" t="n">
        <v>25.7</v>
      </c>
      <c r="U16" s="95" t="n">
        <f aca="false">SUM(H16:T16)</f>
        <v>386.2</v>
      </c>
      <c r="V16" s="109" t="s">
        <v>54</v>
      </c>
      <c r="W16" s="10" t="s">
        <v>45</v>
      </c>
      <c r="X16" s="110" t="s">
        <v>37</v>
      </c>
      <c r="Y16" s="252"/>
      <c r="Z16" s="253"/>
    </row>
    <row r="17" s="10" customFormat="true" ht="14.1" hidden="false" customHeight="true" outlineLevel="0" collapsed="false">
      <c r="A17" s="100" t="s">
        <v>26</v>
      </c>
      <c r="B17" s="2" t="s">
        <v>141</v>
      </c>
      <c r="C17" s="3"/>
      <c r="D17" s="101" t="n">
        <v>6303064</v>
      </c>
      <c r="E17" s="102" t="n">
        <v>45107</v>
      </c>
      <c r="F17" s="103" t="s">
        <v>53</v>
      </c>
      <c r="G17" s="5" t="n">
        <v>45107</v>
      </c>
      <c r="H17" s="105"/>
      <c r="I17" s="106"/>
      <c r="J17" s="106"/>
      <c r="K17" s="106"/>
      <c r="L17" s="106"/>
      <c r="M17" s="105"/>
      <c r="N17" s="106"/>
      <c r="O17" s="105"/>
      <c r="P17" s="7"/>
      <c r="Q17" s="107"/>
      <c r="R17" s="105" t="n">
        <v>110</v>
      </c>
      <c r="S17" s="107" t="n">
        <v>25</v>
      </c>
      <c r="T17" s="108" t="n">
        <v>9.49</v>
      </c>
      <c r="U17" s="95" t="n">
        <f aca="false">SUM(H17:T17)</f>
        <v>144.49</v>
      </c>
      <c r="V17" s="109" t="s">
        <v>54</v>
      </c>
      <c r="W17" s="10" t="s">
        <v>45</v>
      </c>
      <c r="X17" s="110" t="s">
        <v>37</v>
      </c>
      <c r="Y17" s="252"/>
      <c r="Z17" s="253"/>
    </row>
    <row r="18" s="10" customFormat="true" ht="14.1" hidden="false" customHeight="true" outlineLevel="0" collapsed="false">
      <c r="A18" s="171" t="s">
        <v>26</v>
      </c>
      <c r="B18" s="172" t="s">
        <v>91</v>
      </c>
      <c r="C18" s="173"/>
      <c r="D18" s="174" t="n">
        <v>1123104</v>
      </c>
      <c r="E18" s="175" t="n">
        <v>44938</v>
      </c>
      <c r="F18" s="176" t="s">
        <v>53</v>
      </c>
      <c r="G18" s="177" t="n">
        <v>44938</v>
      </c>
      <c r="H18" s="178"/>
      <c r="I18" s="179"/>
      <c r="J18" s="179"/>
      <c r="K18" s="179"/>
      <c r="L18" s="179"/>
      <c r="M18" s="178"/>
      <c r="N18" s="179"/>
      <c r="O18" s="178"/>
      <c r="P18" s="180"/>
      <c r="Q18" s="181"/>
      <c r="R18" s="178" t="n">
        <v>39</v>
      </c>
      <c r="S18" s="181" t="n">
        <v>10</v>
      </c>
      <c r="T18" s="182" t="n">
        <v>4</v>
      </c>
      <c r="U18" s="183" t="n">
        <f aca="false">SUM(H18:T18)</f>
        <v>53</v>
      </c>
      <c r="V18" s="184" t="s">
        <v>73</v>
      </c>
      <c r="W18" s="185" t="s">
        <v>74</v>
      </c>
      <c r="X18" s="110" t="s">
        <v>37</v>
      </c>
      <c r="Y18" s="186"/>
      <c r="Z18" s="51"/>
    </row>
    <row r="19" s="10" customFormat="true" ht="14.1" hidden="false" customHeight="true" outlineLevel="0" collapsed="false">
      <c r="A19" s="187" t="s">
        <v>26</v>
      </c>
      <c r="B19" s="172" t="s">
        <v>75</v>
      </c>
      <c r="C19" s="173"/>
      <c r="D19" s="174" t="n">
        <v>3133101</v>
      </c>
      <c r="E19" s="175" t="n">
        <v>44998</v>
      </c>
      <c r="F19" s="176" t="s">
        <v>53</v>
      </c>
      <c r="G19" s="177" t="n">
        <v>44998</v>
      </c>
      <c r="H19" s="178"/>
      <c r="I19" s="179"/>
      <c r="J19" s="179"/>
      <c r="K19" s="179"/>
      <c r="L19" s="179"/>
      <c r="M19" s="178"/>
      <c r="N19" s="179"/>
      <c r="O19" s="178"/>
      <c r="P19" s="180"/>
      <c r="Q19" s="181"/>
      <c r="R19" s="178" t="n">
        <v>298</v>
      </c>
      <c r="S19" s="181" t="n">
        <v>62.5</v>
      </c>
      <c r="T19" s="182" t="n">
        <v>24.59</v>
      </c>
      <c r="U19" s="183" t="n">
        <f aca="false">SUM(H19:T19)</f>
        <v>385.09</v>
      </c>
      <c r="V19" s="184" t="s">
        <v>54</v>
      </c>
      <c r="W19" s="185" t="s">
        <v>31</v>
      </c>
      <c r="X19" s="110" t="s">
        <v>37</v>
      </c>
      <c r="Y19" s="186"/>
      <c r="Z19" s="51"/>
    </row>
    <row r="20" s="10" customFormat="true" ht="14.1" hidden="false" customHeight="true" outlineLevel="0" collapsed="false">
      <c r="A20" s="220" t="s">
        <v>26</v>
      </c>
      <c r="B20" s="221" t="s">
        <v>75</v>
      </c>
      <c r="C20" s="222"/>
      <c r="D20" s="223" t="n">
        <v>4103101</v>
      </c>
      <c r="E20" s="224" t="n">
        <v>45026</v>
      </c>
      <c r="F20" s="225" t="s">
        <v>53</v>
      </c>
      <c r="G20" s="226" t="n">
        <v>45026</v>
      </c>
      <c r="H20" s="227"/>
      <c r="I20" s="228"/>
      <c r="J20" s="228"/>
      <c r="K20" s="228"/>
      <c r="L20" s="228"/>
      <c r="M20" s="227"/>
      <c r="N20" s="228"/>
      <c r="O20" s="227"/>
      <c r="P20" s="229"/>
      <c r="Q20" s="230"/>
      <c r="R20" s="227" t="n">
        <v>415</v>
      </c>
      <c r="S20" s="230" t="n">
        <v>62.5</v>
      </c>
      <c r="T20" s="231" t="n">
        <v>34.24</v>
      </c>
      <c r="U20" s="232" t="n">
        <f aca="false">SUM(H20:T20)</f>
        <v>511.74</v>
      </c>
      <c r="V20" s="233" t="s">
        <v>54</v>
      </c>
      <c r="W20" s="234" t="s">
        <v>74</v>
      </c>
      <c r="X20" s="110" t="s">
        <v>37</v>
      </c>
      <c r="Y20" s="186"/>
      <c r="Z20" s="51"/>
    </row>
    <row r="21" s="10" customFormat="true" ht="14.1" hidden="false" customHeight="true" outlineLevel="0" collapsed="false">
      <c r="A21" s="112" t="s">
        <v>26</v>
      </c>
      <c r="B21" s="207" t="s">
        <v>75</v>
      </c>
      <c r="C21" s="208"/>
      <c r="D21" s="208" t="n">
        <v>6063102</v>
      </c>
      <c r="E21" s="209" t="n">
        <v>45083</v>
      </c>
      <c r="F21" s="210" t="s">
        <v>53</v>
      </c>
      <c r="G21" s="211" t="n">
        <v>45083</v>
      </c>
      <c r="H21" s="212"/>
      <c r="I21" s="212"/>
      <c r="J21" s="213"/>
      <c r="K21" s="213"/>
      <c r="L21" s="213"/>
      <c r="M21" s="212"/>
      <c r="N21" s="212"/>
      <c r="O21" s="212"/>
      <c r="P21" s="127"/>
      <c r="Q21" s="214"/>
      <c r="R21" s="212" t="n">
        <v>415</v>
      </c>
      <c r="S21" s="214" t="n">
        <v>62.5</v>
      </c>
      <c r="T21" s="215" t="n">
        <v>34.24</v>
      </c>
      <c r="U21" s="216" t="n">
        <f aca="false">SUM(H21:T21)</f>
        <v>511.74</v>
      </c>
      <c r="V21" s="217" t="s">
        <v>54</v>
      </c>
      <c r="W21" s="29" t="s">
        <v>74</v>
      </c>
      <c r="X21" s="29" t="s">
        <v>37</v>
      </c>
      <c r="Y21" s="271"/>
      <c r="Z21" s="253"/>
    </row>
    <row r="22" s="10" customFormat="true" ht="13.15" hidden="false" customHeight="true" outlineLevel="0" collapsed="false">
      <c r="A22" s="171" t="s">
        <v>26</v>
      </c>
      <c r="B22" s="172" t="s">
        <v>82</v>
      </c>
      <c r="C22" s="173"/>
      <c r="D22" s="174" t="n">
        <v>2143103</v>
      </c>
      <c r="E22" s="175" t="n">
        <v>44971</v>
      </c>
      <c r="F22" s="176" t="s">
        <v>53</v>
      </c>
      <c r="G22" s="177" t="n">
        <v>44971</v>
      </c>
      <c r="H22" s="178"/>
      <c r="I22" s="179"/>
      <c r="J22" s="179"/>
      <c r="K22" s="179"/>
      <c r="L22" s="179"/>
      <c r="M22" s="178"/>
      <c r="N22" s="179"/>
      <c r="O22" s="178"/>
      <c r="P22" s="180"/>
      <c r="Q22" s="181"/>
      <c r="R22" s="178" t="n">
        <v>90</v>
      </c>
      <c r="S22" s="181" t="n">
        <v>10</v>
      </c>
      <c r="T22" s="182" t="n">
        <v>8.44</v>
      </c>
      <c r="U22" s="183" t="n">
        <f aca="false">SUM(H22:T22)</f>
        <v>108.44</v>
      </c>
      <c r="V22" s="184" t="s">
        <v>73</v>
      </c>
      <c r="W22" s="185" t="s">
        <v>26</v>
      </c>
      <c r="X22" s="110" t="s">
        <v>37</v>
      </c>
      <c r="Y22" s="186"/>
      <c r="Z22" s="51"/>
    </row>
    <row r="23" s="10" customFormat="true" ht="13.15" hidden="false" customHeight="true" outlineLevel="0" collapsed="false">
      <c r="A23" s="100" t="s">
        <v>26</v>
      </c>
      <c r="B23" s="2" t="s">
        <v>154</v>
      </c>
      <c r="C23" s="3"/>
      <c r="D23" s="101" t="n">
        <v>6203104</v>
      </c>
      <c r="E23" s="102" t="n">
        <v>45097</v>
      </c>
      <c r="F23" s="103" t="s">
        <v>53</v>
      </c>
      <c r="G23" s="5" t="n">
        <v>45097</v>
      </c>
      <c r="H23" s="105"/>
      <c r="I23" s="106"/>
      <c r="J23" s="106"/>
      <c r="K23" s="106"/>
      <c r="L23" s="106"/>
      <c r="M23" s="105"/>
      <c r="N23" s="106"/>
      <c r="O23" s="105"/>
      <c r="P23" s="7"/>
      <c r="Q23" s="107"/>
      <c r="R23" s="105" t="n">
        <v>130</v>
      </c>
      <c r="S23" s="107" t="n">
        <v>25</v>
      </c>
      <c r="T23" s="108" t="n">
        <v>11.21</v>
      </c>
      <c r="U23" s="95" t="n">
        <f aca="false">SUM(H23:T23)</f>
        <v>166.21</v>
      </c>
      <c r="V23" s="109" t="s">
        <v>54</v>
      </c>
      <c r="W23" s="10" t="s">
        <v>26</v>
      </c>
      <c r="X23" s="110" t="s">
        <v>37</v>
      </c>
      <c r="Y23" s="252"/>
      <c r="Z23" s="253"/>
    </row>
    <row r="24" s="10" customFormat="true" ht="13.15" hidden="false" customHeight="true" outlineLevel="0" collapsed="false">
      <c r="A24" s="187" t="s">
        <v>26</v>
      </c>
      <c r="B24" s="287" t="s">
        <v>78</v>
      </c>
      <c r="C24" s="288"/>
      <c r="D24" s="174" t="n">
        <v>3223103</v>
      </c>
      <c r="E24" s="175" t="n">
        <v>45007</v>
      </c>
      <c r="F24" s="176" t="s">
        <v>53</v>
      </c>
      <c r="G24" s="289" t="n">
        <v>45007</v>
      </c>
      <c r="H24" s="178"/>
      <c r="I24" s="179"/>
      <c r="J24" s="179"/>
      <c r="K24" s="179"/>
      <c r="L24" s="179"/>
      <c r="M24" s="178"/>
      <c r="N24" s="179"/>
      <c r="O24" s="178"/>
      <c r="P24" s="290"/>
      <c r="Q24" s="181"/>
      <c r="R24" s="178" t="n">
        <v>188</v>
      </c>
      <c r="S24" s="181" t="n">
        <v>50</v>
      </c>
      <c r="T24" s="182" t="n">
        <v>16.22</v>
      </c>
      <c r="U24" s="183" t="n">
        <f aca="false">SUM(H24:T24)</f>
        <v>254.22</v>
      </c>
      <c r="V24" s="184" t="s">
        <v>54</v>
      </c>
      <c r="W24" s="291" t="s">
        <v>74</v>
      </c>
      <c r="X24" s="110" t="s">
        <v>37</v>
      </c>
      <c r="Y24" s="252"/>
      <c r="Z24" s="51"/>
    </row>
    <row r="25" s="10" customFormat="true" ht="13.15" hidden="false" customHeight="true" outlineLevel="0" collapsed="false">
      <c r="A25" s="171" t="s">
        <v>26</v>
      </c>
      <c r="B25" s="172" t="s">
        <v>79</v>
      </c>
      <c r="C25" s="173"/>
      <c r="D25" s="174" t="n">
        <v>12272103</v>
      </c>
      <c r="E25" s="175" t="n">
        <v>44922</v>
      </c>
      <c r="F25" s="176" t="s">
        <v>53</v>
      </c>
      <c r="G25" s="177" t="n">
        <v>44922</v>
      </c>
      <c r="H25" s="178"/>
      <c r="I25" s="179"/>
      <c r="J25" s="179"/>
      <c r="K25" s="179"/>
      <c r="L25" s="179"/>
      <c r="M25" s="178"/>
      <c r="N25" s="179"/>
      <c r="O25" s="178"/>
      <c r="P25" s="180"/>
      <c r="Q25" s="181"/>
      <c r="R25" s="178" t="n">
        <v>149</v>
      </c>
      <c r="S25" s="181" t="n">
        <v>30</v>
      </c>
      <c r="T25" s="182" t="n">
        <v>12.67</v>
      </c>
      <c r="U25" s="183" t="n">
        <f aca="false">SUM(H25:T25)</f>
        <v>191.67</v>
      </c>
      <c r="V25" s="184" t="s">
        <v>73</v>
      </c>
      <c r="W25" s="185" t="s">
        <v>74</v>
      </c>
      <c r="X25" s="110" t="s">
        <v>37</v>
      </c>
      <c r="Y25" s="186"/>
      <c r="Z25" s="51"/>
    </row>
    <row r="26" s="10" customFormat="true" ht="14.1" hidden="false" customHeight="true" outlineLevel="0" collapsed="false">
      <c r="A26" s="171" t="s">
        <v>26</v>
      </c>
      <c r="B26" s="172" t="s">
        <v>89</v>
      </c>
      <c r="C26" s="173"/>
      <c r="D26" s="174" t="n">
        <v>12282103</v>
      </c>
      <c r="E26" s="175" t="n">
        <v>44923</v>
      </c>
      <c r="F26" s="176" t="s">
        <v>53</v>
      </c>
      <c r="G26" s="177" t="n">
        <v>44923</v>
      </c>
      <c r="H26" s="178"/>
      <c r="I26" s="179"/>
      <c r="J26" s="179"/>
      <c r="K26" s="179"/>
      <c r="L26" s="179"/>
      <c r="M26" s="178"/>
      <c r="N26" s="179"/>
      <c r="O26" s="178"/>
      <c r="P26" s="180"/>
      <c r="Q26" s="181"/>
      <c r="R26" s="178" t="n">
        <v>45</v>
      </c>
      <c r="S26" s="181" t="n">
        <v>10</v>
      </c>
      <c r="T26" s="182" t="n">
        <v>3.83</v>
      </c>
      <c r="U26" s="183" t="n">
        <f aca="false">SUM(H26:T26)</f>
        <v>58.83</v>
      </c>
      <c r="V26" s="184" t="s">
        <v>73</v>
      </c>
      <c r="W26" s="185" t="s">
        <v>45</v>
      </c>
      <c r="X26" s="110" t="s">
        <v>37</v>
      </c>
      <c r="Y26" s="186"/>
      <c r="Z26" s="51"/>
    </row>
    <row r="27" s="10" customFormat="true" ht="14.1" hidden="false" customHeight="true" outlineLevel="0" collapsed="false">
      <c r="A27" s="100" t="s">
        <v>26</v>
      </c>
      <c r="B27" s="2" t="s">
        <v>152</v>
      </c>
      <c r="C27" s="3"/>
      <c r="D27" s="101" t="n">
        <v>6013105</v>
      </c>
      <c r="E27" s="102" t="n">
        <v>45078</v>
      </c>
      <c r="F27" s="103" t="s">
        <v>53</v>
      </c>
      <c r="G27" s="5" t="n">
        <v>45079</v>
      </c>
      <c r="H27" s="105"/>
      <c r="I27" s="106"/>
      <c r="J27" s="106"/>
      <c r="K27" s="106"/>
      <c r="L27" s="106"/>
      <c r="M27" s="105"/>
      <c r="N27" s="106"/>
      <c r="O27" s="105"/>
      <c r="P27" s="7"/>
      <c r="Q27" s="107"/>
      <c r="R27" s="105" t="n">
        <v>175</v>
      </c>
      <c r="S27" s="107" t="n">
        <v>37.5</v>
      </c>
      <c r="T27" s="108" t="n">
        <v>16.1</v>
      </c>
      <c r="U27" s="95" t="n">
        <f aca="false">SUM(H27:T27)</f>
        <v>228.6</v>
      </c>
      <c r="V27" s="109" t="s">
        <v>54</v>
      </c>
      <c r="W27" s="10" t="s">
        <v>74</v>
      </c>
      <c r="X27" s="110" t="s">
        <v>37</v>
      </c>
      <c r="Y27" s="252"/>
      <c r="Z27" s="253"/>
    </row>
    <row r="28" s="10" customFormat="true" ht="14.1" hidden="false" customHeight="true" outlineLevel="0" collapsed="false">
      <c r="A28" s="100" t="s">
        <v>26</v>
      </c>
      <c r="B28" s="2" t="s">
        <v>157</v>
      </c>
      <c r="C28" s="3"/>
      <c r="D28" s="101" t="n">
        <v>6283102</v>
      </c>
      <c r="E28" s="102" t="n">
        <v>45105</v>
      </c>
      <c r="F28" s="103" t="s">
        <v>53</v>
      </c>
      <c r="G28" s="5" t="n">
        <v>45105</v>
      </c>
      <c r="H28" s="105"/>
      <c r="I28" s="106"/>
      <c r="J28" s="106"/>
      <c r="K28" s="106"/>
      <c r="L28" s="106"/>
      <c r="M28" s="105"/>
      <c r="N28" s="106"/>
      <c r="O28" s="105"/>
      <c r="P28" s="7"/>
      <c r="Q28" s="107"/>
      <c r="R28" s="105" t="n">
        <v>117</v>
      </c>
      <c r="S28" s="107" t="n">
        <v>12.5</v>
      </c>
      <c r="T28" s="108" t="n">
        <v>10.82</v>
      </c>
      <c r="U28" s="95" t="n">
        <f aca="false">SUM(H28:T28)</f>
        <v>140.32</v>
      </c>
      <c r="V28" s="109" t="s">
        <v>54</v>
      </c>
      <c r="W28" s="10" t="s">
        <v>74</v>
      </c>
      <c r="X28" s="110" t="s">
        <v>37</v>
      </c>
      <c r="Y28" s="252"/>
      <c r="Z28" s="253"/>
    </row>
    <row r="29" s="10" customFormat="true" ht="14.1" hidden="false" customHeight="true" outlineLevel="0" collapsed="false">
      <c r="A29" s="171" t="s">
        <v>26</v>
      </c>
      <c r="B29" s="172" t="s">
        <v>83</v>
      </c>
      <c r="C29" s="173"/>
      <c r="D29" s="174" t="n">
        <v>1103101</v>
      </c>
      <c r="E29" s="175" t="n">
        <v>44936</v>
      </c>
      <c r="F29" s="176" t="s">
        <v>53</v>
      </c>
      <c r="G29" s="177" t="n">
        <v>44936</v>
      </c>
      <c r="H29" s="178"/>
      <c r="I29" s="179"/>
      <c r="J29" s="179"/>
      <c r="K29" s="179"/>
      <c r="L29" s="179"/>
      <c r="M29" s="178"/>
      <c r="N29" s="179"/>
      <c r="O29" s="178"/>
      <c r="P29" s="180"/>
      <c r="Q29" s="181"/>
      <c r="R29" s="178" t="n">
        <v>65</v>
      </c>
      <c r="S29" s="181" t="n">
        <v>10</v>
      </c>
      <c r="T29" s="182" t="n">
        <v>5.04</v>
      </c>
      <c r="U29" s="183" t="n">
        <f aca="false">SUM(H29:T29)</f>
        <v>80.04</v>
      </c>
      <c r="V29" s="184" t="s">
        <v>73</v>
      </c>
      <c r="W29" s="185" t="s">
        <v>74</v>
      </c>
      <c r="X29" s="110" t="s">
        <v>37</v>
      </c>
      <c r="Y29" s="186"/>
      <c r="Z29" s="51"/>
    </row>
    <row r="30" s="10" customFormat="true" ht="14.1" hidden="false" customHeight="true" outlineLevel="0" collapsed="false">
      <c r="A30" s="236" t="s">
        <v>26</v>
      </c>
      <c r="B30" s="237" t="s">
        <v>83</v>
      </c>
      <c r="C30" s="238"/>
      <c r="D30" s="239" t="n">
        <v>5153112</v>
      </c>
      <c r="E30" s="240" t="n">
        <v>45061</v>
      </c>
      <c r="F30" s="241" t="s">
        <v>53</v>
      </c>
      <c r="G30" s="242" t="n">
        <v>45061</v>
      </c>
      <c r="H30" s="243"/>
      <c r="I30" s="244"/>
      <c r="J30" s="244"/>
      <c r="K30" s="244"/>
      <c r="L30" s="244"/>
      <c r="M30" s="243"/>
      <c r="N30" s="244"/>
      <c r="O30" s="243"/>
      <c r="P30" s="245"/>
      <c r="Q30" s="246"/>
      <c r="R30" s="243" t="n">
        <v>97.5</v>
      </c>
      <c r="S30" s="246" t="n">
        <v>12.5</v>
      </c>
      <c r="T30" s="247" t="n">
        <v>7.56</v>
      </c>
      <c r="U30" s="248" t="n">
        <f aca="false">SUM(H30:T30)</f>
        <v>117.56</v>
      </c>
      <c r="V30" s="249" t="s">
        <v>54</v>
      </c>
      <c r="W30" s="250" t="s">
        <v>74</v>
      </c>
      <c r="X30" s="110" t="s">
        <v>37</v>
      </c>
      <c r="Y30" s="186"/>
      <c r="Z30" s="51"/>
    </row>
    <row r="31" s="10" customFormat="true" ht="14.1" hidden="false" customHeight="true" outlineLevel="0" collapsed="false">
      <c r="A31" s="236" t="s">
        <v>26</v>
      </c>
      <c r="B31" s="237" t="s">
        <v>124</v>
      </c>
      <c r="C31" s="238"/>
      <c r="D31" s="239" t="n">
        <v>5043102</v>
      </c>
      <c r="E31" s="240" t="n">
        <v>45050</v>
      </c>
      <c r="F31" s="241" t="s">
        <v>53</v>
      </c>
      <c r="G31" s="242" t="n">
        <v>45050</v>
      </c>
      <c r="H31" s="243"/>
      <c r="I31" s="244"/>
      <c r="J31" s="244"/>
      <c r="K31" s="244"/>
      <c r="L31" s="244"/>
      <c r="M31" s="243"/>
      <c r="N31" s="244"/>
      <c r="O31" s="243"/>
      <c r="P31" s="245"/>
      <c r="Q31" s="246"/>
      <c r="R31" s="243" t="n">
        <v>39</v>
      </c>
      <c r="S31" s="246" t="n">
        <v>12.5</v>
      </c>
      <c r="T31" s="247" t="n">
        <v>3.36</v>
      </c>
      <c r="U31" s="248" t="n">
        <f aca="false">SUM(H31:T31)</f>
        <v>54.86</v>
      </c>
      <c r="V31" s="249" t="s">
        <v>30</v>
      </c>
      <c r="W31" s="250" t="s">
        <v>125</v>
      </c>
      <c r="X31" s="110" t="s">
        <v>37</v>
      </c>
      <c r="Y31" s="186"/>
      <c r="Z31" s="51"/>
    </row>
    <row r="32" s="10" customFormat="true" ht="14.1" hidden="false" customHeight="true" outlineLevel="0" collapsed="false">
      <c r="A32" s="272" t="s">
        <v>26</v>
      </c>
      <c r="B32" s="273" t="s">
        <v>90</v>
      </c>
      <c r="C32" s="274"/>
      <c r="D32" s="274" t="n">
        <v>3093104</v>
      </c>
      <c r="E32" s="275" t="n">
        <v>44994</v>
      </c>
      <c r="F32" s="276" t="s">
        <v>53</v>
      </c>
      <c r="G32" s="277" t="n">
        <v>44995</v>
      </c>
      <c r="H32" s="278"/>
      <c r="I32" s="278"/>
      <c r="J32" s="279"/>
      <c r="K32" s="279"/>
      <c r="L32" s="279"/>
      <c r="M32" s="278"/>
      <c r="N32" s="278"/>
      <c r="O32" s="278"/>
      <c r="P32" s="280"/>
      <c r="Q32" s="281"/>
      <c r="R32" s="278" t="n">
        <v>39</v>
      </c>
      <c r="S32" s="281" t="n">
        <v>12.5</v>
      </c>
      <c r="T32" s="282" t="n">
        <v>4</v>
      </c>
      <c r="U32" s="283" t="n">
        <f aca="false">SUM(H32:T32)</f>
        <v>55.5</v>
      </c>
      <c r="V32" s="284" t="s">
        <v>54</v>
      </c>
      <c r="W32" s="285" t="s">
        <v>74</v>
      </c>
      <c r="X32" s="29" t="s">
        <v>37</v>
      </c>
      <c r="Y32" s="286"/>
      <c r="Z32" s="51"/>
    </row>
    <row r="33" s="10" customFormat="true" ht="14.1" hidden="false" customHeight="true" outlineLevel="0" collapsed="false">
      <c r="A33" s="100" t="s">
        <v>26</v>
      </c>
      <c r="B33" s="2" t="s">
        <v>162</v>
      </c>
      <c r="C33" s="3"/>
      <c r="D33" s="101" t="n">
        <v>6063101</v>
      </c>
      <c r="E33" s="102" t="n">
        <v>45083</v>
      </c>
      <c r="F33" s="103" t="s">
        <v>163</v>
      </c>
      <c r="G33" s="5" t="n">
        <v>45083</v>
      </c>
      <c r="H33" s="105" t="n">
        <v>75</v>
      </c>
      <c r="I33" s="106"/>
      <c r="J33" s="106"/>
      <c r="K33" s="106"/>
      <c r="L33" s="106"/>
      <c r="M33" s="105"/>
      <c r="N33" s="106"/>
      <c r="O33" s="105"/>
      <c r="P33" s="7"/>
      <c r="Q33" s="107"/>
      <c r="R33" s="105"/>
      <c r="S33" s="107" t="n">
        <v>12.5</v>
      </c>
      <c r="T33" s="108" t="n">
        <v>6.47</v>
      </c>
      <c r="U33" s="95" t="n">
        <f aca="false">SUM(H33:T33)</f>
        <v>93.97</v>
      </c>
      <c r="V33" s="109" t="s">
        <v>54</v>
      </c>
      <c r="W33" s="10" t="s">
        <v>26</v>
      </c>
      <c r="X33" s="110" t="s">
        <v>37</v>
      </c>
      <c r="Y33" s="252"/>
      <c r="Z33" s="253"/>
    </row>
    <row r="34" s="10" customFormat="true" ht="14.1" hidden="false" customHeight="true" outlineLevel="0" collapsed="false">
      <c r="A34" s="220" t="s">
        <v>26</v>
      </c>
      <c r="B34" s="221" t="s">
        <v>97</v>
      </c>
      <c r="C34" s="222" t="s">
        <v>98</v>
      </c>
      <c r="D34" s="223" t="n">
        <v>4073101</v>
      </c>
      <c r="E34" s="224" t="n">
        <v>45023</v>
      </c>
      <c r="F34" s="225" t="s">
        <v>53</v>
      </c>
      <c r="G34" s="226" t="n">
        <v>45023</v>
      </c>
      <c r="H34" s="227"/>
      <c r="I34" s="228"/>
      <c r="J34" s="228"/>
      <c r="K34" s="228"/>
      <c r="L34" s="228"/>
      <c r="M34" s="227"/>
      <c r="N34" s="228"/>
      <c r="O34" s="227"/>
      <c r="P34" s="229"/>
      <c r="Q34" s="230"/>
      <c r="R34" s="227" t="n">
        <v>149</v>
      </c>
      <c r="S34" s="230" t="n">
        <v>37.5</v>
      </c>
      <c r="T34" s="231" t="n">
        <v>15.27</v>
      </c>
      <c r="U34" s="232" t="n">
        <f aca="false">SUM(H34:T34)</f>
        <v>201.77</v>
      </c>
      <c r="V34" s="233" t="s">
        <v>54</v>
      </c>
      <c r="W34" s="234" t="s">
        <v>74</v>
      </c>
      <c r="X34" s="110" t="s">
        <v>37</v>
      </c>
      <c r="Y34" s="186"/>
      <c r="Z34" s="51"/>
    </row>
    <row r="35" s="10" customFormat="true" ht="14.1" hidden="false" customHeight="true" outlineLevel="0" collapsed="false">
      <c r="A35" s="100" t="s">
        <v>26</v>
      </c>
      <c r="B35" s="2" t="s">
        <v>146</v>
      </c>
      <c r="C35" s="3"/>
      <c r="D35" s="101" t="n">
        <v>6143107</v>
      </c>
      <c r="E35" s="102" t="n">
        <v>45091</v>
      </c>
      <c r="F35" s="103" t="s">
        <v>53</v>
      </c>
      <c r="G35" s="5" t="n">
        <v>45092</v>
      </c>
      <c r="H35" s="105"/>
      <c r="I35" s="106"/>
      <c r="J35" s="106"/>
      <c r="K35" s="106"/>
      <c r="L35" s="106"/>
      <c r="M35" s="105"/>
      <c r="N35" s="106"/>
      <c r="O35" s="105"/>
      <c r="P35" s="7"/>
      <c r="Q35" s="107"/>
      <c r="R35" s="105" t="n">
        <v>308</v>
      </c>
      <c r="S35" s="107"/>
      <c r="T35" s="108"/>
      <c r="U35" s="95" t="n">
        <f aca="false">SUM(H35:T35)</f>
        <v>308</v>
      </c>
      <c r="V35" s="109" t="s">
        <v>54</v>
      </c>
      <c r="W35" s="10" t="s">
        <v>45</v>
      </c>
      <c r="X35" s="110" t="s">
        <v>37</v>
      </c>
      <c r="Y35" s="252"/>
      <c r="Z35" s="253"/>
    </row>
    <row r="36" s="10" customFormat="true" ht="14.1" hidden="false" customHeight="true" outlineLevel="0" collapsed="false">
      <c r="A36" s="220" t="s">
        <v>26</v>
      </c>
      <c r="B36" s="221" t="s">
        <v>104</v>
      </c>
      <c r="C36" s="222"/>
      <c r="D36" s="223" t="n">
        <v>4253101</v>
      </c>
      <c r="E36" s="224" t="n">
        <v>45041</v>
      </c>
      <c r="F36" s="225" t="s">
        <v>53</v>
      </c>
      <c r="G36" s="226" t="n">
        <v>45043</v>
      </c>
      <c r="H36" s="227"/>
      <c r="I36" s="228"/>
      <c r="J36" s="228"/>
      <c r="K36" s="228"/>
      <c r="L36" s="228"/>
      <c r="M36" s="227"/>
      <c r="N36" s="228"/>
      <c r="O36" s="227"/>
      <c r="P36" s="229"/>
      <c r="Q36" s="230"/>
      <c r="R36" s="227" t="n">
        <v>55</v>
      </c>
      <c r="S36" s="230" t="n">
        <v>12.5</v>
      </c>
      <c r="T36" s="231" t="n">
        <v>4.68</v>
      </c>
      <c r="U36" s="232" t="n">
        <f aca="false">SUM(H36:T36)</f>
        <v>72.18</v>
      </c>
      <c r="V36" s="233" t="s">
        <v>54</v>
      </c>
      <c r="W36" s="234" t="s">
        <v>74</v>
      </c>
      <c r="X36" s="110" t="s">
        <v>37</v>
      </c>
      <c r="Y36" s="186"/>
      <c r="Z36" s="51"/>
    </row>
    <row r="37" s="10" customFormat="true" ht="14.1" hidden="false" customHeight="true" outlineLevel="0" collapsed="false">
      <c r="A37" s="100" t="s">
        <v>26</v>
      </c>
      <c r="B37" s="2" t="s">
        <v>151</v>
      </c>
      <c r="C37" s="3"/>
      <c r="D37" s="101" t="n">
        <v>6283101</v>
      </c>
      <c r="E37" s="102" t="n">
        <v>45105</v>
      </c>
      <c r="F37" s="103" t="s">
        <v>53</v>
      </c>
      <c r="G37" s="5" t="n">
        <v>45105</v>
      </c>
      <c r="H37" s="105"/>
      <c r="I37" s="106"/>
      <c r="J37" s="106"/>
      <c r="K37" s="106"/>
      <c r="L37" s="106"/>
      <c r="M37" s="105"/>
      <c r="N37" s="106"/>
      <c r="O37" s="105"/>
      <c r="P37" s="7"/>
      <c r="Q37" s="107"/>
      <c r="R37" s="105" t="n">
        <v>195</v>
      </c>
      <c r="S37" s="107" t="n">
        <v>37.5</v>
      </c>
      <c r="T37" s="108" t="n">
        <v>18.04</v>
      </c>
      <c r="U37" s="95" t="n">
        <f aca="false">SUM(H37:T37)</f>
        <v>250.54</v>
      </c>
      <c r="V37" s="109" t="s">
        <v>54</v>
      </c>
      <c r="W37" s="10" t="s">
        <v>74</v>
      </c>
      <c r="X37" s="110" t="s">
        <v>37</v>
      </c>
      <c r="Y37" s="252"/>
      <c r="Z37" s="253"/>
    </row>
    <row r="38" s="10" customFormat="true" ht="14.1" hidden="false" customHeight="true" outlineLevel="0" collapsed="false">
      <c r="A38" s="100" t="s">
        <v>26</v>
      </c>
      <c r="B38" s="2" t="s">
        <v>136</v>
      </c>
      <c r="C38" s="3" t="s">
        <v>137</v>
      </c>
      <c r="D38" s="101" t="n">
        <v>6233102</v>
      </c>
      <c r="E38" s="102" t="n">
        <v>45100</v>
      </c>
      <c r="F38" s="103" t="s">
        <v>53</v>
      </c>
      <c r="G38" s="5" t="n">
        <v>45100</v>
      </c>
      <c r="H38" s="105"/>
      <c r="I38" s="106"/>
      <c r="J38" s="106"/>
      <c r="K38" s="106"/>
      <c r="L38" s="106"/>
      <c r="M38" s="105"/>
      <c r="N38" s="106"/>
      <c r="O38" s="105"/>
      <c r="P38" s="7"/>
      <c r="Q38" s="107"/>
      <c r="R38" s="105" t="n">
        <v>440</v>
      </c>
      <c r="S38" s="107"/>
      <c r="T38" s="108"/>
      <c r="U38" s="95" t="n">
        <f aca="false">SUM(H38:T38)</f>
        <v>440</v>
      </c>
      <c r="V38" s="109" t="s">
        <v>85</v>
      </c>
      <c r="W38" s="10" t="s">
        <v>138</v>
      </c>
      <c r="X38" s="110" t="s">
        <v>37</v>
      </c>
      <c r="Y38" s="252"/>
      <c r="Z38" s="253"/>
    </row>
    <row r="39" s="10" customFormat="true" ht="14.1" hidden="false" customHeight="true" outlineLevel="0" collapsed="false">
      <c r="A39" s="236" t="s">
        <v>26</v>
      </c>
      <c r="B39" s="237" t="s">
        <v>114</v>
      </c>
      <c r="C39" s="238"/>
      <c r="D39" s="239" t="n">
        <v>5123065</v>
      </c>
      <c r="E39" s="240" t="n">
        <v>45058</v>
      </c>
      <c r="F39" s="241" t="s">
        <v>53</v>
      </c>
      <c r="G39" s="242" t="n">
        <v>45061</v>
      </c>
      <c r="H39" s="243"/>
      <c r="I39" s="244"/>
      <c r="J39" s="244"/>
      <c r="K39" s="244"/>
      <c r="L39" s="244"/>
      <c r="M39" s="243"/>
      <c r="N39" s="244"/>
      <c r="O39" s="243"/>
      <c r="P39" s="245"/>
      <c r="Q39" s="246"/>
      <c r="R39" s="243" t="n">
        <v>149</v>
      </c>
      <c r="S39" s="246" t="n">
        <v>37.5</v>
      </c>
      <c r="T39" s="247" t="n">
        <v>12.85</v>
      </c>
      <c r="U39" s="248" t="n">
        <f aca="false">SUM(H39:T39)</f>
        <v>199.35</v>
      </c>
      <c r="V39" s="249" t="s">
        <v>54</v>
      </c>
      <c r="W39" s="250" t="s">
        <v>74</v>
      </c>
      <c r="X39" s="110" t="s">
        <v>37</v>
      </c>
      <c r="Y39" s="186"/>
      <c r="Z39" s="51"/>
    </row>
    <row r="40" s="10" customFormat="true" ht="14.1" hidden="false" customHeight="true" outlineLevel="0" collapsed="false">
      <c r="A40" s="100" t="s">
        <v>26</v>
      </c>
      <c r="B40" s="2" t="s">
        <v>132</v>
      </c>
      <c r="C40" s="3"/>
      <c r="D40" s="101" t="n">
        <v>6083101</v>
      </c>
      <c r="E40" s="102" t="n">
        <v>45085</v>
      </c>
      <c r="F40" s="103" t="s">
        <v>53</v>
      </c>
      <c r="G40" s="5" t="n">
        <v>45085</v>
      </c>
      <c r="H40" s="105"/>
      <c r="I40" s="106"/>
      <c r="J40" s="106"/>
      <c r="K40" s="106"/>
      <c r="L40" s="106"/>
      <c r="M40" s="105"/>
      <c r="N40" s="106"/>
      <c r="O40" s="105"/>
      <c r="P40" s="7"/>
      <c r="Q40" s="107"/>
      <c r="R40" s="105" t="n">
        <v>650</v>
      </c>
      <c r="S40" s="107" t="n">
        <v>125</v>
      </c>
      <c r="T40" s="108" t="n">
        <v>60.13</v>
      </c>
      <c r="U40" s="95" t="n">
        <f aca="false">SUM(H40:T40)</f>
        <v>835.13</v>
      </c>
      <c r="V40" s="109" t="s">
        <v>54</v>
      </c>
      <c r="W40" s="10" t="s">
        <v>26</v>
      </c>
      <c r="X40" s="110" t="s">
        <v>37</v>
      </c>
      <c r="Y40" s="252"/>
      <c r="Z40" s="253"/>
    </row>
    <row r="41" s="10" customFormat="true" ht="14.1" hidden="false" customHeight="true" outlineLevel="0" collapsed="false">
      <c r="A41" s="100" t="s">
        <v>26</v>
      </c>
      <c r="B41" s="2" t="s">
        <v>158</v>
      </c>
      <c r="C41" s="3"/>
      <c r="D41" s="101" t="n">
        <v>6303105</v>
      </c>
      <c r="E41" s="102" t="n">
        <v>45107</v>
      </c>
      <c r="F41" s="103" t="s">
        <v>53</v>
      </c>
      <c r="G41" s="5" t="n">
        <v>45107</v>
      </c>
      <c r="H41" s="105"/>
      <c r="I41" s="106"/>
      <c r="J41" s="106"/>
      <c r="K41" s="106"/>
      <c r="L41" s="106"/>
      <c r="M41" s="105"/>
      <c r="N41" s="106"/>
      <c r="O41" s="105"/>
      <c r="P41" s="7"/>
      <c r="Q41" s="107"/>
      <c r="R41" s="105" t="n">
        <v>78</v>
      </c>
      <c r="S41" s="107" t="n">
        <v>25</v>
      </c>
      <c r="T41" s="108" t="n">
        <v>7.22</v>
      </c>
      <c r="U41" s="95" t="n">
        <f aca="false">SUM(H41:T41)</f>
        <v>110.22</v>
      </c>
      <c r="V41" s="109" t="s">
        <v>54</v>
      </c>
      <c r="W41" s="10" t="s">
        <v>45</v>
      </c>
      <c r="X41" s="110" t="s">
        <v>37</v>
      </c>
      <c r="Y41" s="252"/>
      <c r="Z41" s="253"/>
    </row>
    <row r="42" s="10" customFormat="true" ht="14.1" hidden="false" customHeight="true" outlineLevel="0" collapsed="false">
      <c r="A42" s="100" t="s">
        <v>26</v>
      </c>
      <c r="B42" s="2" t="s">
        <v>149</v>
      </c>
      <c r="C42" s="3"/>
      <c r="D42" s="101" t="n">
        <v>6263103</v>
      </c>
      <c r="E42" s="102" t="n">
        <v>45103</v>
      </c>
      <c r="F42" s="103" t="s">
        <v>53</v>
      </c>
      <c r="G42" s="5" t="n">
        <v>45103</v>
      </c>
      <c r="H42" s="105"/>
      <c r="I42" s="106"/>
      <c r="J42" s="106"/>
      <c r="K42" s="106"/>
      <c r="L42" s="106"/>
      <c r="M42" s="105"/>
      <c r="N42" s="106"/>
      <c r="O42" s="105"/>
      <c r="P42" s="7"/>
      <c r="Q42" s="107"/>
      <c r="R42" s="105" t="n">
        <v>204</v>
      </c>
      <c r="S42" s="107" t="n">
        <v>50</v>
      </c>
      <c r="T42" s="108" t="n">
        <v>18.36</v>
      </c>
      <c r="U42" s="95" t="n">
        <f aca="false">SUM(H42:T42)</f>
        <v>272.36</v>
      </c>
      <c r="V42" s="109" t="s">
        <v>54</v>
      </c>
      <c r="W42" s="10" t="s">
        <v>45</v>
      </c>
      <c r="X42" s="110" t="s">
        <v>37</v>
      </c>
      <c r="Y42" s="252"/>
      <c r="Z42" s="253"/>
    </row>
    <row r="43" s="10" customFormat="true" ht="14.1" hidden="false" customHeight="true" outlineLevel="0" collapsed="false">
      <c r="A43" s="100" t="s">
        <v>26</v>
      </c>
      <c r="B43" s="2" t="s">
        <v>133</v>
      </c>
      <c r="C43" s="3"/>
      <c r="D43" s="101" t="n">
        <v>6013103</v>
      </c>
      <c r="E43" s="102" t="n">
        <v>45078</v>
      </c>
      <c r="F43" s="103" t="s">
        <v>53</v>
      </c>
      <c r="G43" s="5" t="n">
        <v>45079</v>
      </c>
      <c r="H43" s="105"/>
      <c r="I43" s="106"/>
      <c r="J43" s="106"/>
      <c r="K43" s="106"/>
      <c r="L43" s="106"/>
      <c r="M43" s="105"/>
      <c r="N43" s="106"/>
      <c r="O43" s="105"/>
      <c r="P43" s="7"/>
      <c r="Q43" s="107"/>
      <c r="R43" s="105" t="n">
        <v>545</v>
      </c>
      <c r="S43" s="107" t="n">
        <v>112.5</v>
      </c>
      <c r="T43" s="108" t="n">
        <v>50.41</v>
      </c>
      <c r="U43" s="95" t="n">
        <f aca="false">SUM(H43:T43)</f>
        <v>707.91</v>
      </c>
      <c r="V43" s="109" t="s">
        <v>54</v>
      </c>
      <c r="W43" s="10" t="s">
        <v>74</v>
      </c>
      <c r="X43" s="110" t="s">
        <v>37</v>
      </c>
      <c r="Y43" s="252"/>
      <c r="Z43" s="253"/>
    </row>
    <row r="44" s="10" customFormat="true" ht="14.1" hidden="false" customHeight="true" outlineLevel="0" collapsed="false">
      <c r="A44" s="100" t="s">
        <v>26</v>
      </c>
      <c r="B44" s="292" t="s">
        <v>159</v>
      </c>
      <c r="C44" s="293" t="s">
        <v>160</v>
      </c>
      <c r="D44" s="101" t="n">
        <v>6293111</v>
      </c>
      <c r="E44" s="102" t="n">
        <v>45106</v>
      </c>
      <c r="F44" s="103" t="s">
        <v>53</v>
      </c>
      <c r="G44" s="294" t="n">
        <v>45106</v>
      </c>
      <c r="H44" s="105"/>
      <c r="I44" s="106"/>
      <c r="J44" s="106"/>
      <c r="K44" s="106"/>
      <c r="L44" s="106"/>
      <c r="M44" s="105"/>
      <c r="N44" s="106"/>
      <c r="O44" s="105"/>
      <c r="P44" s="295"/>
      <c r="Q44" s="107"/>
      <c r="R44" s="105" t="n">
        <v>90</v>
      </c>
      <c r="S44" s="107"/>
      <c r="T44" s="108" t="n">
        <v>8.33</v>
      </c>
      <c r="U44" s="95" t="n">
        <f aca="false">SUM(H44:T44)</f>
        <v>98.33</v>
      </c>
      <c r="V44" s="109" t="s">
        <v>30</v>
      </c>
      <c r="W44" s="296" t="s">
        <v>26</v>
      </c>
      <c r="X44" s="110" t="s">
        <v>37</v>
      </c>
      <c r="Y44" s="252"/>
      <c r="Z44" s="253"/>
    </row>
    <row r="45" s="10" customFormat="true" ht="14.1" hidden="false" customHeight="true" outlineLevel="0" collapsed="false">
      <c r="A45" s="100" t="s">
        <v>26</v>
      </c>
      <c r="B45" s="2" t="s">
        <v>139</v>
      </c>
      <c r="C45" s="3"/>
      <c r="D45" s="101" t="n">
        <v>6093103</v>
      </c>
      <c r="E45" s="102" t="n">
        <v>45086</v>
      </c>
      <c r="F45" s="103" t="s">
        <v>53</v>
      </c>
      <c r="G45" s="5" t="n">
        <v>45086</v>
      </c>
      <c r="H45" s="105"/>
      <c r="I45" s="106"/>
      <c r="J45" s="106"/>
      <c r="K45" s="106"/>
      <c r="L45" s="106"/>
      <c r="M45" s="105"/>
      <c r="N45" s="106"/>
      <c r="O45" s="105"/>
      <c r="P45" s="7"/>
      <c r="Q45" s="107"/>
      <c r="R45" s="105" t="n">
        <v>330</v>
      </c>
      <c r="S45" s="107" t="n">
        <v>75</v>
      </c>
      <c r="T45" s="108" t="n">
        <v>33.83</v>
      </c>
      <c r="U45" s="95" t="n">
        <f aca="false">SUM(H45:T45)</f>
        <v>438.83</v>
      </c>
      <c r="V45" s="109" t="s">
        <v>54</v>
      </c>
      <c r="W45" s="10" t="s">
        <v>26</v>
      </c>
      <c r="X45" s="110" t="s">
        <v>37</v>
      </c>
      <c r="Y45" s="252"/>
      <c r="Z45" s="253"/>
    </row>
    <row r="46" s="10" customFormat="true" ht="14.1" hidden="false" customHeight="true" outlineLevel="0" collapsed="false">
      <c r="A46" s="100" t="s">
        <v>26</v>
      </c>
      <c r="B46" s="2" t="s">
        <v>153</v>
      </c>
      <c r="C46" s="3"/>
      <c r="D46" s="101" t="n">
        <v>6083103</v>
      </c>
      <c r="E46" s="102" t="n">
        <v>45084</v>
      </c>
      <c r="F46" s="103" t="s">
        <v>53</v>
      </c>
      <c r="G46" s="5" t="n">
        <v>45085</v>
      </c>
      <c r="H46" s="105"/>
      <c r="I46" s="106"/>
      <c r="J46" s="106"/>
      <c r="K46" s="106"/>
      <c r="L46" s="106"/>
      <c r="M46" s="105"/>
      <c r="N46" s="106"/>
      <c r="O46" s="105"/>
      <c r="P46" s="7"/>
      <c r="Q46" s="107"/>
      <c r="R46" s="105" t="n">
        <v>175</v>
      </c>
      <c r="S46" s="107" t="n">
        <v>37.5</v>
      </c>
      <c r="T46" s="108" t="n">
        <v>15.09</v>
      </c>
      <c r="U46" s="95" t="n">
        <f aca="false">SUM(H46:T46)</f>
        <v>227.59</v>
      </c>
      <c r="V46" s="109" t="s">
        <v>54</v>
      </c>
      <c r="W46" s="10" t="s">
        <v>26</v>
      </c>
      <c r="X46" s="110" t="s">
        <v>37</v>
      </c>
      <c r="Y46" s="252"/>
      <c r="Z46" s="253"/>
    </row>
    <row r="47" s="10" customFormat="true" ht="14.1" hidden="false" customHeight="true" outlineLevel="0" collapsed="false">
      <c r="A47" s="100" t="s">
        <v>26</v>
      </c>
      <c r="B47" s="2" t="s">
        <v>131</v>
      </c>
      <c r="C47" s="3"/>
      <c r="D47" s="101" t="n">
        <v>6293107</v>
      </c>
      <c r="E47" s="102" t="n">
        <v>45106</v>
      </c>
      <c r="F47" s="103" t="s">
        <v>53</v>
      </c>
      <c r="G47" s="5" t="n">
        <v>45106</v>
      </c>
      <c r="H47" s="105"/>
      <c r="I47" s="106"/>
      <c r="J47" s="106"/>
      <c r="K47" s="106"/>
      <c r="L47" s="106"/>
      <c r="M47" s="105"/>
      <c r="N47" s="106"/>
      <c r="O47" s="105"/>
      <c r="P47" s="7"/>
      <c r="Q47" s="107"/>
      <c r="R47" s="105" t="n">
        <v>734</v>
      </c>
      <c r="S47" s="107" t="n">
        <v>150</v>
      </c>
      <c r="T47" s="108" t="n">
        <v>67.9</v>
      </c>
      <c r="U47" s="95" t="n">
        <f aca="false">SUM(H47:T47)</f>
        <v>951.9</v>
      </c>
      <c r="V47" s="109" t="s">
        <v>54</v>
      </c>
      <c r="W47" s="10" t="s">
        <v>26</v>
      </c>
      <c r="X47" s="110" t="s">
        <v>37</v>
      </c>
      <c r="Y47" s="252"/>
      <c r="Z47" s="253"/>
    </row>
    <row r="48" s="10" customFormat="true" ht="14.1" hidden="false" customHeight="true" outlineLevel="0" collapsed="false">
      <c r="A48" s="187" t="s">
        <v>26</v>
      </c>
      <c r="B48" s="172" t="s">
        <v>87</v>
      </c>
      <c r="C48" s="173" t="s">
        <v>88</v>
      </c>
      <c r="D48" s="174" t="n">
        <v>3213106</v>
      </c>
      <c r="E48" s="175" t="n">
        <v>45006</v>
      </c>
      <c r="F48" s="176" t="s">
        <v>53</v>
      </c>
      <c r="G48" s="177" t="n">
        <v>45006</v>
      </c>
      <c r="H48" s="178"/>
      <c r="I48" s="179"/>
      <c r="J48" s="179"/>
      <c r="K48" s="179"/>
      <c r="L48" s="179"/>
      <c r="M48" s="178"/>
      <c r="N48" s="179"/>
      <c r="O48" s="178"/>
      <c r="P48" s="180"/>
      <c r="Q48" s="181"/>
      <c r="R48" s="178" t="n">
        <v>45</v>
      </c>
      <c r="S48" s="181" t="n">
        <v>12.5</v>
      </c>
      <c r="T48" s="182" t="n">
        <v>3.94</v>
      </c>
      <c r="U48" s="183" t="n">
        <f aca="false">SUM(H48:T48)</f>
        <v>61.44</v>
      </c>
      <c r="V48" s="184" t="s">
        <v>54</v>
      </c>
      <c r="W48" s="185" t="s">
        <v>38</v>
      </c>
      <c r="X48" s="110" t="s">
        <v>37</v>
      </c>
      <c r="Y48" s="186"/>
      <c r="Z48" s="51"/>
    </row>
    <row r="49" s="10" customFormat="true" ht="14.1" hidden="false" customHeight="true" outlineLevel="0" collapsed="false">
      <c r="A49" s="187" t="s">
        <v>26</v>
      </c>
      <c r="B49" s="172" t="s">
        <v>87</v>
      </c>
      <c r="C49" s="173" t="s">
        <v>88</v>
      </c>
      <c r="D49" s="174" t="n">
        <v>3243105</v>
      </c>
      <c r="E49" s="175" t="n">
        <v>45009</v>
      </c>
      <c r="F49" s="176" t="s">
        <v>53</v>
      </c>
      <c r="G49" s="177" t="n">
        <v>45009</v>
      </c>
      <c r="H49" s="178"/>
      <c r="I49" s="179"/>
      <c r="J49" s="179"/>
      <c r="K49" s="179"/>
      <c r="L49" s="179"/>
      <c r="M49" s="178"/>
      <c r="N49" s="179"/>
      <c r="O49" s="178"/>
      <c r="P49" s="180"/>
      <c r="Q49" s="181"/>
      <c r="R49" s="178" t="n">
        <v>45</v>
      </c>
      <c r="S49" s="181" t="n">
        <v>12.5</v>
      </c>
      <c r="T49" s="182" t="n">
        <v>3.94</v>
      </c>
      <c r="U49" s="183" t="n">
        <f aca="false">SUM(H49:T49)</f>
        <v>61.44</v>
      </c>
      <c r="V49" s="184" t="s">
        <v>54</v>
      </c>
      <c r="W49" s="185" t="s">
        <v>74</v>
      </c>
      <c r="X49" s="110" t="s">
        <v>37</v>
      </c>
      <c r="Y49" s="186"/>
      <c r="Z49" s="51"/>
    </row>
    <row r="50" s="10" customFormat="true" ht="14.1" hidden="false" customHeight="true" outlineLevel="0" collapsed="false">
      <c r="A50" s="100" t="s">
        <v>26</v>
      </c>
      <c r="B50" s="2" t="s">
        <v>147</v>
      </c>
      <c r="C50" s="3"/>
      <c r="D50" s="101" t="n">
        <v>6133101</v>
      </c>
      <c r="E50" s="102" t="n">
        <v>45090</v>
      </c>
      <c r="F50" s="103" t="s">
        <v>53</v>
      </c>
      <c r="G50" s="5" t="n">
        <v>45091</v>
      </c>
      <c r="H50" s="105"/>
      <c r="I50" s="106"/>
      <c r="J50" s="106"/>
      <c r="K50" s="106"/>
      <c r="L50" s="106"/>
      <c r="M50" s="105"/>
      <c r="N50" s="106"/>
      <c r="O50" s="105"/>
      <c r="P50" s="7"/>
      <c r="Q50" s="107"/>
      <c r="R50" s="105" t="n">
        <v>220</v>
      </c>
      <c r="S50" s="107" t="n">
        <v>50</v>
      </c>
      <c r="T50" s="108" t="n">
        <v>18.15</v>
      </c>
      <c r="U50" s="95" t="n">
        <f aca="false">SUM(H50:T50)</f>
        <v>288.15</v>
      </c>
      <c r="V50" s="109" t="s">
        <v>54</v>
      </c>
      <c r="W50" s="10" t="s">
        <v>74</v>
      </c>
      <c r="X50" s="110" t="s">
        <v>37</v>
      </c>
      <c r="Y50" s="252"/>
      <c r="Z50" s="253"/>
    </row>
    <row r="51" s="10" customFormat="true" ht="14.1" hidden="false" customHeight="true" outlineLevel="0" collapsed="false">
      <c r="A51" s="100" t="s">
        <v>26</v>
      </c>
      <c r="B51" s="2" t="s">
        <v>150</v>
      </c>
      <c r="C51" s="3"/>
      <c r="D51" s="101" t="n">
        <v>6053102</v>
      </c>
      <c r="E51" s="102" t="n">
        <v>45082</v>
      </c>
      <c r="F51" s="103" t="s">
        <v>53</v>
      </c>
      <c r="G51" s="5" t="n">
        <v>45083</v>
      </c>
      <c r="H51" s="105"/>
      <c r="I51" s="106"/>
      <c r="J51" s="106"/>
      <c r="K51" s="106"/>
      <c r="L51" s="106"/>
      <c r="M51" s="105"/>
      <c r="N51" s="106"/>
      <c r="O51" s="105"/>
      <c r="P51" s="7"/>
      <c r="Q51" s="107"/>
      <c r="R51" s="105" t="n">
        <v>200</v>
      </c>
      <c r="S51" s="107" t="n">
        <v>50</v>
      </c>
      <c r="T51" s="108" t="n">
        <v>17.25</v>
      </c>
      <c r="U51" s="95" t="n">
        <f aca="false">SUM(H51:T51)</f>
        <v>267.25</v>
      </c>
      <c r="V51" s="109" t="s">
        <v>54</v>
      </c>
      <c r="W51" s="10" t="s">
        <v>74</v>
      </c>
      <c r="X51" s="110" t="s">
        <v>37</v>
      </c>
      <c r="Y51" s="252"/>
      <c r="Z51" s="253"/>
    </row>
    <row r="52" s="10" customFormat="true" ht="14.1" hidden="false" customHeight="true" outlineLevel="0" collapsed="false">
      <c r="A52" s="297" t="s">
        <v>26</v>
      </c>
      <c r="B52" s="298" t="s">
        <v>109</v>
      </c>
      <c r="C52" s="299"/>
      <c r="D52" s="299" t="n">
        <v>5263106</v>
      </c>
      <c r="E52" s="300" t="n">
        <v>45072</v>
      </c>
      <c r="F52" s="301" t="s">
        <v>53</v>
      </c>
      <c r="G52" s="302" t="n">
        <v>45072</v>
      </c>
      <c r="H52" s="303"/>
      <c r="I52" s="303"/>
      <c r="J52" s="304"/>
      <c r="K52" s="304"/>
      <c r="L52" s="304"/>
      <c r="M52" s="303"/>
      <c r="N52" s="303"/>
      <c r="O52" s="303"/>
      <c r="P52" s="305"/>
      <c r="Q52" s="306"/>
      <c r="R52" s="303" t="n">
        <v>214</v>
      </c>
      <c r="S52" s="306" t="n">
        <v>50</v>
      </c>
      <c r="T52" s="307" t="n">
        <v>20.33</v>
      </c>
      <c r="U52" s="308" t="n">
        <f aca="false">SUM(H52:T52)</f>
        <v>284.33</v>
      </c>
      <c r="V52" s="309" t="s">
        <v>54</v>
      </c>
      <c r="W52" s="310" t="s">
        <v>26</v>
      </c>
      <c r="X52" s="29" t="s">
        <v>37</v>
      </c>
      <c r="Y52" s="286"/>
      <c r="Z52" s="51"/>
    </row>
    <row r="53" s="10" customFormat="true" ht="14.1" hidden="false" customHeight="true" outlineLevel="0" collapsed="false">
      <c r="A53" s="236" t="s">
        <v>26</v>
      </c>
      <c r="B53" s="237" t="s">
        <v>115</v>
      </c>
      <c r="C53" s="238"/>
      <c r="D53" s="239" t="n">
        <v>5043101</v>
      </c>
      <c r="E53" s="240" t="n">
        <v>45050</v>
      </c>
      <c r="F53" s="241" t="s">
        <v>53</v>
      </c>
      <c r="G53" s="242" t="n">
        <v>45050</v>
      </c>
      <c r="H53" s="243"/>
      <c r="I53" s="244"/>
      <c r="J53" s="244"/>
      <c r="K53" s="244"/>
      <c r="L53" s="244"/>
      <c r="M53" s="243"/>
      <c r="N53" s="244"/>
      <c r="O53" s="243"/>
      <c r="P53" s="245"/>
      <c r="Q53" s="246"/>
      <c r="R53" s="243" t="n">
        <v>130</v>
      </c>
      <c r="S53" s="246" t="n">
        <v>25</v>
      </c>
      <c r="T53" s="247" t="n">
        <v>10.73</v>
      </c>
      <c r="U53" s="248" t="n">
        <f aca="false">SUM(H53:T53)</f>
        <v>165.73</v>
      </c>
      <c r="V53" s="249" t="s">
        <v>54</v>
      </c>
      <c r="W53" s="250" t="s">
        <v>74</v>
      </c>
      <c r="X53" s="110" t="s">
        <v>37</v>
      </c>
      <c r="Y53" s="186"/>
      <c r="Z53" s="51"/>
    </row>
    <row r="54" s="10" customFormat="true" ht="14.1" hidden="false" customHeight="true" outlineLevel="0" collapsed="false">
      <c r="A54" s="100" t="s">
        <v>26</v>
      </c>
      <c r="B54" s="2" t="s">
        <v>156</v>
      </c>
      <c r="C54" s="3"/>
      <c r="D54" s="101" t="n">
        <v>6233103</v>
      </c>
      <c r="E54" s="102" t="n">
        <v>45100</v>
      </c>
      <c r="F54" s="103" t="s">
        <v>53</v>
      </c>
      <c r="G54" s="5" t="n">
        <v>45100</v>
      </c>
      <c r="H54" s="105"/>
      <c r="I54" s="106"/>
      <c r="J54" s="106"/>
      <c r="K54" s="106"/>
      <c r="L54" s="106"/>
      <c r="M54" s="105"/>
      <c r="N54" s="106"/>
      <c r="O54" s="105"/>
      <c r="P54" s="7"/>
      <c r="Q54" s="107"/>
      <c r="R54" s="105" t="n">
        <v>110</v>
      </c>
      <c r="S54" s="107" t="n">
        <v>25</v>
      </c>
      <c r="T54" s="108" t="n">
        <v>9.35</v>
      </c>
      <c r="U54" s="95" t="n">
        <f aca="false">SUM(H54:T54)</f>
        <v>144.35</v>
      </c>
      <c r="V54" s="109" t="s">
        <v>54</v>
      </c>
      <c r="W54" s="10" t="s">
        <v>26</v>
      </c>
      <c r="X54" s="110" t="s">
        <v>37</v>
      </c>
      <c r="Y54" s="252"/>
      <c r="Z54" s="253"/>
    </row>
    <row r="55" s="10" customFormat="true" ht="14.1" hidden="false" customHeight="true" outlineLevel="0" collapsed="false">
      <c r="A55" s="100" t="s">
        <v>26</v>
      </c>
      <c r="B55" s="2" t="s">
        <v>164</v>
      </c>
      <c r="C55" s="3" t="s">
        <v>165</v>
      </c>
      <c r="D55" s="101" t="n">
        <v>6223102</v>
      </c>
      <c r="E55" s="102" t="n">
        <v>45099</v>
      </c>
      <c r="F55" s="103" t="s">
        <v>53</v>
      </c>
      <c r="G55" s="5" t="n">
        <v>45099</v>
      </c>
      <c r="H55" s="105"/>
      <c r="I55" s="106"/>
      <c r="J55" s="106"/>
      <c r="K55" s="106"/>
      <c r="L55" s="106"/>
      <c r="M55" s="105"/>
      <c r="N55" s="106"/>
      <c r="O55" s="105"/>
      <c r="P55" s="7"/>
      <c r="Q55" s="107"/>
      <c r="R55" s="105" t="n">
        <v>65</v>
      </c>
      <c r="S55" s="107" t="n">
        <v>12.5</v>
      </c>
      <c r="T55" s="108" t="n">
        <v>6.01</v>
      </c>
      <c r="U55" s="95" t="n">
        <f aca="false">SUM(H55:T55)</f>
        <v>83.51</v>
      </c>
      <c r="V55" s="109" t="s">
        <v>54</v>
      </c>
      <c r="W55" s="10" t="s">
        <v>45</v>
      </c>
      <c r="X55" s="110" t="s">
        <v>37</v>
      </c>
      <c r="Y55" s="252"/>
      <c r="Z55" s="253"/>
    </row>
    <row r="56" s="10" customFormat="true" ht="14.1" hidden="false" customHeight="true" outlineLevel="0" collapsed="false">
      <c r="A56" s="236" t="s">
        <v>26</v>
      </c>
      <c r="B56" s="237" t="s">
        <v>106</v>
      </c>
      <c r="C56" s="238"/>
      <c r="D56" s="239" t="n">
        <v>5223105</v>
      </c>
      <c r="E56" s="240" t="n">
        <v>45068</v>
      </c>
      <c r="F56" s="241" t="s">
        <v>53</v>
      </c>
      <c r="G56" s="242" t="n">
        <v>45068</v>
      </c>
      <c r="H56" s="243"/>
      <c r="I56" s="244"/>
      <c r="J56" s="244"/>
      <c r="K56" s="244"/>
      <c r="L56" s="244"/>
      <c r="M56" s="243"/>
      <c r="N56" s="244"/>
      <c r="O56" s="243"/>
      <c r="P56" s="245"/>
      <c r="Q56" s="246"/>
      <c r="R56" s="243" t="n">
        <v>360</v>
      </c>
      <c r="S56" s="246" t="n">
        <v>75</v>
      </c>
      <c r="T56" s="247" t="n">
        <v>31.05</v>
      </c>
      <c r="U56" s="248" t="n">
        <f aca="false">SUM(H56:T56)</f>
        <v>466.05</v>
      </c>
      <c r="V56" s="249" t="s">
        <v>54</v>
      </c>
      <c r="W56" s="250" t="s">
        <v>74</v>
      </c>
      <c r="X56" s="110" t="s">
        <v>37</v>
      </c>
      <c r="Y56" s="186"/>
      <c r="Z56" s="51"/>
    </row>
    <row r="57" s="10" customFormat="true" ht="14.1" hidden="false" customHeight="true" outlineLevel="0" collapsed="false">
      <c r="A57" s="100" t="s">
        <v>26</v>
      </c>
      <c r="B57" s="2" t="s">
        <v>134</v>
      </c>
      <c r="C57" s="3"/>
      <c r="D57" s="101" t="n">
        <v>6213102</v>
      </c>
      <c r="E57" s="102" t="n">
        <v>45098</v>
      </c>
      <c r="F57" s="103" t="s">
        <v>53</v>
      </c>
      <c r="G57" s="5" t="n">
        <v>45098</v>
      </c>
      <c r="H57" s="105"/>
      <c r="I57" s="106"/>
      <c r="J57" s="106"/>
      <c r="K57" s="106"/>
      <c r="L57" s="106"/>
      <c r="M57" s="105"/>
      <c r="N57" s="106"/>
      <c r="O57" s="105"/>
      <c r="P57" s="7"/>
      <c r="Q57" s="107"/>
      <c r="R57" s="105" t="n">
        <v>455</v>
      </c>
      <c r="S57" s="107" t="n">
        <v>112.5</v>
      </c>
      <c r="T57" s="108" t="n">
        <v>39.24</v>
      </c>
      <c r="U57" s="95" t="n">
        <f aca="false">SUM(H57:T57)</f>
        <v>606.74</v>
      </c>
      <c r="V57" s="109" t="s">
        <v>54</v>
      </c>
      <c r="W57" s="10" t="s">
        <v>74</v>
      </c>
      <c r="X57" s="110" t="s">
        <v>37</v>
      </c>
      <c r="Y57" s="252"/>
      <c r="Z57" s="253"/>
    </row>
    <row r="58" s="10" customFormat="true" ht="14.1" hidden="false" customHeight="true" outlineLevel="0" collapsed="false">
      <c r="A58" s="236" t="s">
        <v>26</v>
      </c>
      <c r="B58" s="237" t="s">
        <v>113</v>
      </c>
      <c r="C58" s="238"/>
      <c r="D58" s="239" t="n">
        <v>5053102</v>
      </c>
      <c r="E58" s="240" t="n">
        <v>45051</v>
      </c>
      <c r="F58" s="241" t="s">
        <v>53</v>
      </c>
      <c r="G58" s="242" t="n">
        <v>45051</v>
      </c>
      <c r="H58" s="243"/>
      <c r="I58" s="244"/>
      <c r="J58" s="244"/>
      <c r="K58" s="244"/>
      <c r="L58" s="244"/>
      <c r="M58" s="243"/>
      <c r="N58" s="244"/>
      <c r="O58" s="243"/>
      <c r="P58" s="245"/>
      <c r="Q58" s="246"/>
      <c r="R58" s="243" t="n">
        <v>145</v>
      </c>
      <c r="S58" s="246" t="n">
        <v>50</v>
      </c>
      <c r="T58" s="247" t="n">
        <v>13.41</v>
      </c>
      <c r="U58" s="248" t="n">
        <f aca="false">SUM(H58:T58)</f>
        <v>208.41</v>
      </c>
      <c r="V58" s="249" t="s">
        <v>54</v>
      </c>
      <c r="W58" s="250" t="s">
        <v>74</v>
      </c>
      <c r="X58" s="110" t="s">
        <v>37</v>
      </c>
      <c r="Y58" s="186"/>
      <c r="Z58" s="51"/>
    </row>
    <row r="59" s="10" customFormat="true" ht="14.1" hidden="false" customHeight="true" outlineLevel="0" collapsed="false">
      <c r="A59" s="100" t="s">
        <v>26</v>
      </c>
      <c r="B59" s="2" t="s">
        <v>113</v>
      </c>
      <c r="C59" s="3"/>
      <c r="D59" s="101" t="n">
        <v>6203104</v>
      </c>
      <c r="E59" s="102" t="n">
        <v>45097</v>
      </c>
      <c r="F59" s="103" t="s">
        <v>53</v>
      </c>
      <c r="G59" s="5" t="n">
        <v>45097</v>
      </c>
      <c r="H59" s="105"/>
      <c r="I59" s="106"/>
      <c r="J59" s="106"/>
      <c r="K59" s="106"/>
      <c r="L59" s="106"/>
      <c r="M59" s="105"/>
      <c r="N59" s="106"/>
      <c r="O59" s="105"/>
      <c r="P59" s="7"/>
      <c r="Q59" s="107"/>
      <c r="R59" s="105" t="n">
        <v>175</v>
      </c>
      <c r="S59" s="107" t="n">
        <v>62.5</v>
      </c>
      <c r="T59" s="108" t="n">
        <v>16.19</v>
      </c>
      <c r="U59" s="95" t="n">
        <f aca="false">SUM(H59:T59)</f>
        <v>253.69</v>
      </c>
      <c r="V59" s="109" t="s">
        <v>54</v>
      </c>
      <c r="W59" s="10" t="s">
        <v>26</v>
      </c>
      <c r="X59" s="110" t="s">
        <v>37</v>
      </c>
      <c r="Y59" s="252"/>
      <c r="Z59" s="253"/>
    </row>
    <row r="60" s="10" customFormat="true" ht="14.1" hidden="false" customHeight="true" outlineLevel="0" collapsed="false">
      <c r="A60" s="220" t="s">
        <v>26</v>
      </c>
      <c r="B60" s="221" t="s">
        <v>96</v>
      </c>
      <c r="C60" s="222"/>
      <c r="D60" s="223" t="n">
        <v>4173103</v>
      </c>
      <c r="E60" s="224" t="n">
        <v>45033</v>
      </c>
      <c r="F60" s="225" t="s">
        <v>53</v>
      </c>
      <c r="G60" s="226" t="n">
        <v>45033</v>
      </c>
      <c r="H60" s="227"/>
      <c r="I60" s="228"/>
      <c r="J60" s="228"/>
      <c r="K60" s="228"/>
      <c r="L60" s="228"/>
      <c r="M60" s="227"/>
      <c r="N60" s="228"/>
      <c r="O60" s="227"/>
      <c r="P60" s="229"/>
      <c r="Q60" s="230"/>
      <c r="R60" s="227" t="n">
        <v>195</v>
      </c>
      <c r="S60" s="230" t="n">
        <v>25</v>
      </c>
      <c r="T60" s="231" t="n">
        <v>18.28</v>
      </c>
      <c r="U60" s="232" t="n">
        <f aca="false">SUM(H60:T60)</f>
        <v>238.28</v>
      </c>
      <c r="V60" s="233" t="s">
        <v>54</v>
      </c>
      <c r="W60" s="234" t="s">
        <v>74</v>
      </c>
      <c r="X60" s="110" t="s">
        <v>37</v>
      </c>
      <c r="Y60" s="186"/>
      <c r="Z60" s="51"/>
    </row>
    <row r="61" s="10" customFormat="true" ht="14.1" hidden="false" customHeight="true" outlineLevel="0" collapsed="false">
      <c r="A61" s="220" t="s">
        <v>26</v>
      </c>
      <c r="B61" s="221" t="s">
        <v>103</v>
      </c>
      <c r="C61" s="222"/>
      <c r="D61" s="223" t="n">
        <v>4263104</v>
      </c>
      <c r="E61" s="224" t="n">
        <v>45042</v>
      </c>
      <c r="F61" s="225" t="s">
        <v>53</v>
      </c>
      <c r="G61" s="226" t="n">
        <v>45043</v>
      </c>
      <c r="H61" s="227"/>
      <c r="I61" s="228"/>
      <c r="J61" s="228"/>
      <c r="K61" s="228"/>
      <c r="L61" s="228"/>
      <c r="M61" s="227"/>
      <c r="N61" s="228"/>
      <c r="O61" s="227"/>
      <c r="P61" s="229"/>
      <c r="Q61" s="230"/>
      <c r="R61" s="227" t="n">
        <v>65</v>
      </c>
      <c r="S61" s="230" t="n">
        <v>12.5</v>
      </c>
      <c r="T61" s="231" t="n">
        <v>5.61</v>
      </c>
      <c r="U61" s="232" t="n">
        <f aca="false">SUM(H61:T61)</f>
        <v>83.11</v>
      </c>
      <c r="V61" s="233" t="s">
        <v>54</v>
      </c>
      <c r="W61" s="234" t="s">
        <v>74</v>
      </c>
      <c r="X61" s="110" t="s">
        <v>37</v>
      </c>
      <c r="Y61" s="186"/>
      <c r="Z61" s="51"/>
    </row>
    <row r="62" s="10" customFormat="true" ht="14.1" hidden="false" customHeight="true" outlineLevel="0" collapsed="false">
      <c r="A62" s="100" t="s">
        <v>26</v>
      </c>
      <c r="B62" s="2" t="s">
        <v>168</v>
      </c>
      <c r="C62" s="3"/>
      <c r="D62" s="101" t="n">
        <v>6303063</v>
      </c>
      <c r="E62" s="102" t="n">
        <v>45107</v>
      </c>
      <c r="F62" s="103" t="s">
        <v>53</v>
      </c>
      <c r="G62" s="5" t="n">
        <v>45107</v>
      </c>
      <c r="H62" s="105"/>
      <c r="I62" s="106"/>
      <c r="J62" s="106"/>
      <c r="K62" s="106"/>
      <c r="L62" s="106"/>
      <c r="M62" s="105"/>
      <c r="N62" s="106"/>
      <c r="O62" s="105"/>
      <c r="P62" s="7"/>
      <c r="Q62" s="107"/>
      <c r="R62" s="105" t="n">
        <v>39</v>
      </c>
      <c r="S62" s="107"/>
      <c r="T62" s="108" t="n">
        <v>3.61</v>
      </c>
      <c r="U62" s="95" t="n">
        <f aca="false">SUM(H62:T62)</f>
        <v>42.61</v>
      </c>
      <c r="V62" s="109" t="s">
        <v>30</v>
      </c>
      <c r="W62" s="10" t="s">
        <v>43</v>
      </c>
      <c r="X62" s="110" t="s">
        <v>37</v>
      </c>
      <c r="Y62" s="252"/>
      <c r="Z62" s="253"/>
    </row>
    <row r="63" s="10" customFormat="true" ht="14.1" hidden="false" customHeight="true" outlineLevel="0" collapsed="false">
      <c r="A63" s="100" t="s">
        <v>26</v>
      </c>
      <c r="B63" s="2" t="s">
        <v>143</v>
      </c>
      <c r="C63" s="3"/>
      <c r="D63" s="101" t="n">
        <v>6053106</v>
      </c>
      <c r="E63" s="102" t="n">
        <v>45082</v>
      </c>
      <c r="F63" s="103" t="s">
        <v>53</v>
      </c>
      <c r="G63" s="5" t="n">
        <v>45083</v>
      </c>
      <c r="H63" s="105"/>
      <c r="I63" s="106"/>
      <c r="J63" s="106"/>
      <c r="K63" s="106"/>
      <c r="L63" s="106"/>
      <c r="M63" s="105"/>
      <c r="N63" s="106"/>
      <c r="O63" s="105"/>
      <c r="P63" s="7"/>
      <c r="Q63" s="107"/>
      <c r="R63" s="105" t="n">
        <v>266</v>
      </c>
      <c r="S63" s="107" t="n">
        <v>37.5</v>
      </c>
      <c r="T63" s="108" t="n">
        <v>24.61</v>
      </c>
      <c r="U63" s="95" t="n">
        <f aca="false">SUM(H63:T63)</f>
        <v>328.11</v>
      </c>
      <c r="V63" s="109" t="s">
        <v>54</v>
      </c>
      <c r="W63" s="10" t="s">
        <v>74</v>
      </c>
      <c r="X63" s="110" t="s">
        <v>37</v>
      </c>
      <c r="Y63" s="252"/>
      <c r="Z63" s="253"/>
    </row>
    <row r="64" s="10" customFormat="true" ht="14.1" hidden="false" customHeight="true" outlineLevel="0" collapsed="false">
      <c r="A64" s="220" t="s">
        <v>26</v>
      </c>
      <c r="B64" s="221" t="s">
        <v>100</v>
      </c>
      <c r="C64" s="222" t="s">
        <v>101</v>
      </c>
      <c r="D64" s="223" t="n">
        <v>4253102</v>
      </c>
      <c r="E64" s="224" t="n">
        <v>45041</v>
      </c>
      <c r="F64" s="225" t="s">
        <v>53</v>
      </c>
      <c r="G64" s="226" t="n">
        <v>45041</v>
      </c>
      <c r="H64" s="227"/>
      <c r="I64" s="228"/>
      <c r="J64" s="228"/>
      <c r="K64" s="228"/>
      <c r="L64" s="228"/>
      <c r="M64" s="227"/>
      <c r="N64" s="228"/>
      <c r="O64" s="227"/>
      <c r="P64" s="229"/>
      <c r="Q64" s="230"/>
      <c r="R64" s="227" t="n">
        <v>90</v>
      </c>
      <c r="S64" s="230" t="n">
        <v>50</v>
      </c>
      <c r="T64" s="231"/>
      <c r="U64" s="232" t="n">
        <f aca="false">SUM(H64:T64)</f>
        <v>140</v>
      </c>
      <c r="V64" s="233" t="s">
        <v>54</v>
      </c>
      <c r="W64" s="234" t="s">
        <v>74</v>
      </c>
      <c r="X64" s="110" t="s">
        <v>32</v>
      </c>
      <c r="Y64" s="186" t="n">
        <v>70</v>
      </c>
      <c r="Z64" s="51"/>
    </row>
    <row r="65" s="10" customFormat="true" ht="14.1" hidden="false" customHeight="true" outlineLevel="0" collapsed="false">
      <c r="A65" s="236" t="s">
        <v>26</v>
      </c>
      <c r="B65" s="237" t="s">
        <v>117</v>
      </c>
      <c r="C65" s="238"/>
      <c r="D65" s="239" t="n">
        <v>5223106</v>
      </c>
      <c r="E65" s="240" t="n">
        <v>45068</v>
      </c>
      <c r="F65" s="241" t="s">
        <v>53</v>
      </c>
      <c r="G65" s="242" t="n">
        <v>45068</v>
      </c>
      <c r="H65" s="243"/>
      <c r="I65" s="244"/>
      <c r="J65" s="244"/>
      <c r="K65" s="244"/>
      <c r="L65" s="244"/>
      <c r="M65" s="243"/>
      <c r="N65" s="244"/>
      <c r="O65" s="243"/>
      <c r="P65" s="245"/>
      <c r="Q65" s="246"/>
      <c r="R65" s="243" t="n">
        <v>78</v>
      </c>
      <c r="S65" s="246" t="n">
        <v>25</v>
      </c>
      <c r="T65" s="247" t="n">
        <v>6.44</v>
      </c>
      <c r="U65" s="248" t="n">
        <f aca="false">SUM(H65:T65)</f>
        <v>109.44</v>
      </c>
      <c r="V65" s="249" t="s">
        <v>54</v>
      </c>
      <c r="W65" s="250" t="s">
        <v>74</v>
      </c>
      <c r="X65" s="110" t="s">
        <v>37</v>
      </c>
      <c r="Y65" s="186"/>
      <c r="Z65" s="51"/>
    </row>
    <row r="66" s="10" customFormat="true" ht="14.1" hidden="false" customHeight="true" outlineLevel="0" collapsed="false">
      <c r="A66" s="236" t="s">
        <v>26</v>
      </c>
      <c r="B66" s="237" t="s">
        <v>112</v>
      </c>
      <c r="C66" s="238"/>
      <c r="D66" s="239" t="n">
        <v>5153105</v>
      </c>
      <c r="E66" s="240" t="n">
        <v>45061</v>
      </c>
      <c r="F66" s="241" t="s">
        <v>53</v>
      </c>
      <c r="G66" s="242" t="n">
        <v>45061</v>
      </c>
      <c r="H66" s="243"/>
      <c r="I66" s="244"/>
      <c r="J66" s="244"/>
      <c r="K66" s="244"/>
      <c r="L66" s="244"/>
      <c r="M66" s="243"/>
      <c r="N66" s="244"/>
      <c r="O66" s="243"/>
      <c r="P66" s="245"/>
      <c r="Q66" s="246"/>
      <c r="R66" s="243" t="n">
        <v>168</v>
      </c>
      <c r="S66" s="246" t="n">
        <v>37.5</v>
      </c>
      <c r="T66" s="247" t="n">
        <v>17.22</v>
      </c>
      <c r="U66" s="248" t="n">
        <f aca="false">SUM(H66:T66)</f>
        <v>222.72</v>
      </c>
      <c r="V66" s="249" t="s">
        <v>54</v>
      </c>
      <c r="W66" s="250" t="s">
        <v>74</v>
      </c>
      <c r="X66" s="110" t="s">
        <v>37</v>
      </c>
      <c r="Y66" s="186"/>
      <c r="Z66" s="51"/>
    </row>
    <row r="67" s="10" customFormat="true" ht="14.1" hidden="false" customHeight="true" outlineLevel="0" collapsed="false">
      <c r="A67" s="187" t="s">
        <v>26</v>
      </c>
      <c r="B67" s="172" t="s">
        <v>77</v>
      </c>
      <c r="C67" s="173"/>
      <c r="D67" s="174" t="n">
        <v>3023108</v>
      </c>
      <c r="E67" s="175" t="n">
        <v>44987</v>
      </c>
      <c r="F67" s="176" t="s">
        <v>53</v>
      </c>
      <c r="G67" s="177" t="n">
        <v>44987</v>
      </c>
      <c r="H67" s="178"/>
      <c r="I67" s="179"/>
      <c r="J67" s="179"/>
      <c r="K67" s="179"/>
      <c r="L67" s="179"/>
      <c r="M67" s="178"/>
      <c r="N67" s="179"/>
      <c r="O67" s="178"/>
      <c r="P67" s="180"/>
      <c r="Q67" s="181"/>
      <c r="R67" s="178" t="n">
        <v>213</v>
      </c>
      <c r="S67" s="181" t="n">
        <v>50</v>
      </c>
      <c r="T67" s="182" t="n">
        <v>21.83</v>
      </c>
      <c r="U67" s="183" t="n">
        <f aca="false">SUM(H67:T67)</f>
        <v>284.83</v>
      </c>
      <c r="V67" s="184" t="s">
        <v>73</v>
      </c>
      <c r="W67" s="185" t="s">
        <v>74</v>
      </c>
      <c r="X67" s="110" t="s">
        <v>37</v>
      </c>
      <c r="Y67" s="186"/>
      <c r="Z67" s="51"/>
    </row>
    <row r="68" s="10" customFormat="true" ht="14.1" hidden="false" customHeight="true" outlineLevel="0" collapsed="false">
      <c r="A68" s="100" t="s">
        <v>26</v>
      </c>
      <c r="B68" s="2" t="s">
        <v>140</v>
      </c>
      <c r="C68" s="3"/>
      <c r="D68" s="101" t="n">
        <v>6203102</v>
      </c>
      <c r="E68" s="102" t="n">
        <v>45097</v>
      </c>
      <c r="F68" s="103" t="s">
        <v>53</v>
      </c>
      <c r="G68" s="5" t="n">
        <v>45097</v>
      </c>
      <c r="H68" s="105"/>
      <c r="I68" s="106"/>
      <c r="J68" s="106"/>
      <c r="K68" s="106"/>
      <c r="L68" s="106"/>
      <c r="M68" s="105"/>
      <c r="N68" s="106"/>
      <c r="O68" s="105"/>
      <c r="P68" s="7"/>
      <c r="Q68" s="107"/>
      <c r="R68" s="105" t="n">
        <v>330</v>
      </c>
      <c r="S68" s="107" t="n">
        <v>75</v>
      </c>
      <c r="T68" s="108" t="n">
        <v>30.11</v>
      </c>
      <c r="U68" s="95" t="n">
        <f aca="false">SUM(H68:T68)</f>
        <v>435.11</v>
      </c>
      <c r="V68" s="109" t="s">
        <v>54</v>
      </c>
      <c r="W68" s="10" t="s">
        <v>26</v>
      </c>
      <c r="X68" s="110" t="s">
        <v>37</v>
      </c>
      <c r="Y68" s="252"/>
      <c r="Z68" s="253"/>
    </row>
    <row r="69" s="10" customFormat="true" ht="14.1" hidden="false" customHeight="true" outlineLevel="0" collapsed="false">
      <c r="A69" s="188" t="s">
        <v>26</v>
      </c>
      <c r="B69" s="189" t="s">
        <v>80</v>
      </c>
      <c r="C69" s="190"/>
      <c r="D69" s="191" t="n">
        <v>2273108</v>
      </c>
      <c r="E69" s="192" t="n">
        <v>44984</v>
      </c>
      <c r="F69" s="193" t="s">
        <v>53</v>
      </c>
      <c r="G69" s="177" t="n">
        <v>44985</v>
      </c>
      <c r="H69" s="194"/>
      <c r="I69" s="195"/>
      <c r="J69" s="195"/>
      <c r="K69" s="195"/>
      <c r="L69" s="195"/>
      <c r="M69" s="194"/>
      <c r="N69" s="195"/>
      <c r="O69" s="194"/>
      <c r="P69" s="196"/>
      <c r="Q69" s="197"/>
      <c r="R69" s="194" t="n">
        <v>120</v>
      </c>
      <c r="S69" s="197" t="n">
        <v>25</v>
      </c>
      <c r="T69" s="198" t="n">
        <v>10.2</v>
      </c>
      <c r="U69" s="199" t="n">
        <f aca="false">SUM(H69:T69)</f>
        <v>155.2</v>
      </c>
      <c r="V69" s="200" t="s">
        <v>73</v>
      </c>
      <c r="W69" s="201" t="s">
        <v>74</v>
      </c>
      <c r="X69" s="202" t="s">
        <v>37</v>
      </c>
      <c r="Y69" s="203"/>
      <c r="Z69" s="204"/>
      <c r="AA69" s="205"/>
      <c r="AB69" s="205"/>
      <c r="AC69" s="205"/>
    </row>
    <row r="70" s="10" customFormat="true" ht="14.1" hidden="false" customHeight="true" outlineLevel="0" collapsed="false">
      <c r="A70" s="236" t="s">
        <v>26</v>
      </c>
      <c r="B70" s="237" t="s">
        <v>122</v>
      </c>
      <c r="C70" s="238" t="s">
        <v>123</v>
      </c>
      <c r="D70" s="239" t="n">
        <v>5123101</v>
      </c>
      <c r="E70" s="240" t="n">
        <v>45058</v>
      </c>
      <c r="F70" s="241" t="s">
        <v>53</v>
      </c>
      <c r="G70" s="242" t="n">
        <v>45058</v>
      </c>
      <c r="H70" s="243"/>
      <c r="I70" s="244"/>
      <c r="J70" s="244"/>
      <c r="K70" s="244"/>
      <c r="L70" s="244"/>
      <c r="M70" s="243"/>
      <c r="N70" s="244"/>
      <c r="O70" s="243"/>
      <c r="P70" s="245"/>
      <c r="Q70" s="246"/>
      <c r="R70" s="243" t="n">
        <v>45</v>
      </c>
      <c r="S70" s="246" t="n">
        <v>12.5</v>
      </c>
      <c r="T70" s="247" t="n">
        <v>3.49</v>
      </c>
      <c r="U70" s="248" t="n">
        <f aca="false">SUM(H70:T70)</f>
        <v>60.99</v>
      </c>
      <c r="V70" s="249" t="s">
        <v>54</v>
      </c>
      <c r="W70" s="250" t="s">
        <v>74</v>
      </c>
      <c r="X70" s="110" t="s">
        <v>37</v>
      </c>
      <c r="Y70" s="186"/>
      <c r="Z70" s="51"/>
    </row>
    <row r="71" s="10" customFormat="true" ht="14.1" hidden="false" customHeight="true" outlineLevel="0" collapsed="false">
      <c r="A71" s="100" t="s">
        <v>26</v>
      </c>
      <c r="B71" s="2" t="s">
        <v>122</v>
      </c>
      <c r="C71" s="3" t="s">
        <v>123</v>
      </c>
      <c r="D71" s="101" t="n">
        <v>6153103</v>
      </c>
      <c r="E71" s="102" t="n">
        <v>45092</v>
      </c>
      <c r="F71" s="103" t="s">
        <v>53</v>
      </c>
      <c r="G71" s="5" t="n">
        <v>45092</v>
      </c>
      <c r="H71" s="105"/>
      <c r="I71" s="106"/>
      <c r="J71" s="106"/>
      <c r="K71" s="106"/>
      <c r="L71" s="106"/>
      <c r="M71" s="105"/>
      <c r="N71" s="106"/>
      <c r="O71" s="105"/>
      <c r="P71" s="7"/>
      <c r="Q71" s="107"/>
      <c r="R71" s="105" t="n">
        <v>65</v>
      </c>
      <c r="S71" s="107" t="n">
        <v>12.5</v>
      </c>
      <c r="T71" s="108" t="n">
        <v>5.04</v>
      </c>
      <c r="U71" s="95" t="n">
        <f aca="false">SUM(H71:T71)</f>
        <v>82.54</v>
      </c>
      <c r="V71" s="109" t="s">
        <v>54</v>
      </c>
      <c r="W71" s="10" t="s">
        <v>45</v>
      </c>
      <c r="X71" s="110" t="s">
        <v>37</v>
      </c>
      <c r="Y71" s="252"/>
      <c r="Z71" s="253"/>
    </row>
    <row r="72" s="10" customFormat="true" ht="14.1" hidden="false" customHeight="true" outlineLevel="0" collapsed="false">
      <c r="A72" s="100" t="s">
        <v>26</v>
      </c>
      <c r="B72" s="2" t="s">
        <v>122</v>
      </c>
      <c r="C72" s="3" t="s">
        <v>166</v>
      </c>
      <c r="D72" s="101" t="n">
        <v>6153104</v>
      </c>
      <c r="E72" s="102" t="n">
        <v>45092</v>
      </c>
      <c r="F72" s="103" t="s">
        <v>53</v>
      </c>
      <c r="G72" s="5" t="n">
        <v>45092</v>
      </c>
      <c r="H72" s="105"/>
      <c r="I72" s="106"/>
      <c r="J72" s="106"/>
      <c r="K72" s="106"/>
      <c r="L72" s="106"/>
      <c r="M72" s="105"/>
      <c r="N72" s="106"/>
      <c r="O72" s="105"/>
      <c r="P72" s="7"/>
      <c r="Q72" s="107"/>
      <c r="R72" s="105" t="n">
        <v>65</v>
      </c>
      <c r="S72" s="107" t="n">
        <v>12.5</v>
      </c>
      <c r="T72" s="108" t="n">
        <v>5.93</v>
      </c>
      <c r="U72" s="95" t="n">
        <f aca="false">SUM(H72:T72)</f>
        <v>83.43</v>
      </c>
      <c r="V72" s="109" t="s">
        <v>54</v>
      </c>
      <c r="W72" s="10" t="s">
        <v>45</v>
      </c>
      <c r="X72" s="110" t="s">
        <v>37</v>
      </c>
      <c r="Y72" s="252"/>
      <c r="Z72" s="253"/>
    </row>
    <row r="73" s="10" customFormat="true" ht="14.1" hidden="false" customHeight="true" outlineLevel="0" collapsed="false">
      <c r="A73" s="100" t="s">
        <v>26</v>
      </c>
      <c r="B73" s="2" t="s">
        <v>122</v>
      </c>
      <c r="C73" s="3" t="s">
        <v>155</v>
      </c>
      <c r="D73" s="101" t="n">
        <v>6233101</v>
      </c>
      <c r="E73" s="102" t="n">
        <v>45100</v>
      </c>
      <c r="F73" s="103" t="s">
        <v>53</v>
      </c>
      <c r="G73" s="5" t="n">
        <v>45100</v>
      </c>
      <c r="H73" s="105"/>
      <c r="I73" s="106"/>
      <c r="J73" s="106"/>
      <c r="K73" s="106"/>
      <c r="L73" s="106"/>
      <c r="M73" s="105"/>
      <c r="N73" s="106"/>
      <c r="O73" s="105"/>
      <c r="P73" s="7"/>
      <c r="Q73" s="107"/>
      <c r="R73" s="105" t="n">
        <v>110</v>
      </c>
      <c r="S73" s="107" t="n">
        <v>25</v>
      </c>
      <c r="T73" s="108" t="n">
        <v>11.83</v>
      </c>
      <c r="U73" s="95" t="n">
        <f aca="false">SUM(H73:T73)</f>
        <v>146.83</v>
      </c>
      <c r="V73" s="109" t="s">
        <v>54</v>
      </c>
      <c r="W73" s="10" t="s">
        <v>26</v>
      </c>
      <c r="X73" s="110" t="s">
        <v>37</v>
      </c>
      <c r="Y73" s="252"/>
      <c r="Z73" s="253"/>
    </row>
    <row r="74" s="10" customFormat="true" ht="14.1" hidden="false" customHeight="true" outlineLevel="0" collapsed="false">
      <c r="A74" s="187" t="s">
        <v>26</v>
      </c>
      <c r="B74" s="172" t="s">
        <v>76</v>
      </c>
      <c r="C74" s="173"/>
      <c r="D74" s="174" t="n">
        <v>3223101</v>
      </c>
      <c r="E74" s="175" t="n">
        <v>45007</v>
      </c>
      <c r="F74" s="176" t="s">
        <v>53</v>
      </c>
      <c r="G74" s="177" t="n">
        <v>45007</v>
      </c>
      <c r="H74" s="178"/>
      <c r="I74" s="179"/>
      <c r="J74" s="179"/>
      <c r="K74" s="179"/>
      <c r="L74" s="179"/>
      <c r="M74" s="178"/>
      <c r="N74" s="179"/>
      <c r="O74" s="178"/>
      <c r="P74" s="180"/>
      <c r="Q74" s="181"/>
      <c r="R74" s="178" t="n">
        <v>247</v>
      </c>
      <c r="S74" s="181" t="n">
        <v>62.5</v>
      </c>
      <c r="T74" s="182" t="n">
        <v>21</v>
      </c>
      <c r="U74" s="183" t="n">
        <f aca="false">SUM(H74:T74)</f>
        <v>330.5</v>
      </c>
      <c r="V74" s="184" t="s">
        <v>54</v>
      </c>
      <c r="W74" s="185" t="s">
        <v>74</v>
      </c>
      <c r="X74" s="110" t="s">
        <v>37</v>
      </c>
      <c r="Y74" s="186"/>
      <c r="Z74" s="51"/>
    </row>
    <row r="75" s="10" customFormat="true" ht="14.1" hidden="false" customHeight="true" outlineLevel="0" collapsed="false">
      <c r="A75" s="100" t="s">
        <v>26</v>
      </c>
      <c r="B75" s="2" t="s">
        <v>99</v>
      </c>
      <c r="C75" s="3"/>
      <c r="D75" s="101" t="n">
        <v>6233062</v>
      </c>
      <c r="E75" s="102" t="n">
        <v>45100</v>
      </c>
      <c r="F75" s="103" t="s">
        <v>53</v>
      </c>
      <c r="G75" s="5" t="n">
        <v>45100</v>
      </c>
      <c r="H75" s="105"/>
      <c r="I75" s="106"/>
      <c r="J75" s="106"/>
      <c r="K75" s="106"/>
      <c r="L75" s="106"/>
      <c r="M75" s="105"/>
      <c r="N75" s="106"/>
      <c r="O75" s="105"/>
      <c r="P75" s="7"/>
      <c r="Q75" s="107"/>
      <c r="R75" s="105" t="n">
        <v>130</v>
      </c>
      <c r="S75" s="107" t="n">
        <v>25</v>
      </c>
      <c r="T75" s="108" t="n">
        <v>11.21</v>
      </c>
      <c r="U75" s="95" t="n">
        <f aca="false">SUM(H75:T75)</f>
        <v>166.21</v>
      </c>
      <c r="V75" s="109" t="s">
        <v>54</v>
      </c>
      <c r="W75" s="10" t="s">
        <v>26</v>
      </c>
      <c r="X75" s="110" t="s">
        <v>37</v>
      </c>
      <c r="Y75" s="252"/>
      <c r="Z75" s="253"/>
    </row>
    <row r="76" s="10" customFormat="true" ht="14.1" hidden="false" customHeight="true" outlineLevel="0" collapsed="false">
      <c r="A76" s="171" t="s">
        <v>26</v>
      </c>
      <c r="B76" s="172" t="s">
        <v>72</v>
      </c>
      <c r="C76" s="173"/>
      <c r="D76" s="174" t="n">
        <v>12222102</v>
      </c>
      <c r="E76" s="175" t="n">
        <v>44917</v>
      </c>
      <c r="F76" s="176" t="s">
        <v>53</v>
      </c>
      <c r="G76" s="177" t="n">
        <v>44917</v>
      </c>
      <c r="H76" s="178"/>
      <c r="I76" s="179"/>
      <c r="J76" s="179"/>
      <c r="K76" s="179"/>
      <c r="L76" s="179"/>
      <c r="M76" s="178"/>
      <c r="N76" s="179"/>
      <c r="O76" s="178"/>
      <c r="P76" s="180"/>
      <c r="Q76" s="181"/>
      <c r="R76" s="178" t="n">
        <v>323</v>
      </c>
      <c r="S76" s="181" t="n">
        <v>70</v>
      </c>
      <c r="T76" s="182" t="n">
        <v>30.28</v>
      </c>
      <c r="U76" s="183" t="n">
        <f aca="false">SUM(H76:T76)</f>
        <v>423.28</v>
      </c>
      <c r="V76" s="184" t="s">
        <v>73</v>
      </c>
      <c r="W76" s="185" t="s">
        <v>74</v>
      </c>
      <c r="X76" s="110" t="s">
        <v>37</v>
      </c>
      <c r="Y76" s="186"/>
      <c r="Z76" s="51"/>
    </row>
    <row r="77" s="10" customFormat="true" ht="14.1" hidden="false" customHeight="true" outlineLevel="0" collapsed="false">
      <c r="A77" s="220" t="s">
        <v>26</v>
      </c>
      <c r="B77" s="221" t="s">
        <v>102</v>
      </c>
      <c r="C77" s="222"/>
      <c r="D77" s="223" t="n">
        <v>4113106</v>
      </c>
      <c r="E77" s="224" t="n">
        <v>45027</v>
      </c>
      <c r="F77" s="225" t="s">
        <v>53</v>
      </c>
      <c r="G77" s="226" t="n">
        <v>45027</v>
      </c>
      <c r="H77" s="227"/>
      <c r="I77" s="228"/>
      <c r="J77" s="228"/>
      <c r="K77" s="228"/>
      <c r="L77" s="228"/>
      <c r="M77" s="227"/>
      <c r="N77" s="228"/>
      <c r="O77" s="227"/>
      <c r="P77" s="229"/>
      <c r="Q77" s="230"/>
      <c r="R77" s="227" t="n">
        <v>65</v>
      </c>
      <c r="S77" s="230" t="n">
        <v>12.5</v>
      </c>
      <c r="T77" s="231" t="n">
        <v>6.09</v>
      </c>
      <c r="U77" s="232" t="n">
        <f aca="false">SUM(H77:T77)</f>
        <v>83.59</v>
      </c>
      <c r="V77" s="233" t="s">
        <v>54</v>
      </c>
      <c r="W77" s="234" t="s">
        <v>26</v>
      </c>
      <c r="X77" s="110" t="s">
        <v>37</v>
      </c>
      <c r="Y77" s="186"/>
      <c r="Z77" s="51"/>
    </row>
    <row r="78" s="10" customFormat="true" ht="14.1" hidden="false" customHeight="true" outlineLevel="0" collapsed="false">
      <c r="A78" s="220" t="s">
        <v>26</v>
      </c>
      <c r="B78" s="221" t="s">
        <v>94</v>
      </c>
      <c r="C78" s="222"/>
      <c r="D78" s="223" t="n">
        <v>4173104</v>
      </c>
      <c r="E78" s="224" t="n">
        <v>45033</v>
      </c>
      <c r="F78" s="225" t="s">
        <v>53</v>
      </c>
      <c r="G78" s="226" t="n">
        <v>45033</v>
      </c>
      <c r="H78" s="227"/>
      <c r="I78" s="228"/>
      <c r="J78" s="228"/>
      <c r="K78" s="228"/>
      <c r="L78" s="228"/>
      <c r="M78" s="227"/>
      <c r="N78" s="228"/>
      <c r="O78" s="227"/>
      <c r="P78" s="229"/>
      <c r="Q78" s="230"/>
      <c r="R78" s="227" t="n">
        <v>435</v>
      </c>
      <c r="S78" s="230" t="n">
        <v>87.5</v>
      </c>
      <c r="T78" s="231" t="n">
        <v>33.71</v>
      </c>
      <c r="U78" s="232" t="n">
        <f aca="false">SUM(H78:T78)</f>
        <v>556.21</v>
      </c>
      <c r="V78" s="233" t="s">
        <v>54</v>
      </c>
      <c r="W78" s="234" t="s">
        <v>74</v>
      </c>
      <c r="X78" s="110" t="s">
        <v>37</v>
      </c>
      <c r="Y78" s="186"/>
      <c r="Z78" s="51"/>
    </row>
    <row r="79" s="10" customFormat="true" ht="14.1" hidden="false" customHeight="true" outlineLevel="0" collapsed="false">
      <c r="A79" s="100" t="s">
        <v>26</v>
      </c>
      <c r="B79" s="2" t="s">
        <v>129</v>
      </c>
      <c r="C79" s="3"/>
      <c r="D79" s="101" t="n">
        <v>6143062</v>
      </c>
      <c r="E79" s="102" t="n">
        <v>45091</v>
      </c>
      <c r="F79" s="103" t="s">
        <v>53</v>
      </c>
      <c r="G79" s="5" t="n">
        <v>45091</v>
      </c>
      <c r="H79" s="105"/>
      <c r="I79" s="106"/>
      <c r="J79" s="106"/>
      <c r="K79" s="106"/>
      <c r="L79" s="106"/>
      <c r="M79" s="105"/>
      <c r="N79" s="106"/>
      <c r="O79" s="105"/>
      <c r="P79" s="7"/>
      <c r="Q79" s="107"/>
      <c r="R79" s="105" t="n">
        <v>1490</v>
      </c>
      <c r="S79" s="107"/>
      <c r="T79" s="108"/>
      <c r="U79" s="95" t="n">
        <f aca="false">SUM(H79:T79)</f>
        <v>1490</v>
      </c>
      <c r="V79" s="109" t="s">
        <v>85</v>
      </c>
      <c r="W79" s="10" t="s">
        <v>130</v>
      </c>
      <c r="X79" s="110" t="s">
        <v>37</v>
      </c>
      <c r="Y79" s="252"/>
      <c r="Z79" s="253"/>
    </row>
    <row r="80" s="10" customFormat="true" ht="14.1" hidden="false" customHeight="true" outlineLevel="0" collapsed="false">
      <c r="A80" s="100" t="s">
        <v>26</v>
      </c>
      <c r="B80" s="2" t="s">
        <v>144</v>
      </c>
      <c r="C80" s="3" t="s">
        <v>148</v>
      </c>
      <c r="D80" s="101" t="n">
        <v>6293105</v>
      </c>
      <c r="E80" s="102" t="n">
        <v>45106</v>
      </c>
      <c r="F80" s="103" t="s">
        <v>53</v>
      </c>
      <c r="G80" s="5" t="n">
        <v>45106</v>
      </c>
      <c r="H80" s="105"/>
      <c r="I80" s="106"/>
      <c r="J80" s="106"/>
      <c r="K80" s="106"/>
      <c r="L80" s="106"/>
      <c r="M80" s="105"/>
      <c r="N80" s="106"/>
      <c r="O80" s="105"/>
      <c r="P80" s="7"/>
      <c r="Q80" s="107"/>
      <c r="R80" s="105" t="n">
        <v>227</v>
      </c>
      <c r="S80" s="107" t="n">
        <v>36.5</v>
      </c>
      <c r="T80" s="108" t="n">
        <v>19.58</v>
      </c>
      <c r="U80" s="95" t="n">
        <f aca="false">SUM(H80:T80)</f>
        <v>283.08</v>
      </c>
      <c r="V80" s="109" t="s">
        <v>54</v>
      </c>
      <c r="W80" s="10" t="s">
        <v>26</v>
      </c>
      <c r="X80" s="110" t="s">
        <v>37</v>
      </c>
      <c r="Y80" s="252"/>
      <c r="Z80" s="253"/>
    </row>
    <row r="81" s="10" customFormat="true" ht="14.1" hidden="false" customHeight="true" outlineLevel="0" collapsed="false">
      <c r="A81" s="100" t="s">
        <v>26</v>
      </c>
      <c r="B81" s="2" t="s">
        <v>144</v>
      </c>
      <c r="C81" s="3" t="s">
        <v>145</v>
      </c>
      <c r="D81" s="101" t="n">
        <v>6293106</v>
      </c>
      <c r="E81" s="102" t="n">
        <v>45106</v>
      </c>
      <c r="F81" s="103" t="s">
        <v>53</v>
      </c>
      <c r="G81" s="5" t="n">
        <v>45106</v>
      </c>
      <c r="H81" s="105"/>
      <c r="I81" s="106"/>
      <c r="J81" s="106"/>
      <c r="K81" s="106"/>
      <c r="L81" s="106"/>
      <c r="M81" s="105"/>
      <c r="N81" s="106"/>
      <c r="O81" s="105"/>
      <c r="P81" s="7"/>
      <c r="Q81" s="107"/>
      <c r="R81" s="105" t="n">
        <v>253</v>
      </c>
      <c r="S81" s="107" t="n">
        <v>50</v>
      </c>
      <c r="T81" s="108" t="n">
        <v>21.82</v>
      </c>
      <c r="U81" s="95" t="n">
        <f aca="false">SUM(H81:T81)</f>
        <v>324.82</v>
      </c>
      <c r="V81" s="109" t="s">
        <v>54</v>
      </c>
      <c r="W81" s="10" t="s">
        <v>26</v>
      </c>
      <c r="X81" s="110" t="s">
        <v>37</v>
      </c>
      <c r="Y81" s="252"/>
      <c r="Z81" s="253"/>
    </row>
    <row r="82" s="10" customFormat="true" ht="14.1" hidden="false" customHeight="true" outlineLevel="0" collapsed="false">
      <c r="A82" s="236" t="s">
        <v>107</v>
      </c>
      <c r="B82" s="237" t="s">
        <v>108</v>
      </c>
      <c r="C82" s="238"/>
      <c r="D82" s="239" t="n">
        <v>5303105</v>
      </c>
      <c r="E82" s="240" t="n">
        <v>45076</v>
      </c>
      <c r="F82" s="241" t="s">
        <v>53</v>
      </c>
      <c r="G82" s="242" t="n">
        <v>45076</v>
      </c>
      <c r="H82" s="243"/>
      <c r="I82" s="244"/>
      <c r="J82" s="244"/>
      <c r="K82" s="244"/>
      <c r="L82" s="244"/>
      <c r="M82" s="243"/>
      <c r="N82" s="244"/>
      <c r="O82" s="243"/>
      <c r="P82" s="245"/>
      <c r="Q82" s="246"/>
      <c r="R82" s="243" t="n">
        <v>285</v>
      </c>
      <c r="S82" s="246" t="n">
        <v>62.5</v>
      </c>
      <c r="T82" s="247" t="n">
        <v>24.23</v>
      </c>
      <c r="U82" s="248" t="n">
        <f aca="false">SUM(H82:T82)</f>
        <v>371.73</v>
      </c>
      <c r="V82" s="249" t="s">
        <v>54</v>
      </c>
      <c r="W82" s="250" t="s">
        <v>26</v>
      </c>
      <c r="X82" s="110" t="s">
        <v>37</v>
      </c>
      <c r="Y82" s="186"/>
      <c r="Z82" s="51"/>
    </row>
    <row r="83" s="10" customFormat="true" ht="14.1" hidden="false" customHeight="true" outlineLevel="0" collapsed="false">
      <c r="A83" s="236" t="s">
        <v>119</v>
      </c>
      <c r="B83" s="237" t="s">
        <v>126</v>
      </c>
      <c r="C83" s="238"/>
      <c r="D83" s="239" t="n">
        <v>5013262</v>
      </c>
      <c r="E83" s="240" t="n">
        <v>45047</v>
      </c>
      <c r="F83" s="241" t="s">
        <v>127</v>
      </c>
      <c r="G83" s="242" t="n">
        <v>45047</v>
      </c>
      <c r="H83" s="243"/>
      <c r="I83" s="244"/>
      <c r="J83" s="244"/>
      <c r="K83" s="244"/>
      <c r="L83" s="244"/>
      <c r="M83" s="243"/>
      <c r="N83" s="244"/>
      <c r="O83" s="243" t="n">
        <v>37.5</v>
      </c>
      <c r="P83" s="245"/>
      <c r="Q83" s="246"/>
      <c r="R83" s="243"/>
      <c r="S83" s="246" t="n">
        <v>12.5</v>
      </c>
      <c r="T83" s="247" t="n">
        <v>3.52</v>
      </c>
      <c r="U83" s="248" t="n">
        <f aca="false">SUM(H83:T83)</f>
        <v>53.52</v>
      </c>
      <c r="V83" s="249" t="s">
        <v>30</v>
      </c>
      <c r="W83" s="250" t="s">
        <v>119</v>
      </c>
      <c r="X83" s="110" t="s">
        <v>37</v>
      </c>
      <c r="Y83" s="186"/>
      <c r="Z83" s="51"/>
    </row>
    <row r="84" s="10" customFormat="true" ht="14.1" hidden="false" customHeight="true" outlineLevel="0" collapsed="false">
      <c r="A84" s="100" t="s">
        <v>119</v>
      </c>
      <c r="B84" s="2" t="s">
        <v>126</v>
      </c>
      <c r="C84" s="3"/>
      <c r="D84" s="101" t="n">
        <v>6203051</v>
      </c>
      <c r="E84" s="102" t="n">
        <v>45097</v>
      </c>
      <c r="F84" s="103" t="s">
        <v>111</v>
      </c>
      <c r="G84" s="5" t="n">
        <v>45103</v>
      </c>
      <c r="H84" s="105"/>
      <c r="I84" s="106" t="n">
        <v>762</v>
      </c>
      <c r="J84" s="106"/>
      <c r="K84" s="106"/>
      <c r="L84" s="106"/>
      <c r="M84" s="105"/>
      <c r="N84" s="106"/>
      <c r="O84" s="105"/>
      <c r="P84" s="7"/>
      <c r="Q84" s="107"/>
      <c r="R84" s="105"/>
      <c r="S84" s="107"/>
      <c r="T84" s="108"/>
      <c r="U84" s="95" t="n">
        <f aca="false">SUM(H84:T84)</f>
        <v>762</v>
      </c>
      <c r="V84" s="109" t="s">
        <v>42</v>
      </c>
      <c r="W84" s="10" t="s">
        <v>119</v>
      </c>
      <c r="X84" s="110" t="s">
        <v>37</v>
      </c>
      <c r="Y84" s="252"/>
      <c r="Z84" s="253"/>
    </row>
    <row r="85" s="10" customFormat="true" ht="14.1" hidden="false" customHeight="true" outlineLevel="0" collapsed="false">
      <c r="A85" s="236" t="s">
        <v>119</v>
      </c>
      <c r="B85" s="237" t="s">
        <v>120</v>
      </c>
      <c r="C85" s="238"/>
      <c r="D85" s="239" t="n">
        <v>4283062</v>
      </c>
      <c r="E85" s="240" t="n">
        <v>45044</v>
      </c>
      <c r="F85" s="241" t="s">
        <v>121</v>
      </c>
      <c r="G85" s="242" t="n">
        <v>45047</v>
      </c>
      <c r="H85" s="243"/>
      <c r="I85" s="244"/>
      <c r="J85" s="244"/>
      <c r="K85" s="244"/>
      <c r="L85" s="244"/>
      <c r="M85" s="243"/>
      <c r="N85" s="244"/>
      <c r="O85" s="243"/>
      <c r="P85" s="245"/>
      <c r="Q85" s="246"/>
      <c r="R85" s="243" t="n">
        <v>55</v>
      </c>
      <c r="S85" s="246" t="n">
        <v>12.5</v>
      </c>
      <c r="T85" s="247" t="n">
        <v>5.64</v>
      </c>
      <c r="U85" s="248" t="n">
        <f aca="false">SUM(H85:T85)</f>
        <v>73.14</v>
      </c>
      <c r="V85" s="249" t="s">
        <v>54</v>
      </c>
      <c r="W85" s="250" t="s">
        <v>74</v>
      </c>
      <c r="X85" s="110" t="s">
        <v>37</v>
      </c>
      <c r="Y85" s="186"/>
      <c r="Z85" s="51"/>
    </row>
    <row r="86" s="10" customFormat="true" ht="14.1" hidden="false" customHeight="true" outlineLevel="0" collapsed="false">
      <c r="A86" s="236" t="s">
        <v>38</v>
      </c>
      <c r="B86" s="237" t="s">
        <v>110</v>
      </c>
      <c r="C86" s="238"/>
      <c r="D86" s="239" t="n">
        <v>5153051</v>
      </c>
      <c r="E86" s="240" t="n">
        <v>45061</v>
      </c>
      <c r="F86" s="241" t="s">
        <v>111</v>
      </c>
      <c r="G86" s="242" t="n">
        <v>45061</v>
      </c>
      <c r="H86" s="243"/>
      <c r="I86" s="244" t="n">
        <v>249</v>
      </c>
      <c r="J86" s="244"/>
      <c r="K86" s="244"/>
      <c r="L86" s="244"/>
      <c r="M86" s="243"/>
      <c r="N86" s="244"/>
      <c r="O86" s="243"/>
      <c r="P86" s="245"/>
      <c r="Q86" s="246"/>
      <c r="R86" s="243"/>
      <c r="S86" s="246"/>
      <c r="T86" s="247" t="n">
        <v>20.7</v>
      </c>
      <c r="U86" s="248" t="n">
        <f aca="false">SUM(H86:T86)</f>
        <v>269.7</v>
      </c>
      <c r="V86" s="249" t="s">
        <v>42</v>
      </c>
      <c r="W86" s="250" t="s">
        <v>38</v>
      </c>
      <c r="X86" s="110" t="s">
        <v>37</v>
      </c>
      <c r="Y86" s="186"/>
      <c r="Z86" s="51"/>
    </row>
    <row r="87" s="10" customFormat="true" ht="14.1" hidden="false" customHeight="true" outlineLevel="0" collapsed="false">
      <c r="A87" s="100" t="s">
        <v>38</v>
      </c>
      <c r="B87" s="2" t="s">
        <v>110</v>
      </c>
      <c r="C87" s="3" t="s">
        <v>165</v>
      </c>
      <c r="D87" s="101" t="n">
        <v>6153054</v>
      </c>
      <c r="E87" s="102" t="n">
        <v>45092</v>
      </c>
      <c r="F87" s="103" t="s">
        <v>111</v>
      </c>
      <c r="G87" s="5" t="n">
        <v>45092</v>
      </c>
      <c r="H87" s="105"/>
      <c r="I87" s="106" t="n">
        <v>249</v>
      </c>
      <c r="J87" s="106"/>
      <c r="K87" s="106"/>
      <c r="L87" s="106"/>
      <c r="M87" s="105"/>
      <c r="N87" s="106"/>
      <c r="O87" s="105"/>
      <c r="P87" s="7"/>
      <c r="Q87" s="107"/>
      <c r="R87" s="105"/>
      <c r="S87" s="107"/>
      <c r="T87" s="108" t="n">
        <v>20.7</v>
      </c>
      <c r="U87" s="95" t="n">
        <f aca="false">SUM(H87:T87)</f>
        <v>269.7</v>
      </c>
      <c r="V87" s="109" t="s">
        <v>42</v>
      </c>
      <c r="W87" s="10" t="s">
        <v>38</v>
      </c>
      <c r="X87" s="110" t="s">
        <v>37</v>
      </c>
      <c r="Y87" s="252"/>
      <c r="Z87" s="253"/>
    </row>
    <row r="88" s="10" customFormat="true" ht="14.1" hidden="false" customHeight="true" outlineLevel="0" collapsed="false">
      <c r="A88" s="100" t="s">
        <v>38</v>
      </c>
      <c r="B88" s="2" t="s">
        <v>39</v>
      </c>
      <c r="C88" s="3"/>
      <c r="D88" s="101" t="n">
        <v>6013051</v>
      </c>
      <c r="E88" s="102" t="n">
        <v>45078</v>
      </c>
      <c r="F88" s="103" t="s">
        <v>111</v>
      </c>
      <c r="G88" s="5" t="n">
        <v>45078</v>
      </c>
      <c r="H88" s="105"/>
      <c r="I88" s="106"/>
      <c r="J88" s="106"/>
      <c r="K88" s="106"/>
      <c r="L88" s="106"/>
      <c r="M88" s="105" t="n">
        <v>49</v>
      </c>
      <c r="N88" s="106" t="n">
        <v>39</v>
      </c>
      <c r="O88" s="105"/>
      <c r="P88" s="7"/>
      <c r="Q88" s="107"/>
      <c r="R88" s="105"/>
      <c r="S88" s="107"/>
      <c r="T88" s="108"/>
      <c r="U88" s="95" t="n">
        <f aca="false">SUM(H88:T88)</f>
        <v>88</v>
      </c>
      <c r="V88" s="109" t="s">
        <v>42</v>
      </c>
      <c r="W88" s="10" t="s">
        <v>45</v>
      </c>
      <c r="X88" s="110" t="s">
        <v>37</v>
      </c>
      <c r="Y88" s="252"/>
      <c r="Z88" s="253"/>
    </row>
    <row r="89" s="10" customFormat="true" ht="14.1" hidden="false" customHeight="true" outlineLevel="0" collapsed="false">
      <c r="A89" s="100" t="s">
        <v>38</v>
      </c>
      <c r="B89" s="2" t="s">
        <v>169</v>
      </c>
      <c r="C89" s="3"/>
      <c r="D89" s="101" t="n">
        <v>6263051</v>
      </c>
      <c r="E89" s="102" t="n">
        <v>45103</v>
      </c>
      <c r="F89" s="103" t="s">
        <v>13</v>
      </c>
      <c r="G89" s="5" t="n">
        <v>45103</v>
      </c>
      <c r="H89" s="105"/>
      <c r="I89" s="106"/>
      <c r="J89" s="106"/>
      <c r="K89" s="106"/>
      <c r="L89" s="106"/>
      <c r="M89" s="105" t="n">
        <v>49</v>
      </c>
      <c r="N89" s="106"/>
      <c r="O89" s="105"/>
      <c r="P89" s="7"/>
      <c r="Q89" s="107"/>
      <c r="R89" s="105"/>
      <c r="S89" s="107"/>
      <c r="T89" s="108"/>
      <c r="U89" s="95" t="n">
        <f aca="false">SUM(H89:T89)</f>
        <v>49</v>
      </c>
      <c r="V89" s="109" t="s">
        <v>42</v>
      </c>
      <c r="W89" s="10" t="s">
        <v>43</v>
      </c>
      <c r="X89" s="110" t="s">
        <v>37</v>
      </c>
      <c r="Y89" s="252"/>
      <c r="Z89" s="253"/>
    </row>
    <row r="90" s="10" customFormat="true" ht="14.1" hidden="false" customHeight="true" outlineLevel="0" collapsed="false">
      <c r="A90" s="100" t="s">
        <v>45</v>
      </c>
      <c r="B90" s="2" t="s">
        <v>170</v>
      </c>
      <c r="C90" s="3"/>
      <c r="D90" s="101" t="n">
        <v>6223062</v>
      </c>
      <c r="E90" s="102" t="n">
        <v>45099</v>
      </c>
      <c r="F90" s="103" t="s">
        <v>53</v>
      </c>
      <c r="G90" s="5" t="n">
        <v>45099</v>
      </c>
      <c r="H90" s="105"/>
      <c r="I90" s="106"/>
      <c r="J90" s="106"/>
      <c r="K90" s="106"/>
      <c r="L90" s="106"/>
      <c r="M90" s="105"/>
      <c r="N90" s="106"/>
      <c r="O90" s="105"/>
      <c r="P90" s="7"/>
      <c r="Q90" s="107"/>
      <c r="R90" s="105" t="n">
        <v>105</v>
      </c>
      <c r="S90" s="107" t="n">
        <v>12.5</v>
      </c>
      <c r="T90" s="108" t="n">
        <v>8.66</v>
      </c>
      <c r="U90" s="95" t="n">
        <f aca="false">SUM(H90:T90)</f>
        <v>126.16</v>
      </c>
      <c r="V90" s="109" t="s">
        <v>54</v>
      </c>
      <c r="W90" s="10" t="s">
        <v>45</v>
      </c>
      <c r="X90" s="110" t="s">
        <v>37</v>
      </c>
      <c r="Y90" s="252"/>
      <c r="Z90" s="253"/>
    </row>
    <row r="91" s="10" customFormat="true" ht="14.1" hidden="false" customHeight="true" outlineLevel="0" collapsed="false">
      <c r="A91" s="100" t="s">
        <v>45</v>
      </c>
      <c r="B91" s="2" t="s">
        <v>161</v>
      </c>
      <c r="C91" s="3" t="n">
        <v>331921</v>
      </c>
      <c r="D91" s="101" t="n">
        <v>6133068</v>
      </c>
      <c r="E91" s="102" t="n">
        <v>45090</v>
      </c>
      <c r="F91" s="103" t="s">
        <v>53</v>
      </c>
      <c r="G91" s="5" t="n">
        <v>45091</v>
      </c>
      <c r="H91" s="105"/>
      <c r="I91" s="106"/>
      <c r="J91" s="106"/>
      <c r="K91" s="106"/>
      <c r="L91" s="106"/>
      <c r="M91" s="105"/>
      <c r="N91" s="106"/>
      <c r="O91" s="105"/>
      <c r="P91" s="7"/>
      <c r="Q91" s="107"/>
      <c r="R91" s="105" t="n">
        <v>1024</v>
      </c>
      <c r="S91" s="107"/>
      <c r="T91" s="108"/>
      <c r="U91" s="95" t="n">
        <f aca="false">SUM(H91:T91)</f>
        <v>1024</v>
      </c>
      <c r="V91" s="109" t="s">
        <v>54</v>
      </c>
      <c r="W91" s="10" t="s">
        <v>45</v>
      </c>
      <c r="X91" s="110" t="s">
        <v>37</v>
      </c>
      <c r="Y91" s="252"/>
      <c r="Z91" s="253"/>
    </row>
    <row r="92" s="10" customFormat="true" ht="14.1" hidden="false" customHeight="true" outlineLevel="0" collapsed="false">
      <c r="A92" s="100" t="s">
        <v>45</v>
      </c>
      <c r="B92" s="292" t="s">
        <v>161</v>
      </c>
      <c r="C92" s="293"/>
      <c r="D92" s="101" t="n">
        <v>6133062</v>
      </c>
      <c r="E92" s="102" t="n">
        <v>45090</v>
      </c>
      <c r="F92" s="103" t="s">
        <v>53</v>
      </c>
      <c r="G92" s="294" t="n">
        <v>45092</v>
      </c>
      <c r="H92" s="105"/>
      <c r="I92" s="106"/>
      <c r="J92" s="106"/>
      <c r="K92" s="106"/>
      <c r="L92" s="106"/>
      <c r="M92" s="105"/>
      <c r="N92" s="106"/>
      <c r="O92" s="105"/>
      <c r="P92" s="295"/>
      <c r="Q92" s="107"/>
      <c r="R92" s="105" t="n">
        <v>-98</v>
      </c>
      <c r="S92" s="107"/>
      <c r="T92" s="108"/>
      <c r="U92" s="95" t="n">
        <f aca="false">SUM(H92:T92)</f>
        <v>-98</v>
      </c>
      <c r="V92" s="109" t="s">
        <v>54</v>
      </c>
      <c r="W92" s="296" t="s">
        <v>45</v>
      </c>
      <c r="X92" s="110" t="s">
        <v>37</v>
      </c>
      <c r="Y92" s="252"/>
      <c r="Z92" s="253"/>
    </row>
    <row r="93" s="10" customFormat="true" ht="14.1" hidden="false" customHeight="true" outlineLevel="0" collapsed="false">
      <c r="A93" s="100" t="s">
        <v>45</v>
      </c>
      <c r="B93" s="2" t="s">
        <v>161</v>
      </c>
      <c r="C93" s="3"/>
      <c r="D93" s="101" t="n">
        <v>6163062</v>
      </c>
      <c r="E93" s="102" t="n">
        <v>45093</v>
      </c>
      <c r="F93" s="103" t="s">
        <v>53</v>
      </c>
      <c r="G93" s="5" t="n">
        <v>45093</v>
      </c>
      <c r="H93" s="105"/>
      <c r="I93" s="106"/>
      <c r="J93" s="106"/>
      <c r="K93" s="106"/>
      <c r="L93" s="106"/>
      <c r="M93" s="105"/>
      <c r="N93" s="106"/>
      <c r="O93" s="105"/>
      <c r="P93" s="7"/>
      <c r="Q93" s="107"/>
      <c r="R93" s="105" t="n">
        <v>207</v>
      </c>
      <c r="S93" s="107"/>
      <c r="T93" s="108"/>
      <c r="U93" s="95" t="n">
        <f aca="false">SUM(H93:T93)</f>
        <v>207</v>
      </c>
      <c r="V93" s="109" t="s">
        <v>54</v>
      </c>
      <c r="W93" s="10" t="s">
        <v>45</v>
      </c>
      <c r="X93" s="110" t="s">
        <v>37</v>
      </c>
      <c r="Y93" s="252"/>
      <c r="Z93" s="253"/>
    </row>
    <row r="94" s="10" customFormat="true" ht="14.1" hidden="false" customHeight="true" outlineLevel="0" collapsed="false">
      <c r="A94" s="100" t="s">
        <v>45</v>
      </c>
      <c r="B94" s="2" t="s">
        <v>161</v>
      </c>
      <c r="C94" s="3"/>
      <c r="D94" s="101" t="n">
        <v>6273062</v>
      </c>
      <c r="E94" s="102" t="n">
        <v>45104</v>
      </c>
      <c r="F94" s="103" t="s">
        <v>53</v>
      </c>
      <c r="G94" s="5" t="n">
        <v>45104</v>
      </c>
      <c r="H94" s="105"/>
      <c r="I94" s="106"/>
      <c r="J94" s="106"/>
      <c r="K94" s="106"/>
      <c r="L94" s="106"/>
      <c r="M94" s="105"/>
      <c r="N94" s="106"/>
      <c r="O94" s="105"/>
      <c r="P94" s="7"/>
      <c r="Q94" s="107"/>
      <c r="R94" s="105" t="n">
        <v>1182</v>
      </c>
      <c r="S94" s="107"/>
      <c r="T94" s="108"/>
      <c r="U94" s="95" t="n">
        <f aca="false">SUM(H94:T94)</f>
        <v>1182</v>
      </c>
      <c r="V94" s="109" t="s">
        <v>54</v>
      </c>
      <c r="W94" s="10" t="s">
        <v>45</v>
      </c>
      <c r="X94" s="110" t="s">
        <v>37</v>
      </c>
      <c r="Y94" s="252"/>
      <c r="Z94" s="253"/>
    </row>
    <row r="95" s="10" customFormat="true" ht="14.1" hidden="false" customHeight="true" outlineLevel="0" collapsed="false">
      <c r="A95" s="100" t="s">
        <v>45</v>
      </c>
      <c r="B95" s="2" t="s">
        <v>171</v>
      </c>
      <c r="C95" s="3"/>
      <c r="D95" s="101" t="n">
        <v>6153053</v>
      </c>
      <c r="E95" s="102" t="n">
        <v>45092</v>
      </c>
      <c r="F95" s="103" t="s">
        <v>13</v>
      </c>
      <c r="G95" s="5" t="n">
        <v>45092</v>
      </c>
      <c r="H95" s="105"/>
      <c r="I95" s="106"/>
      <c r="J95" s="106"/>
      <c r="K95" s="106"/>
      <c r="L95" s="106"/>
      <c r="M95" s="105" t="n">
        <v>95</v>
      </c>
      <c r="N95" s="106"/>
      <c r="O95" s="105"/>
      <c r="P95" s="7"/>
      <c r="Q95" s="107"/>
      <c r="R95" s="105"/>
      <c r="S95" s="107"/>
      <c r="T95" s="108"/>
      <c r="U95" s="95" t="n">
        <f aca="false">SUM(H95:T95)</f>
        <v>95</v>
      </c>
      <c r="V95" s="109" t="s">
        <v>42</v>
      </c>
      <c r="W95" s="10" t="s">
        <v>172</v>
      </c>
      <c r="X95" s="110" t="s">
        <v>37</v>
      </c>
      <c r="Y95" s="252"/>
      <c r="Z95" s="253"/>
    </row>
    <row r="96" s="10" customFormat="true" ht="14.1" hidden="false" customHeight="true" outlineLevel="0" collapsed="false">
      <c r="A96" s="171" t="s">
        <v>45</v>
      </c>
      <c r="B96" s="172" t="s">
        <v>84</v>
      </c>
      <c r="C96" s="173"/>
      <c r="D96" s="174" t="n">
        <v>2072064</v>
      </c>
      <c r="E96" s="175" t="n">
        <v>44964</v>
      </c>
      <c r="F96" s="176" t="s">
        <v>53</v>
      </c>
      <c r="G96" s="177" t="n">
        <v>44964</v>
      </c>
      <c r="H96" s="178"/>
      <c r="I96" s="179"/>
      <c r="J96" s="179"/>
      <c r="K96" s="179"/>
      <c r="L96" s="179"/>
      <c r="M96" s="178"/>
      <c r="N96" s="179"/>
      <c r="O96" s="178"/>
      <c r="P96" s="180"/>
      <c r="Q96" s="181"/>
      <c r="R96" s="178" t="n">
        <v>79</v>
      </c>
      <c r="S96" s="181"/>
      <c r="T96" s="182"/>
      <c r="U96" s="183" t="n">
        <f aca="false">SUM(H96:T96)</f>
        <v>79</v>
      </c>
      <c r="V96" s="184" t="s">
        <v>85</v>
      </c>
      <c r="W96" s="185" t="s">
        <v>86</v>
      </c>
      <c r="X96" s="110" t="s">
        <v>37</v>
      </c>
      <c r="Y96" s="186"/>
      <c r="Z96" s="51"/>
    </row>
    <row r="97" s="10" customFormat="true" ht="14.1" hidden="false" customHeight="true" outlineLevel="0" collapsed="false">
      <c r="A97" s="100" t="s">
        <v>45</v>
      </c>
      <c r="B97" s="2" t="s">
        <v>173</v>
      </c>
      <c r="C97" s="3"/>
      <c r="D97" s="101" t="n">
        <v>6193062</v>
      </c>
      <c r="E97" s="102" t="n">
        <v>45096</v>
      </c>
      <c r="F97" s="103" t="s">
        <v>53</v>
      </c>
      <c r="G97" s="5" t="n">
        <v>45096</v>
      </c>
      <c r="H97" s="105"/>
      <c r="I97" s="106"/>
      <c r="J97" s="106"/>
      <c r="K97" s="106"/>
      <c r="L97" s="106"/>
      <c r="M97" s="105"/>
      <c r="N97" s="106"/>
      <c r="O97" s="105"/>
      <c r="P97" s="7"/>
      <c r="Q97" s="107"/>
      <c r="R97" s="105" t="n">
        <v>39</v>
      </c>
      <c r="S97" s="107" t="n">
        <v>12.5</v>
      </c>
      <c r="T97" s="108" t="n">
        <v>3.36</v>
      </c>
      <c r="U97" s="95" t="n">
        <f aca="false">SUM(H97:T97)</f>
        <v>54.86</v>
      </c>
      <c r="V97" s="109" t="s">
        <v>54</v>
      </c>
      <c r="W97" s="10" t="s">
        <v>26</v>
      </c>
      <c r="X97" s="110" t="s">
        <v>37</v>
      </c>
      <c r="Y97" s="252"/>
      <c r="Z97" s="253"/>
    </row>
    <row r="98" s="10" customFormat="true" ht="14.1" hidden="false" customHeight="true" outlineLevel="0" collapsed="false">
      <c r="A98" s="220" t="s">
        <v>45</v>
      </c>
      <c r="B98" s="221" t="s">
        <v>99</v>
      </c>
      <c r="C98" s="222"/>
      <c r="D98" s="223" t="n">
        <v>4143062</v>
      </c>
      <c r="E98" s="224" t="n">
        <v>45030</v>
      </c>
      <c r="F98" s="225" t="s">
        <v>53</v>
      </c>
      <c r="G98" s="226" t="n">
        <v>45030</v>
      </c>
      <c r="H98" s="227"/>
      <c r="I98" s="228"/>
      <c r="J98" s="228"/>
      <c r="K98" s="228"/>
      <c r="L98" s="228"/>
      <c r="M98" s="227"/>
      <c r="N98" s="228"/>
      <c r="O98" s="227"/>
      <c r="P98" s="229"/>
      <c r="Q98" s="230"/>
      <c r="R98" s="227" t="n">
        <v>130</v>
      </c>
      <c r="S98" s="230" t="n">
        <v>25</v>
      </c>
      <c r="T98" s="231" t="n">
        <v>11.21</v>
      </c>
      <c r="U98" s="232" t="n">
        <f aca="false">SUM(H98:T98)</f>
        <v>166.21</v>
      </c>
      <c r="V98" s="233" t="s">
        <v>54</v>
      </c>
      <c r="W98" s="234" t="s">
        <v>45</v>
      </c>
      <c r="X98" s="110" t="s">
        <v>37</v>
      </c>
      <c r="Y98" s="186"/>
      <c r="Z98" s="51"/>
    </row>
    <row r="99" s="10" customFormat="true" ht="14.1" hidden="false" customHeight="true" outlineLevel="0" collapsed="false">
      <c r="A99" s="206"/>
      <c r="B99" s="207"/>
      <c r="C99" s="208"/>
      <c r="D99" s="208"/>
      <c r="E99" s="209"/>
      <c r="F99" s="210"/>
      <c r="G99" s="211"/>
      <c r="H99" s="212"/>
      <c r="I99" s="212"/>
      <c r="J99" s="213"/>
      <c r="K99" s="213"/>
      <c r="L99" s="213"/>
      <c r="M99" s="212"/>
      <c r="N99" s="212"/>
      <c r="O99" s="212"/>
      <c r="P99" s="127"/>
      <c r="Q99" s="214"/>
      <c r="R99" s="212"/>
      <c r="S99" s="214"/>
      <c r="T99" s="215"/>
      <c r="U99" s="216"/>
      <c r="V99" s="217"/>
      <c r="W99" s="29"/>
      <c r="X99" s="29"/>
      <c r="Y99" s="254" t="n">
        <f aca="false">SUM(U53:U98)</f>
        <v>12772.39</v>
      </c>
      <c r="Z99" s="219" t="n">
        <f aca="false">Y99/V101</f>
        <v>0.470924646245807</v>
      </c>
      <c r="AA99" s="51"/>
    </row>
    <row r="100" s="10" customFormat="true" ht="19.5" hidden="false" customHeight="true" outlineLevel="0" collapsed="false">
      <c r="A100" s="255"/>
      <c r="B100" s="256"/>
      <c r="C100" s="256"/>
      <c r="D100" s="49"/>
      <c r="E100" s="49"/>
      <c r="F100" s="257"/>
      <c r="G100" s="49"/>
      <c r="H100" s="258" t="n">
        <f aca="false">SUM(H4:H98)</f>
        <v>75</v>
      </c>
      <c r="I100" s="258" t="n">
        <f aca="false">SUM(I4:I98)</f>
        <v>1260</v>
      </c>
      <c r="J100" s="258" t="n">
        <f aca="false">SUM(J4:J98)</f>
        <v>0</v>
      </c>
      <c r="K100" s="258" t="n">
        <f aca="false">SUM(K4:K98)</f>
        <v>0</v>
      </c>
      <c r="L100" s="258" t="n">
        <f aca="false">SUM(L4:L98)</f>
        <v>0</v>
      </c>
      <c r="M100" s="258" t="n">
        <f aca="false">SUM(M4:M98)</f>
        <v>193</v>
      </c>
      <c r="N100" s="258" t="n">
        <f aca="false">SUM(N4:N98)</f>
        <v>39</v>
      </c>
      <c r="O100" s="258" t="n">
        <f aca="false">SUM(O4:O98)</f>
        <v>37.5</v>
      </c>
      <c r="P100" s="258" t="n">
        <f aca="false">SUM(P4:P98)</f>
        <v>0</v>
      </c>
      <c r="Q100" s="258" t="n">
        <f aca="false">SUM(Q4:Q98)</f>
        <v>0</v>
      </c>
      <c r="R100" s="258" t="n">
        <f aca="false">SUM(R4:R98)</f>
        <v>20877.5</v>
      </c>
      <c r="S100" s="258" t="n">
        <f aca="false">SUM(S4:S98)</f>
        <v>3156.5</v>
      </c>
      <c r="T100" s="258" t="n">
        <f aca="false">SUM(T4:T98)</f>
        <v>1483.44</v>
      </c>
      <c r="U100" s="258" t="n">
        <f aca="false">SUM(U4:U98)</f>
        <v>27121.94</v>
      </c>
      <c r="V100" s="259"/>
      <c r="W100" s="11"/>
      <c r="X100" s="11"/>
      <c r="Y100" s="3"/>
      <c r="Z100" s="2"/>
      <c r="AA100" s="260"/>
      <c r="AB100" s="260"/>
      <c r="AC100" s="260"/>
    </row>
    <row r="101" s="10" customFormat="true" ht="14.1" hidden="false" customHeight="true" outlineLevel="0" collapsed="false">
      <c r="A101" s="2"/>
      <c r="B101" s="2"/>
      <c r="C101" s="3"/>
      <c r="D101" s="3"/>
      <c r="E101" s="4"/>
      <c r="F101" s="3"/>
      <c r="G101" s="5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8"/>
      <c r="U101" s="9"/>
      <c r="V101" s="261" t="n">
        <f aca="false">SUM(H100:T100)</f>
        <v>27121.94</v>
      </c>
      <c r="Y101" s="262"/>
      <c r="Z101" s="12"/>
    </row>
    <row r="102" s="10" customFormat="true" ht="14.1" hidden="false" customHeight="true" outlineLevel="0" collapsed="false">
      <c r="A102" s="2"/>
      <c r="B102" s="2"/>
      <c r="C102" s="3"/>
      <c r="D102" s="3"/>
      <c r="E102" s="4"/>
      <c r="F102" s="3"/>
      <c r="G102" s="5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8"/>
      <c r="U102" s="9"/>
      <c r="V102" s="2"/>
      <c r="Y102" s="262"/>
      <c r="Z102" s="12"/>
    </row>
    <row r="103" s="10" customFormat="true" ht="14.1" hidden="false" customHeight="true" outlineLevel="0" collapsed="false">
      <c r="A103" s="2"/>
      <c r="B103" s="2"/>
      <c r="C103" s="3"/>
      <c r="D103" s="3"/>
      <c r="E103" s="4"/>
      <c r="F103" s="3"/>
      <c r="G103" s="5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8"/>
      <c r="U103" s="9"/>
      <c r="V103" s="2"/>
      <c r="Y103" s="262"/>
      <c r="Z103" s="12"/>
    </row>
    <row r="104" s="10" customFormat="true" ht="14.1" hidden="false" customHeight="true" outlineLevel="0" collapsed="false">
      <c r="A104" s="2"/>
      <c r="B104" s="2"/>
      <c r="C104" s="3"/>
      <c r="D104" s="3"/>
      <c r="E104" s="4"/>
      <c r="F104" s="3"/>
      <c r="G104" s="5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8"/>
      <c r="U104" s="9"/>
      <c r="V104" s="2"/>
      <c r="Y104" s="262"/>
      <c r="Z104" s="12"/>
    </row>
    <row r="105" s="10" customFormat="true" ht="14.1" hidden="false" customHeight="true" outlineLevel="0" collapsed="false">
      <c r="A105" s="2"/>
      <c r="B105" s="2"/>
      <c r="C105" s="3"/>
      <c r="D105" s="3"/>
      <c r="E105" s="4"/>
      <c r="F105" s="3"/>
      <c r="G105" s="5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8"/>
      <c r="U105" s="9"/>
      <c r="V105" s="2"/>
      <c r="Y105" s="262"/>
      <c r="Z105" s="12"/>
    </row>
    <row r="106" s="10" customFormat="true" ht="14.1" hidden="false" customHeight="true" outlineLevel="0" collapsed="false">
      <c r="A106" s="2"/>
      <c r="B106" s="2"/>
      <c r="C106" s="3"/>
      <c r="D106" s="3"/>
      <c r="E106" s="4"/>
      <c r="F106" s="3"/>
      <c r="G106" s="5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8"/>
      <c r="U106" s="9"/>
      <c r="V106" s="2"/>
      <c r="Y106" s="262"/>
      <c r="Z106" s="12"/>
    </row>
    <row r="107" s="10" customFormat="true" ht="14.1" hidden="false" customHeight="true" outlineLevel="0" collapsed="false">
      <c r="A107" s="2"/>
      <c r="B107" s="2"/>
      <c r="C107" s="3"/>
      <c r="D107" s="3"/>
      <c r="E107" s="4"/>
      <c r="F107" s="3"/>
      <c r="G107" s="5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8"/>
      <c r="U107" s="9"/>
      <c r="V107" s="2"/>
      <c r="Y107" s="262"/>
      <c r="Z107" s="12"/>
    </row>
    <row r="108" s="10" customFormat="true" ht="14.1" hidden="false" customHeight="true" outlineLevel="0" collapsed="false">
      <c r="A108" s="2"/>
      <c r="B108" s="2"/>
      <c r="C108" s="3"/>
      <c r="D108" s="3"/>
      <c r="E108" s="4"/>
      <c r="F108" s="3"/>
      <c r="G108" s="5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8"/>
      <c r="U108" s="9"/>
      <c r="V108" s="2"/>
      <c r="Y108" s="262"/>
      <c r="Z108" s="12"/>
    </row>
    <row r="109" s="10" customFormat="true" ht="14.1" hidden="false" customHeight="true" outlineLevel="0" collapsed="false">
      <c r="A109" s="2"/>
      <c r="B109" s="2"/>
      <c r="C109" s="3"/>
      <c r="D109" s="3"/>
      <c r="E109" s="4"/>
      <c r="F109" s="3"/>
      <c r="G109" s="5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8"/>
      <c r="U109" s="9"/>
      <c r="V109" s="2"/>
      <c r="Y109" s="262"/>
      <c r="Z109" s="12"/>
    </row>
    <row r="110" s="10" customFormat="true" ht="14.1" hidden="false" customHeight="true" outlineLevel="0" collapsed="false">
      <c r="A110" s="2"/>
      <c r="B110" s="2"/>
      <c r="C110" s="263"/>
      <c r="D110" s="3"/>
      <c r="E110" s="4"/>
      <c r="F110" s="3"/>
      <c r="G110" s="5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8"/>
      <c r="T110" s="8"/>
      <c r="V110" s="264"/>
      <c r="W110" s="265"/>
      <c r="X110" s="265"/>
      <c r="Y110" s="266"/>
      <c r="Z110" s="2"/>
    </row>
    <row r="111" s="10" customFormat="true" ht="14.1" hidden="false" customHeight="true" outlineLevel="0" collapsed="false">
      <c r="A111" s="2"/>
      <c r="B111" s="2"/>
      <c r="C111" s="3"/>
      <c r="D111" s="3"/>
      <c r="E111" s="4"/>
      <c r="F111" s="3"/>
      <c r="G111" s="5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8"/>
      <c r="U111" s="9"/>
      <c r="V111" s="2"/>
      <c r="Y111" s="262"/>
      <c r="Z111" s="12"/>
    </row>
    <row r="112" s="10" customFormat="true" ht="14.1" hidden="false" customHeight="true" outlineLevel="0" collapsed="false">
      <c r="A112" s="2"/>
      <c r="B112" s="2"/>
      <c r="C112" s="3"/>
      <c r="D112" s="3"/>
      <c r="E112" s="4"/>
      <c r="F112" s="3"/>
      <c r="G112" s="5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8"/>
      <c r="U112" s="9"/>
      <c r="V112" s="2"/>
      <c r="Y112" s="262"/>
      <c r="Z112" s="12"/>
    </row>
    <row r="113" s="10" customFormat="true" ht="14.1" hidden="false" customHeight="true" outlineLevel="0" collapsed="false">
      <c r="A113" s="2"/>
      <c r="B113" s="2"/>
      <c r="C113" s="3"/>
      <c r="D113" s="3"/>
      <c r="E113" s="4"/>
      <c r="F113" s="3"/>
      <c r="G113" s="5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8"/>
      <c r="U113" s="9"/>
      <c r="V113" s="2"/>
      <c r="Y113" s="262"/>
      <c r="Z113" s="12"/>
    </row>
    <row r="114" s="10" customFormat="true" ht="14.1" hidden="false" customHeight="true" outlineLevel="0" collapsed="false">
      <c r="A114" s="2"/>
      <c r="B114" s="2"/>
      <c r="C114" s="3"/>
      <c r="D114" s="3"/>
      <c r="E114" s="4"/>
      <c r="F114" s="3"/>
      <c r="G114" s="5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8"/>
      <c r="U114" s="9"/>
      <c r="V114" s="2"/>
      <c r="Y114" s="262"/>
      <c r="Z114" s="12"/>
    </row>
    <row r="115" s="10" customFormat="true" ht="14.1" hidden="false" customHeight="true" outlineLevel="0" collapsed="false">
      <c r="A115" s="2"/>
      <c r="B115" s="2"/>
      <c r="C115" s="3"/>
      <c r="D115" s="3"/>
      <c r="E115" s="4"/>
      <c r="F115" s="3"/>
      <c r="G115" s="5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8"/>
      <c r="U115" s="9"/>
      <c r="V115" s="2"/>
      <c r="Y115" s="262"/>
      <c r="Z115" s="12"/>
    </row>
    <row r="116" s="10" customFormat="true" ht="14.1" hidden="false" customHeight="true" outlineLevel="0" collapsed="false">
      <c r="A116" s="2"/>
      <c r="B116" s="2"/>
      <c r="C116" s="3"/>
      <c r="D116" s="3"/>
      <c r="E116" s="4"/>
      <c r="F116" s="3"/>
      <c r="G116" s="5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8"/>
      <c r="U116" s="9"/>
      <c r="V116" s="2"/>
      <c r="Y116" s="262"/>
      <c r="Z116" s="12"/>
    </row>
    <row r="117" s="10" customFormat="true" ht="14.1" hidden="false" customHeight="true" outlineLevel="0" collapsed="false">
      <c r="A117" s="2"/>
      <c r="B117" s="2"/>
      <c r="C117" s="3"/>
      <c r="D117" s="3"/>
      <c r="E117" s="4"/>
      <c r="F117" s="3"/>
      <c r="G117" s="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8"/>
      <c r="U117" s="9"/>
      <c r="V117" s="2"/>
      <c r="Y117" s="262"/>
      <c r="Z117" s="12"/>
    </row>
    <row r="118" s="10" customFormat="true" ht="14.1" hidden="false" customHeight="true" outlineLevel="0" collapsed="false">
      <c r="A118" s="2"/>
      <c r="B118" s="2"/>
      <c r="C118" s="3"/>
      <c r="D118" s="3"/>
      <c r="E118" s="4"/>
      <c r="F118" s="3"/>
      <c r="G118" s="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8"/>
      <c r="U118" s="9"/>
      <c r="V118" s="2"/>
      <c r="Y118" s="262"/>
      <c r="Z118" s="12"/>
    </row>
    <row r="119" s="10" customFormat="true" ht="14.1" hidden="false" customHeight="true" outlineLevel="0" collapsed="false">
      <c r="A119" s="2"/>
      <c r="B119" s="2"/>
      <c r="C119" s="3"/>
      <c r="D119" s="3"/>
      <c r="E119" s="4"/>
      <c r="F119" s="3"/>
      <c r="G119" s="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8"/>
      <c r="U119" s="9"/>
      <c r="V119" s="2"/>
      <c r="Y119" s="262"/>
      <c r="Z119" s="12"/>
    </row>
    <row r="120" s="10" customFormat="true" ht="14.1" hidden="false" customHeight="true" outlineLevel="0" collapsed="false">
      <c r="A120" s="2"/>
      <c r="B120" s="2"/>
      <c r="C120" s="3"/>
      <c r="D120" s="3"/>
      <c r="E120" s="4"/>
      <c r="F120" s="3"/>
      <c r="G120" s="5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8"/>
      <c r="U120" s="9"/>
      <c r="V120" s="2"/>
      <c r="Y120" s="262"/>
      <c r="Z120" s="12"/>
    </row>
    <row r="121" s="10" customFormat="true" ht="14.1" hidden="false" customHeight="true" outlineLevel="0" collapsed="false">
      <c r="A121" s="2"/>
      <c r="B121" s="2"/>
      <c r="C121" s="3"/>
      <c r="D121" s="3"/>
      <c r="E121" s="4"/>
      <c r="F121" s="3"/>
      <c r="G121" s="5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8"/>
      <c r="U121" s="9"/>
      <c r="V121" s="2"/>
      <c r="Y121" s="262"/>
      <c r="Z121" s="12"/>
    </row>
    <row r="122" s="10" customFormat="true" ht="14.1" hidden="false" customHeight="true" outlineLevel="0" collapsed="false">
      <c r="A122" s="2"/>
      <c r="B122" s="2"/>
      <c r="C122" s="3"/>
      <c r="D122" s="3"/>
      <c r="E122" s="4"/>
      <c r="F122" s="3"/>
      <c r="G122" s="5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8"/>
      <c r="U122" s="9"/>
      <c r="V122" s="2"/>
      <c r="Y122" s="262"/>
      <c r="Z122" s="12"/>
    </row>
    <row r="123" s="10" customFormat="true" ht="14.1" hidden="false" customHeight="true" outlineLevel="0" collapsed="false">
      <c r="A123" s="2"/>
      <c r="B123" s="2"/>
      <c r="C123" s="3"/>
      <c r="D123" s="3"/>
      <c r="E123" s="4"/>
      <c r="F123" s="3"/>
      <c r="G123" s="5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8"/>
      <c r="U123" s="9"/>
      <c r="V123" s="2"/>
      <c r="Y123" s="262"/>
      <c r="Z123" s="12"/>
    </row>
    <row r="124" s="10" customFormat="true" ht="14.1" hidden="false" customHeight="true" outlineLevel="0" collapsed="false">
      <c r="A124" s="2"/>
      <c r="B124" s="2"/>
      <c r="C124" s="3"/>
      <c r="D124" s="3"/>
      <c r="E124" s="4"/>
      <c r="F124" s="3"/>
      <c r="G124" s="5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8"/>
      <c r="U124" s="9"/>
      <c r="V124" s="2"/>
      <c r="Y124" s="262"/>
      <c r="Z124" s="12"/>
    </row>
    <row r="125" s="10" customFormat="true" ht="14.1" hidden="false" customHeight="true" outlineLevel="0" collapsed="false">
      <c r="A125" s="2"/>
      <c r="B125" s="2"/>
      <c r="C125" s="3"/>
      <c r="D125" s="3"/>
      <c r="E125" s="4"/>
      <c r="F125" s="3"/>
      <c r="G125" s="5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8"/>
      <c r="U125" s="9"/>
      <c r="V125" s="2"/>
      <c r="Y125" s="262"/>
      <c r="Z125" s="12"/>
    </row>
    <row r="126" s="10" customFormat="true" ht="14.1" hidden="false" customHeight="true" outlineLevel="0" collapsed="false">
      <c r="A126" s="2"/>
      <c r="B126" s="2"/>
      <c r="C126" s="3"/>
      <c r="D126" s="3"/>
      <c r="E126" s="4"/>
      <c r="F126" s="3"/>
      <c r="G126" s="5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8"/>
      <c r="U126" s="9"/>
      <c r="V126" s="2"/>
      <c r="Y126" s="262"/>
      <c r="Z126" s="12"/>
    </row>
    <row r="127" s="10" customFormat="true" ht="14.1" hidden="false" customHeight="true" outlineLevel="0" collapsed="false">
      <c r="A127" s="2"/>
      <c r="B127" s="2"/>
      <c r="C127" s="3"/>
      <c r="D127" s="3"/>
      <c r="E127" s="4"/>
      <c r="F127" s="3"/>
      <c r="G127" s="5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8"/>
      <c r="U127" s="9"/>
      <c r="V127" s="2"/>
      <c r="Y127" s="262"/>
      <c r="Z127" s="12"/>
    </row>
    <row r="128" s="10" customFormat="true" ht="14.1" hidden="false" customHeight="true" outlineLevel="0" collapsed="false">
      <c r="A128" s="2"/>
      <c r="B128" s="2"/>
      <c r="C128" s="3"/>
      <c r="D128" s="3"/>
      <c r="E128" s="4"/>
      <c r="F128" s="3"/>
      <c r="G128" s="5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8"/>
      <c r="U128" s="9"/>
      <c r="V128" s="2"/>
      <c r="Y128" s="262"/>
      <c r="Z128" s="12"/>
    </row>
    <row r="129" s="10" customFormat="true" ht="14.1" hidden="false" customHeight="true" outlineLevel="0" collapsed="false">
      <c r="A129" s="2"/>
      <c r="B129" s="2"/>
      <c r="C129" s="3"/>
      <c r="D129" s="3"/>
      <c r="E129" s="4"/>
      <c r="F129" s="3"/>
      <c r="G129" s="5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8"/>
      <c r="U129" s="9"/>
      <c r="V129" s="2"/>
      <c r="Y129" s="262"/>
      <c r="Z129" s="12"/>
    </row>
    <row r="130" s="10" customFormat="true" ht="14.1" hidden="false" customHeight="true" outlineLevel="0" collapsed="false">
      <c r="A130" s="2"/>
      <c r="B130" s="2"/>
      <c r="C130" s="3"/>
      <c r="D130" s="3"/>
      <c r="E130" s="4"/>
      <c r="F130" s="3"/>
      <c r="G130" s="5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8"/>
      <c r="U130" s="9"/>
      <c r="V130" s="2"/>
      <c r="Y130" s="262"/>
      <c r="Z130" s="12"/>
    </row>
    <row r="131" s="10" customFormat="true" ht="14.1" hidden="false" customHeight="true" outlineLevel="0" collapsed="false">
      <c r="A131" s="2"/>
      <c r="B131" s="2"/>
      <c r="C131" s="3"/>
      <c r="D131" s="3"/>
      <c r="E131" s="4"/>
      <c r="F131" s="3"/>
      <c r="G131" s="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8"/>
      <c r="U131" s="9"/>
      <c r="V131" s="2"/>
      <c r="Y131" s="262"/>
      <c r="Z131" s="12"/>
    </row>
    <row r="132" s="10" customFormat="true" ht="14.1" hidden="false" customHeight="true" outlineLevel="0" collapsed="false">
      <c r="A132" s="2"/>
      <c r="B132" s="2"/>
      <c r="C132" s="3"/>
      <c r="D132" s="3"/>
      <c r="E132" s="4"/>
      <c r="F132" s="3"/>
      <c r="G132" s="5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8"/>
      <c r="U132" s="9"/>
      <c r="V132" s="2"/>
      <c r="Y132" s="262"/>
      <c r="Z132" s="12"/>
    </row>
    <row r="133" s="10" customFormat="true" ht="14.1" hidden="false" customHeight="true" outlineLevel="0" collapsed="false">
      <c r="A133" s="2"/>
      <c r="B133" s="2"/>
      <c r="C133" s="3"/>
      <c r="D133" s="3"/>
      <c r="E133" s="4"/>
      <c r="F133" s="3"/>
      <c r="G133" s="5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8"/>
      <c r="U133" s="9"/>
      <c r="V133" s="2"/>
      <c r="Y133" s="262"/>
      <c r="Z133" s="12"/>
    </row>
    <row r="134" s="10" customFormat="true" ht="14.1" hidden="false" customHeight="true" outlineLevel="0" collapsed="false">
      <c r="A134" s="2"/>
      <c r="B134" s="2"/>
      <c r="C134" s="3"/>
      <c r="D134" s="3"/>
      <c r="E134" s="4"/>
      <c r="F134" s="3"/>
      <c r="G134" s="5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8"/>
      <c r="U134" s="9"/>
      <c r="V134" s="2"/>
      <c r="Y134" s="262"/>
      <c r="Z134" s="12"/>
    </row>
    <row r="135" s="10" customFormat="true" ht="14.1" hidden="false" customHeight="true" outlineLevel="0" collapsed="false">
      <c r="A135" s="2"/>
      <c r="B135" s="2"/>
      <c r="C135" s="3"/>
      <c r="D135" s="3"/>
      <c r="E135" s="4"/>
      <c r="F135" s="3"/>
      <c r="G135" s="5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8"/>
      <c r="U135" s="9"/>
      <c r="V135" s="2"/>
      <c r="Y135" s="262"/>
      <c r="Z135" s="12"/>
    </row>
    <row r="136" s="10" customFormat="true" ht="14.1" hidden="false" customHeight="true" outlineLevel="0" collapsed="false">
      <c r="A136" s="2"/>
      <c r="B136" s="2"/>
      <c r="C136" s="3"/>
      <c r="D136" s="3"/>
      <c r="E136" s="4"/>
      <c r="F136" s="3"/>
      <c r="G136" s="5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8"/>
      <c r="U136" s="9"/>
      <c r="V136" s="2"/>
      <c r="Y136" s="262"/>
      <c r="Z136" s="12"/>
    </row>
    <row r="137" s="10" customFormat="true" ht="14.1" hidden="false" customHeight="true" outlineLevel="0" collapsed="false">
      <c r="A137" s="2"/>
      <c r="B137" s="2"/>
      <c r="C137" s="3"/>
      <c r="D137" s="3"/>
      <c r="E137" s="4"/>
      <c r="F137" s="3"/>
      <c r="G137" s="5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8"/>
      <c r="U137" s="9"/>
      <c r="V137" s="2"/>
      <c r="Y137" s="262"/>
      <c r="Z137" s="12"/>
    </row>
    <row r="138" s="10" customFormat="true" ht="14.1" hidden="false" customHeight="true" outlineLevel="0" collapsed="false">
      <c r="A138" s="2"/>
      <c r="B138" s="2"/>
      <c r="C138" s="3"/>
      <c r="D138" s="3"/>
      <c r="E138" s="4"/>
      <c r="F138" s="3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8"/>
      <c r="U138" s="9"/>
      <c r="V138" s="2"/>
      <c r="Y138" s="262"/>
      <c r="Z138" s="12"/>
    </row>
    <row r="139" s="10" customFormat="true" ht="14.1" hidden="false" customHeight="true" outlineLevel="0" collapsed="false">
      <c r="A139" s="2"/>
      <c r="B139" s="2"/>
      <c r="C139" s="3"/>
      <c r="D139" s="3"/>
      <c r="E139" s="4"/>
      <c r="F139" s="3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8"/>
      <c r="U139" s="9"/>
      <c r="V139" s="2"/>
      <c r="Y139" s="262"/>
      <c r="Z139" s="12"/>
    </row>
    <row r="140" s="10" customFormat="true" ht="14.1" hidden="false" customHeight="true" outlineLevel="0" collapsed="false">
      <c r="A140" s="2"/>
      <c r="B140" s="2"/>
      <c r="C140" s="3"/>
      <c r="D140" s="3"/>
      <c r="E140" s="4"/>
      <c r="F140" s="3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8"/>
      <c r="U140" s="9"/>
      <c r="V140" s="2"/>
      <c r="Y140" s="262"/>
      <c r="Z140" s="12"/>
    </row>
    <row r="141" s="10" customFormat="true" ht="14.1" hidden="false" customHeight="true" outlineLevel="0" collapsed="false">
      <c r="A141" s="2"/>
      <c r="B141" s="2"/>
      <c r="C141" s="3"/>
      <c r="D141" s="3"/>
      <c r="E141" s="4"/>
      <c r="F141" s="3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8"/>
      <c r="U141" s="9"/>
      <c r="V141" s="2"/>
      <c r="Y141" s="262"/>
      <c r="Z141" s="12"/>
    </row>
    <row r="142" s="10" customFormat="true" ht="14.1" hidden="false" customHeight="true" outlineLevel="0" collapsed="false">
      <c r="A142" s="2"/>
      <c r="B142" s="2"/>
      <c r="C142" s="3"/>
      <c r="D142" s="3"/>
      <c r="E142" s="4"/>
      <c r="F142" s="3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8"/>
      <c r="U142" s="9"/>
      <c r="V142" s="2"/>
      <c r="Y142" s="262"/>
      <c r="Z142" s="12"/>
    </row>
    <row r="143" s="10" customFormat="true" ht="14.1" hidden="false" customHeight="true" outlineLevel="0" collapsed="false">
      <c r="A143" s="2"/>
      <c r="B143" s="2"/>
      <c r="C143" s="3"/>
      <c r="D143" s="3"/>
      <c r="E143" s="4"/>
      <c r="F143" s="3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8"/>
      <c r="U143" s="9"/>
      <c r="V143" s="2"/>
      <c r="Y143" s="262"/>
      <c r="Z143" s="12"/>
    </row>
    <row r="144" s="10" customFormat="true" ht="14.1" hidden="false" customHeight="true" outlineLevel="0" collapsed="false">
      <c r="A144" s="2"/>
      <c r="B144" s="2"/>
      <c r="C144" s="3"/>
      <c r="D144" s="3"/>
      <c r="E144" s="4"/>
      <c r="F144" s="3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8"/>
      <c r="U144" s="9"/>
      <c r="V144" s="2"/>
      <c r="Y144" s="262"/>
      <c r="Z144" s="12"/>
    </row>
    <row r="145" s="10" customFormat="true" ht="14.1" hidden="false" customHeight="true" outlineLevel="0" collapsed="false">
      <c r="A145" s="2"/>
      <c r="B145" s="2"/>
      <c r="C145" s="3"/>
      <c r="D145" s="3"/>
      <c r="E145" s="4"/>
      <c r="F145" s="3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8"/>
      <c r="U145" s="9"/>
      <c r="V145" s="2"/>
      <c r="Y145" s="262"/>
      <c r="Z145" s="12"/>
    </row>
    <row r="146" s="10" customFormat="true" ht="14.1" hidden="false" customHeight="true" outlineLevel="0" collapsed="false">
      <c r="A146" s="2"/>
      <c r="B146" s="2"/>
      <c r="C146" s="3"/>
      <c r="D146" s="3"/>
      <c r="E146" s="4"/>
      <c r="F146" s="3"/>
      <c r="G146" s="5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8"/>
      <c r="U146" s="9"/>
      <c r="V146" s="2"/>
      <c r="Y146" s="262"/>
      <c r="Z146" s="12"/>
    </row>
    <row r="147" s="10" customFormat="true" ht="14.1" hidden="false" customHeight="true" outlineLevel="0" collapsed="false">
      <c r="A147" s="2"/>
      <c r="B147" s="2"/>
      <c r="C147" s="3"/>
      <c r="D147" s="3"/>
      <c r="E147" s="4"/>
      <c r="F147" s="3"/>
      <c r="G147" s="5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8"/>
      <c r="U147" s="9"/>
      <c r="V147" s="2"/>
      <c r="Y147" s="262"/>
      <c r="Z147" s="12"/>
    </row>
    <row r="148" s="10" customFormat="true" ht="14.1" hidden="false" customHeight="true" outlineLevel="0" collapsed="false">
      <c r="A148" s="2"/>
      <c r="B148" s="2"/>
      <c r="C148" s="3"/>
      <c r="D148" s="3"/>
      <c r="E148" s="4"/>
      <c r="F148" s="3"/>
      <c r="G148" s="5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8"/>
      <c r="U148" s="9"/>
      <c r="V148" s="2"/>
      <c r="Y148" s="262"/>
      <c r="Z148" s="12"/>
    </row>
    <row r="149" s="10" customFormat="true" ht="14.1" hidden="false" customHeight="true" outlineLevel="0" collapsed="false">
      <c r="A149" s="2"/>
      <c r="B149" s="2"/>
      <c r="C149" s="3"/>
      <c r="D149" s="3"/>
      <c r="E149" s="4"/>
      <c r="F149" s="3"/>
      <c r="G149" s="5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8"/>
      <c r="U149" s="9"/>
      <c r="V149" s="2"/>
      <c r="Y149" s="262"/>
      <c r="Z149" s="12"/>
    </row>
    <row r="150" s="10" customFormat="true" ht="14.1" hidden="false" customHeight="true" outlineLevel="0" collapsed="false">
      <c r="A150" s="2"/>
      <c r="B150" s="2"/>
      <c r="C150" s="3"/>
      <c r="D150" s="3"/>
      <c r="E150" s="4"/>
      <c r="F150" s="3"/>
      <c r="G150" s="5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8"/>
      <c r="U150" s="9"/>
      <c r="V150" s="2"/>
      <c r="Y150" s="262"/>
      <c r="Z150" s="12"/>
    </row>
    <row r="151" s="10" customFormat="true" ht="14.1" hidden="false" customHeight="true" outlineLevel="0" collapsed="false">
      <c r="A151" s="2"/>
      <c r="B151" s="2"/>
      <c r="C151" s="3"/>
      <c r="D151" s="3"/>
      <c r="E151" s="4"/>
      <c r="F151" s="3"/>
      <c r="G151" s="5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8"/>
      <c r="U151" s="9"/>
      <c r="V151" s="2"/>
      <c r="Y151" s="262"/>
      <c r="Z151" s="12"/>
    </row>
    <row r="152" s="10" customFormat="true" ht="14.1" hidden="false" customHeight="true" outlineLevel="0" collapsed="false">
      <c r="A152" s="2"/>
      <c r="B152" s="2"/>
      <c r="C152" s="3"/>
      <c r="D152" s="3"/>
      <c r="E152" s="4"/>
      <c r="F152" s="3"/>
      <c r="G152" s="5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8"/>
      <c r="U152" s="9"/>
      <c r="V152" s="2"/>
      <c r="Y152" s="262"/>
      <c r="Z152" s="12"/>
    </row>
    <row r="153" s="10" customFormat="true" ht="14.1" hidden="false" customHeight="true" outlineLevel="0" collapsed="false">
      <c r="A153" s="2"/>
      <c r="B153" s="2"/>
      <c r="C153" s="3"/>
      <c r="D153" s="3"/>
      <c r="E153" s="4"/>
      <c r="F153" s="3"/>
      <c r="G153" s="5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8"/>
      <c r="U153" s="9"/>
      <c r="V153" s="2"/>
      <c r="Y153" s="262"/>
      <c r="Z153" s="12"/>
    </row>
    <row r="154" s="10" customFormat="true" ht="14.1" hidden="false" customHeight="true" outlineLevel="0" collapsed="false">
      <c r="A154" s="2"/>
      <c r="B154" s="2"/>
      <c r="C154" s="3"/>
      <c r="D154" s="3"/>
      <c r="E154" s="4"/>
      <c r="F154" s="3"/>
      <c r="G154" s="5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8"/>
      <c r="U154" s="9"/>
      <c r="V154" s="2"/>
      <c r="Y154" s="262"/>
      <c r="Z154" s="12"/>
    </row>
    <row r="155" s="10" customFormat="true" ht="14.1" hidden="false" customHeight="true" outlineLevel="0" collapsed="false">
      <c r="A155" s="2"/>
      <c r="B155" s="2"/>
      <c r="C155" s="3"/>
      <c r="D155" s="3"/>
      <c r="E155" s="4"/>
      <c r="F155" s="3"/>
      <c r="G155" s="5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8"/>
      <c r="U155" s="9"/>
      <c r="V155" s="2"/>
      <c r="Y155" s="262"/>
      <c r="Z155" s="12"/>
    </row>
    <row r="156" s="10" customFormat="true" ht="14.1" hidden="false" customHeight="true" outlineLevel="0" collapsed="false">
      <c r="A156" s="2"/>
      <c r="B156" s="2"/>
      <c r="C156" s="3"/>
      <c r="D156" s="3"/>
      <c r="E156" s="4"/>
      <c r="F156" s="3"/>
      <c r="G156" s="5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8"/>
      <c r="U156" s="9"/>
      <c r="V156" s="2"/>
      <c r="Y156" s="262"/>
      <c r="Z156" s="12"/>
    </row>
    <row r="157" s="10" customFormat="true" ht="14.1" hidden="false" customHeight="true" outlineLevel="0" collapsed="false">
      <c r="A157" s="2"/>
      <c r="B157" s="2"/>
      <c r="C157" s="3"/>
      <c r="D157" s="3"/>
      <c r="E157" s="4"/>
      <c r="F157" s="3"/>
      <c r="G157" s="5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8"/>
      <c r="U157" s="9"/>
      <c r="V157" s="2"/>
      <c r="Y157" s="262"/>
      <c r="Z157" s="12"/>
    </row>
    <row r="158" s="10" customFormat="true" ht="14.1" hidden="false" customHeight="true" outlineLevel="0" collapsed="false">
      <c r="A158" s="2"/>
      <c r="B158" s="2"/>
      <c r="C158" s="3"/>
      <c r="D158" s="3"/>
      <c r="E158" s="4"/>
      <c r="F158" s="3"/>
      <c r="G158" s="5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8"/>
      <c r="U158" s="9"/>
      <c r="V158" s="2"/>
      <c r="Y158" s="262"/>
      <c r="Z158" s="12"/>
    </row>
    <row r="159" s="10" customFormat="true" ht="14.1" hidden="false" customHeight="true" outlineLevel="0" collapsed="false">
      <c r="A159" s="2"/>
      <c r="B159" s="2"/>
      <c r="C159" s="3"/>
      <c r="D159" s="3"/>
      <c r="E159" s="4"/>
      <c r="F159" s="3"/>
      <c r="G159" s="5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8"/>
      <c r="U159" s="9"/>
      <c r="V159" s="2"/>
      <c r="Y159" s="262"/>
      <c r="Z159" s="12"/>
    </row>
    <row r="160" s="10" customFormat="true" ht="14.1" hidden="false" customHeight="true" outlineLevel="0" collapsed="false">
      <c r="A160" s="2"/>
      <c r="B160" s="2"/>
      <c r="C160" s="3"/>
      <c r="D160" s="3"/>
      <c r="E160" s="4"/>
      <c r="F160" s="3"/>
      <c r="G160" s="5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8"/>
      <c r="U160" s="9"/>
      <c r="V160" s="2"/>
      <c r="Y160" s="262"/>
      <c r="Z160" s="12"/>
    </row>
    <row r="161" s="10" customFormat="true" ht="14.1" hidden="false" customHeight="true" outlineLevel="0" collapsed="false">
      <c r="A161" s="2"/>
      <c r="B161" s="2"/>
      <c r="C161" s="3"/>
      <c r="D161" s="3"/>
      <c r="E161" s="4"/>
      <c r="F161" s="3"/>
      <c r="G161" s="5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8"/>
      <c r="U161" s="9"/>
      <c r="V161" s="2"/>
      <c r="Y161" s="262"/>
      <c r="Z161" s="12"/>
    </row>
    <row r="162" s="10" customFormat="true" ht="14.1" hidden="false" customHeight="true" outlineLevel="0" collapsed="false">
      <c r="A162" s="2"/>
      <c r="B162" s="2"/>
      <c r="C162" s="3"/>
      <c r="D162" s="3"/>
      <c r="E162" s="4"/>
      <c r="F162" s="3"/>
      <c r="G162" s="5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8"/>
      <c r="U162" s="9"/>
      <c r="V162" s="2"/>
      <c r="Y162" s="262"/>
      <c r="Z162" s="12"/>
    </row>
    <row r="163" s="10" customFormat="true" ht="14.1" hidden="false" customHeight="true" outlineLevel="0" collapsed="false">
      <c r="A163" s="2"/>
      <c r="B163" s="2"/>
      <c r="C163" s="3"/>
      <c r="D163" s="3"/>
      <c r="E163" s="4"/>
      <c r="F163" s="3"/>
      <c r="G163" s="5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8"/>
      <c r="U163" s="9"/>
      <c r="V163" s="2"/>
      <c r="Y163" s="262"/>
      <c r="Z163" s="12"/>
    </row>
    <row r="164" s="10" customFormat="true" ht="14.1" hidden="false" customHeight="true" outlineLevel="0" collapsed="false">
      <c r="A164" s="2"/>
      <c r="B164" s="2"/>
      <c r="C164" s="3"/>
      <c r="D164" s="3"/>
      <c r="E164" s="4"/>
      <c r="F164" s="3"/>
      <c r="G164" s="5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8"/>
      <c r="U164" s="9"/>
      <c r="V164" s="2"/>
      <c r="Y164" s="262"/>
      <c r="Z164" s="12"/>
    </row>
    <row r="165" s="10" customFormat="true" ht="14.1" hidden="false" customHeight="true" outlineLevel="0" collapsed="false">
      <c r="A165" s="2"/>
      <c r="B165" s="2"/>
      <c r="C165" s="3"/>
      <c r="D165" s="3"/>
      <c r="E165" s="4"/>
      <c r="F165" s="3"/>
      <c r="G165" s="5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8"/>
      <c r="U165" s="9"/>
      <c r="V165" s="2"/>
      <c r="Y165" s="262"/>
      <c r="Z165" s="12"/>
    </row>
    <row r="166" s="10" customFormat="true" ht="14.1" hidden="false" customHeight="true" outlineLevel="0" collapsed="false">
      <c r="A166" s="2"/>
      <c r="B166" s="2"/>
      <c r="C166" s="3"/>
      <c r="D166" s="3"/>
      <c r="E166" s="4"/>
      <c r="F166" s="3"/>
      <c r="G166" s="5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8"/>
      <c r="U166" s="9"/>
      <c r="V166" s="2"/>
      <c r="Y166" s="262"/>
      <c r="Z166" s="12"/>
    </row>
    <row r="167" s="10" customFormat="true" ht="14.1" hidden="false" customHeight="true" outlineLevel="0" collapsed="false">
      <c r="A167" s="2"/>
      <c r="B167" s="2"/>
      <c r="C167" s="3"/>
      <c r="D167" s="3"/>
      <c r="E167" s="4"/>
      <c r="F167" s="3"/>
      <c r="G167" s="5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8"/>
      <c r="U167" s="9"/>
      <c r="V167" s="2"/>
      <c r="Y167" s="262"/>
      <c r="Z167" s="12"/>
    </row>
    <row r="168" s="10" customFormat="true" ht="14.1" hidden="false" customHeight="true" outlineLevel="0" collapsed="false">
      <c r="A168" s="2"/>
      <c r="B168" s="2"/>
      <c r="C168" s="3"/>
      <c r="D168" s="3"/>
      <c r="E168" s="4"/>
      <c r="F168" s="3"/>
      <c r="G168" s="5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8"/>
      <c r="U168" s="9"/>
      <c r="V168" s="2"/>
      <c r="Y168" s="262"/>
      <c r="Z168" s="12"/>
    </row>
    <row r="169" s="10" customFormat="true" ht="14.1" hidden="false" customHeight="true" outlineLevel="0" collapsed="false">
      <c r="A169" s="2"/>
      <c r="B169" s="2"/>
      <c r="C169" s="3"/>
      <c r="D169" s="3"/>
      <c r="E169" s="4"/>
      <c r="F169" s="3"/>
      <c r="G169" s="5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8"/>
      <c r="U169" s="9"/>
      <c r="V169" s="2"/>
      <c r="Y169" s="262"/>
      <c r="Z169" s="12"/>
    </row>
    <row r="170" s="10" customFormat="true" ht="14.1" hidden="false" customHeight="true" outlineLevel="0" collapsed="false">
      <c r="A170" s="2"/>
      <c r="B170" s="2"/>
      <c r="C170" s="3"/>
      <c r="D170" s="3"/>
      <c r="E170" s="4"/>
      <c r="F170" s="3"/>
      <c r="G170" s="5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8"/>
      <c r="U170" s="9"/>
      <c r="V170" s="2"/>
      <c r="Y170" s="262"/>
      <c r="Z170" s="12"/>
    </row>
    <row r="171" s="10" customFormat="true" ht="14.1" hidden="false" customHeight="true" outlineLevel="0" collapsed="false">
      <c r="A171" s="2"/>
      <c r="B171" s="2"/>
      <c r="C171" s="3"/>
      <c r="D171" s="3"/>
      <c r="E171" s="4"/>
      <c r="F171" s="3"/>
      <c r="G171" s="5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8"/>
      <c r="U171" s="9"/>
      <c r="V171" s="2"/>
      <c r="Y171" s="262"/>
      <c r="Z171" s="12"/>
    </row>
    <row r="172" s="10" customFormat="true" ht="14.1" hidden="false" customHeight="true" outlineLevel="0" collapsed="false">
      <c r="A172" s="2"/>
      <c r="B172" s="2"/>
      <c r="C172" s="3"/>
      <c r="D172" s="3"/>
      <c r="E172" s="4"/>
      <c r="F172" s="3"/>
      <c r="G172" s="5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8"/>
      <c r="U172" s="9"/>
      <c r="V172" s="2"/>
      <c r="Y172" s="262"/>
      <c r="Z172" s="12"/>
    </row>
    <row r="173" s="10" customFormat="true" ht="14.1" hidden="false" customHeight="true" outlineLevel="0" collapsed="false">
      <c r="A173" s="2"/>
      <c r="B173" s="2"/>
      <c r="C173" s="3"/>
      <c r="D173" s="3"/>
      <c r="E173" s="4"/>
      <c r="F173" s="3"/>
      <c r="G173" s="5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8"/>
      <c r="U173" s="9"/>
      <c r="V173" s="2"/>
      <c r="Y173" s="262"/>
      <c r="Z173" s="12"/>
    </row>
    <row r="174" s="10" customFormat="true" ht="14.1" hidden="false" customHeight="true" outlineLevel="0" collapsed="false">
      <c r="A174" s="2"/>
      <c r="B174" s="2"/>
      <c r="C174" s="3"/>
      <c r="D174" s="3"/>
      <c r="E174" s="4"/>
      <c r="F174" s="3"/>
      <c r="G174" s="5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8"/>
      <c r="U174" s="9"/>
      <c r="V174" s="2"/>
      <c r="Y174" s="262"/>
      <c r="Z174" s="12"/>
    </row>
    <row r="175" s="10" customFormat="true" ht="14.1" hidden="false" customHeight="true" outlineLevel="0" collapsed="false">
      <c r="A175" s="2"/>
      <c r="B175" s="2"/>
      <c r="C175" s="3"/>
      <c r="D175" s="3"/>
      <c r="E175" s="4"/>
      <c r="F175" s="3"/>
      <c r="G175" s="5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8"/>
      <c r="U175" s="9"/>
      <c r="V175" s="2"/>
      <c r="Y175" s="262"/>
      <c r="Z175" s="12"/>
    </row>
    <row r="176" s="10" customFormat="true" ht="14.1" hidden="false" customHeight="true" outlineLevel="0" collapsed="false">
      <c r="A176" s="2"/>
      <c r="B176" s="2"/>
      <c r="C176" s="3"/>
      <c r="D176" s="3"/>
      <c r="E176" s="4"/>
      <c r="F176" s="3"/>
      <c r="G176" s="5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8"/>
      <c r="U176" s="9"/>
      <c r="V176" s="2"/>
      <c r="Y176" s="262"/>
      <c r="Z176" s="12"/>
    </row>
    <row r="177" s="10" customFormat="true" ht="14.1" hidden="false" customHeight="true" outlineLevel="0" collapsed="false">
      <c r="A177" s="2"/>
      <c r="B177" s="2"/>
      <c r="C177" s="3"/>
      <c r="D177" s="3"/>
      <c r="E177" s="4"/>
      <c r="F177" s="3"/>
      <c r="G177" s="5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8"/>
      <c r="U177" s="9"/>
      <c r="V177" s="2"/>
      <c r="Y177" s="262"/>
      <c r="Z177" s="12"/>
    </row>
    <row r="178" s="10" customFormat="true" ht="14.1" hidden="false" customHeight="true" outlineLevel="0" collapsed="false">
      <c r="A178" s="2"/>
      <c r="B178" s="2"/>
      <c r="C178" s="3"/>
      <c r="D178" s="3"/>
      <c r="E178" s="4"/>
      <c r="F178" s="3"/>
      <c r="G178" s="5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8"/>
      <c r="U178" s="9"/>
      <c r="V178" s="2"/>
      <c r="Y178" s="262"/>
      <c r="Z178" s="12"/>
    </row>
    <row r="179" s="10" customFormat="true" ht="14.1" hidden="false" customHeight="true" outlineLevel="0" collapsed="false">
      <c r="A179" s="2"/>
      <c r="B179" s="2"/>
      <c r="C179" s="3"/>
      <c r="D179" s="3"/>
      <c r="E179" s="4"/>
      <c r="F179" s="3"/>
      <c r="G179" s="5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8"/>
      <c r="U179" s="9"/>
      <c r="V179" s="2"/>
      <c r="Y179" s="262"/>
      <c r="Z179" s="12"/>
    </row>
    <row r="180" s="10" customFormat="true" ht="14.1" hidden="false" customHeight="true" outlineLevel="0" collapsed="false">
      <c r="A180" s="2"/>
      <c r="B180" s="2"/>
      <c r="C180" s="3"/>
      <c r="D180" s="3"/>
      <c r="E180" s="4"/>
      <c r="F180" s="3"/>
      <c r="G180" s="5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8"/>
      <c r="U180" s="9"/>
      <c r="V180" s="2"/>
      <c r="Y180" s="262"/>
      <c r="Z180" s="12"/>
    </row>
    <row r="181" s="10" customFormat="true" ht="14.1" hidden="false" customHeight="true" outlineLevel="0" collapsed="false">
      <c r="A181" s="2"/>
      <c r="B181" s="2"/>
      <c r="C181" s="3"/>
      <c r="D181" s="3"/>
      <c r="E181" s="4"/>
      <c r="F181" s="3"/>
      <c r="G181" s="5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8"/>
      <c r="U181" s="9"/>
      <c r="V181" s="2"/>
      <c r="Y181" s="262"/>
      <c r="Z181" s="12"/>
    </row>
    <row r="182" s="10" customFormat="true" ht="14.1" hidden="false" customHeight="true" outlineLevel="0" collapsed="false">
      <c r="A182" s="2"/>
      <c r="B182" s="2"/>
      <c r="C182" s="3"/>
      <c r="D182" s="3"/>
      <c r="E182" s="4"/>
      <c r="F182" s="3"/>
      <c r="G182" s="5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8"/>
      <c r="U182" s="9"/>
      <c r="V182" s="2"/>
      <c r="Y182" s="262"/>
      <c r="Z182" s="12"/>
    </row>
    <row r="183" s="10" customFormat="true" ht="14.1" hidden="false" customHeight="true" outlineLevel="0" collapsed="false">
      <c r="A183" s="2"/>
      <c r="B183" s="2"/>
      <c r="C183" s="3"/>
      <c r="D183" s="3"/>
      <c r="E183" s="4"/>
      <c r="F183" s="3"/>
      <c r="G183" s="5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8"/>
      <c r="U183" s="9"/>
      <c r="V183" s="2"/>
      <c r="Y183" s="262"/>
      <c r="Z183" s="12"/>
    </row>
    <row r="184" s="10" customFormat="true" ht="14.1" hidden="false" customHeight="true" outlineLevel="0" collapsed="false">
      <c r="A184" s="2"/>
      <c r="B184" s="2"/>
      <c r="C184" s="3"/>
      <c r="D184" s="3"/>
      <c r="E184" s="4"/>
      <c r="F184" s="3"/>
      <c r="G184" s="5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8"/>
      <c r="U184" s="9"/>
      <c r="V184" s="2"/>
      <c r="Y184" s="262"/>
      <c r="Z184" s="12"/>
    </row>
    <row r="185" s="10" customFormat="true" ht="14.1" hidden="false" customHeight="true" outlineLevel="0" collapsed="false">
      <c r="A185" s="2"/>
      <c r="B185" s="2"/>
      <c r="C185" s="3"/>
      <c r="D185" s="3"/>
      <c r="E185" s="4"/>
      <c r="F185" s="3"/>
      <c r="G185" s="5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8"/>
      <c r="U185" s="9"/>
      <c r="V185" s="2"/>
      <c r="Y185" s="262"/>
      <c r="Z185" s="12"/>
    </row>
    <row r="186" s="10" customFormat="true" ht="14.1" hidden="false" customHeight="true" outlineLevel="0" collapsed="false">
      <c r="A186" s="2"/>
      <c r="B186" s="2"/>
      <c r="C186" s="3"/>
      <c r="D186" s="3"/>
      <c r="E186" s="4"/>
      <c r="F186" s="3"/>
      <c r="G186" s="5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8"/>
      <c r="U186" s="9"/>
      <c r="V186" s="2"/>
      <c r="Y186" s="262"/>
      <c r="Z186" s="12"/>
    </row>
    <row r="187" s="10" customFormat="true" ht="14.1" hidden="false" customHeight="true" outlineLevel="0" collapsed="false">
      <c r="A187" s="2"/>
      <c r="B187" s="2"/>
      <c r="C187" s="3"/>
      <c r="D187" s="3"/>
      <c r="E187" s="4"/>
      <c r="F187" s="3"/>
      <c r="G187" s="5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8"/>
      <c r="U187" s="9"/>
      <c r="V187" s="2"/>
      <c r="Y187" s="262"/>
      <c r="Z187" s="12"/>
    </row>
    <row r="188" s="10" customFormat="true" ht="14.1" hidden="false" customHeight="true" outlineLevel="0" collapsed="false">
      <c r="A188" s="2"/>
      <c r="B188" s="2"/>
      <c r="C188" s="3"/>
      <c r="D188" s="3"/>
      <c r="E188" s="4"/>
      <c r="F188" s="3"/>
      <c r="G188" s="5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8"/>
      <c r="U188" s="9"/>
      <c r="V188" s="2"/>
      <c r="Y188" s="262"/>
      <c r="Z188" s="12"/>
    </row>
    <row r="189" s="10" customFormat="true" ht="14.1" hidden="false" customHeight="true" outlineLevel="0" collapsed="false">
      <c r="A189" s="2"/>
      <c r="B189" s="2"/>
      <c r="C189" s="3"/>
      <c r="D189" s="3"/>
      <c r="E189" s="4"/>
      <c r="F189" s="3"/>
      <c r="G189" s="5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8"/>
      <c r="U189" s="9"/>
      <c r="V189" s="2"/>
      <c r="Y189" s="262"/>
      <c r="Z189" s="12"/>
    </row>
    <row r="190" s="10" customFormat="true" ht="14.1" hidden="false" customHeight="true" outlineLevel="0" collapsed="false">
      <c r="A190" s="2"/>
      <c r="B190" s="2"/>
      <c r="C190" s="3"/>
      <c r="D190" s="3"/>
      <c r="E190" s="4"/>
      <c r="F190" s="3"/>
      <c r="G190" s="5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8"/>
      <c r="U190" s="9"/>
      <c r="V190" s="2"/>
      <c r="Y190" s="262"/>
      <c r="Z190" s="12"/>
    </row>
    <row r="191" s="10" customFormat="true" ht="14.1" hidden="false" customHeight="true" outlineLevel="0" collapsed="false">
      <c r="A191" s="2"/>
      <c r="B191" s="2"/>
      <c r="C191" s="3"/>
      <c r="D191" s="3"/>
      <c r="E191" s="4"/>
      <c r="F191" s="3"/>
      <c r="G191" s="5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8"/>
      <c r="U191" s="9"/>
      <c r="V191" s="2"/>
      <c r="Y191" s="262"/>
      <c r="Z191" s="12"/>
    </row>
    <row r="192" s="10" customFormat="true" ht="14.1" hidden="false" customHeight="true" outlineLevel="0" collapsed="false">
      <c r="A192" s="2"/>
      <c r="B192" s="2"/>
      <c r="C192" s="3"/>
      <c r="D192" s="3"/>
      <c r="E192" s="4"/>
      <c r="F192" s="3"/>
      <c r="G192" s="5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8"/>
      <c r="U192" s="9"/>
      <c r="V192" s="2"/>
      <c r="Y192" s="262"/>
      <c r="Z192" s="12"/>
    </row>
    <row r="193" s="10" customFormat="true" ht="14.1" hidden="false" customHeight="true" outlineLevel="0" collapsed="false">
      <c r="A193" s="2"/>
      <c r="B193" s="2"/>
      <c r="C193" s="3"/>
      <c r="D193" s="3"/>
      <c r="E193" s="4"/>
      <c r="F193" s="3"/>
      <c r="G193" s="5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8"/>
      <c r="U193" s="9"/>
      <c r="V193" s="2"/>
      <c r="Y193" s="262"/>
      <c r="Z193" s="12"/>
    </row>
    <row r="194" s="10" customFormat="true" ht="14.1" hidden="false" customHeight="true" outlineLevel="0" collapsed="false">
      <c r="A194" s="2"/>
      <c r="B194" s="2"/>
      <c r="C194" s="3"/>
      <c r="D194" s="3"/>
      <c r="E194" s="4"/>
      <c r="F194" s="3"/>
      <c r="G194" s="5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8"/>
      <c r="U194" s="9"/>
      <c r="V194" s="2"/>
      <c r="Y194" s="262"/>
      <c r="Z194" s="12"/>
    </row>
    <row r="195" s="10" customFormat="true" ht="14.1" hidden="false" customHeight="true" outlineLevel="0" collapsed="false">
      <c r="A195" s="2"/>
      <c r="B195" s="2"/>
      <c r="C195" s="3"/>
      <c r="D195" s="3"/>
      <c r="E195" s="4"/>
      <c r="F195" s="3"/>
      <c r="G195" s="5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8"/>
      <c r="U195" s="9"/>
      <c r="V195" s="2"/>
      <c r="Y195" s="262"/>
      <c r="Z195" s="12"/>
    </row>
    <row r="196" s="10" customFormat="true" ht="14.1" hidden="false" customHeight="true" outlineLevel="0" collapsed="false">
      <c r="A196" s="2"/>
      <c r="B196" s="2"/>
      <c r="C196" s="3"/>
      <c r="D196" s="3"/>
      <c r="E196" s="4"/>
      <c r="F196" s="3"/>
      <c r="G196" s="5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8"/>
      <c r="U196" s="9"/>
      <c r="V196" s="2"/>
      <c r="Y196" s="262"/>
      <c r="Z196" s="12"/>
    </row>
    <row r="197" s="10" customFormat="true" ht="14.1" hidden="false" customHeight="true" outlineLevel="0" collapsed="false">
      <c r="A197" s="2"/>
      <c r="B197" s="2"/>
      <c r="C197" s="3"/>
      <c r="D197" s="3"/>
      <c r="E197" s="4"/>
      <c r="F197" s="3"/>
      <c r="G197" s="5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8"/>
      <c r="U197" s="9"/>
      <c r="V197" s="2"/>
      <c r="Y197" s="262"/>
      <c r="Z197" s="12"/>
    </row>
    <row r="198" s="10" customFormat="true" ht="14.1" hidden="false" customHeight="true" outlineLevel="0" collapsed="false">
      <c r="A198" s="2"/>
      <c r="B198" s="2"/>
      <c r="C198" s="3"/>
      <c r="D198" s="3"/>
      <c r="E198" s="4"/>
      <c r="F198" s="3"/>
      <c r="G198" s="5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8"/>
      <c r="U198" s="9"/>
      <c r="V198" s="2"/>
      <c r="Y198" s="262"/>
      <c r="Z198" s="12"/>
    </row>
    <row r="199" s="10" customFormat="true" ht="14.1" hidden="false" customHeight="true" outlineLevel="0" collapsed="false">
      <c r="A199" s="2"/>
      <c r="B199" s="2"/>
      <c r="C199" s="3"/>
      <c r="D199" s="3"/>
      <c r="E199" s="4"/>
      <c r="F199" s="3"/>
      <c r="G199" s="5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8"/>
      <c r="U199" s="9"/>
      <c r="V199" s="2"/>
      <c r="Y199" s="262"/>
      <c r="Z199" s="12"/>
    </row>
    <row r="200" s="10" customFormat="true" ht="14.1" hidden="false" customHeight="true" outlineLevel="0" collapsed="false">
      <c r="A200" s="2"/>
      <c r="B200" s="2"/>
      <c r="C200" s="3"/>
      <c r="D200" s="3"/>
      <c r="E200" s="4"/>
      <c r="F200" s="3"/>
      <c r="G200" s="5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8"/>
      <c r="U200" s="9"/>
      <c r="V200" s="2"/>
      <c r="Y200" s="262"/>
      <c r="Z200" s="12"/>
    </row>
    <row r="201" s="10" customFormat="true" ht="14.1" hidden="false" customHeight="true" outlineLevel="0" collapsed="false">
      <c r="A201" s="2"/>
      <c r="B201" s="2"/>
      <c r="C201" s="3"/>
      <c r="D201" s="3"/>
      <c r="E201" s="4"/>
      <c r="F201" s="3"/>
      <c r="G201" s="5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8"/>
      <c r="U201" s="9"/>
      <c r="V201" s="2"/>
      <c r="Y201" s="262"/>
      <c r="Z201" s="12"/>
    </row>
    <row r="202" s="10" customFormat="true" ht="14.1" hidden="false" customHeight="true" outlineLevel="0" collapsed="false">
      <c r="A202" s="2"/>
      <c r="B202" s="2"/>
      <c r="C202" s="3"/>
      <c r="D202" s="3"/>
      <c r="E202" s="4"/>
      <c r="F202" s="3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8"/>
      <c r="U202" s="9"/>
      <c r="V202" s="2"/>
      <c r="Y202" s="262"/>
      <c r="Z202" s="12"/>
    </row>
    <row r="203" s="10" customFormat="true" ht="14.1" hidden="false" customHeight="true" outlineLevel="0" collapsed="false">
      <c r="A203" s="2"/>
      <c r="B203" s="2"/>
      <c r="C203" s="3"/>
      <c r="D203" s="3"/>
      <c r="E203" s="4"/>
      <c r="F203" s="3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8"/>
      <c r="U203" s="9"/>
      <c r="V203" s="2"/>
      <c r="Y203" s="262"/>
      <c r="Z203" s="12"/>
    </row>
    <row r="204" s="10" customFormat="true" ht="14.1" hidden="false" customHeight="true" outlineLevel="0" collapsed="false">
      <c r="A204" s="2"/>
      <c r="B204" s="2"/>
      <c r="C204" s="3"/>
      <c r="D204" s="3"/>
      <c r="E204" s="4"/>
      <c r="F204" s="3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8"/>
      <c r="U204" s="9"/>
      <c r="V204" s="2"/>
      <c r="Y204" s="262"/>
      <c r="Z204" s="12"/>
    </row>
    <row r="205" s="10" customFormat="true" ht="14.1" hidden="false" customHeight="true" outlineLevel="0" collapsed="false">
      <c r="A205" s="2"/>
      <c r="B205" s="2"/>
      <c r="C205" s="3"/>
      <c r="D205" s="3"/>
      <c r="E205" s="4"/>
      <c r="F205" s="3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8"/>
      <c r="U205" s="9"/>
      <c r="V205" s="2"/>
      <c r="Y205" s="262"/>
      <c r="Z205" s="12"/>
    </row>
    <row r="206" s="10" customFormat="true" ht="14.1" hidden="false" customHeight="true" outlineLevel="0" collapsed="false">
      <c r="A206" s="2"/>
      <c r="B206" s="2"/>
      <c r="C206" s="3"/>
      <c r="D206" s="3"/>
      <c r="E206" s="4"/>
      <c r="F206" s="3"/>
      <c r="G206" s="5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8"/>
      <c r="U206" s="9"/>
      <c r="V206" s="2"/>
      <c r="Y206" s="262"/>
      <c r="Z206" s="12"/>
    </row>
    <row r="207" s="10" customFormat="true" ht="14.1" hidden="false" customHeight="true" outlineLevel="0" collapsed="false">
      <c r="A207" s="2"/>
      <c r="B207" s="2"/>
      <c r="C207" s="3"/>
      <c r="D207" s="3"/>
      <c r="E207" s="4"/>
      <c r="F207" s="3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8"/>
      <c r="U207" s="9"/>
      <c r="V207" s="2"/>
      <c r="Y207" s="262"/>
      <c r="Z207" s="12"/>
    </row>
    <row r="208" s="10" customFormat="true" ht="14.1" hidden="false" customHeight="true" outlineLevel="0" collapsed="false">
      <c r="A208" s="2"/>
      <c r="B208" s="2"/>
      <c r="C208" s="3"/>
      <c r="D208" s="3"/>
      <c r="E208" s="4"/>
      <c r="F208" s="3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8"/>
      <c r="U208" s="9"/>
      <c r="V208" s="2"/>
      <c r="Y208" s="262"/>
      <c r="Z208" s="12"/>
    </row>
    <row r="209" s="10" customFormat="true" ht="14.1" hidden="false" customHeight="true" outlineLevel="0" collapsed="false">
      <c r="A209" s="2"/>
      <c r="B209" s="2"/>
      <c r="C209" s="3"/>
      <c r="D209" s="3"/>
      <c r="E209" s="4"/>
      <c r="F209" s="3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8"/>
      <c r="U209" s="9"/>
      <c r="V209" s="2"/>
      <c r="Y209" s="262"/>
      <c r="Z209" s="12"/>
    </row>
    <row r="210" s="10" customFormat="true" ht="14.1" hidden="false" customHeight="true" outlineLevel="0" collapsed="false">
      <c r="A210" s="2"/>
      <c r="B210" s="2"/>
      <c r="C210" s="3"/>
      <c r="D210" s="3"/>
      <c r="E210" s="4"/>
      <c r="F210" s="3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8"/>
      <c r="U210" s="9"/>
      <c r="V210" s="2"/>
      <c r="Y210" s="262"/>
      <c r="Z210" s="12"/>
    </row>
    <row r="211" s="10" customFormat="true" ht="14.1" hidden="false" customHeight="true" outlineLevel="0" collapsed="false">
      <c r="A211" s="2"/>
      <c r="B211" s="2"/>
      <c r="C211" s="3"/>
      <c r="D211" s="3"/>
      <c r="E211" s="4"/>
      <c r="F211" s="3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8"/>
      <c r="U211" s="9"/>
      <c r="V211" s="2"/>
      <c r="Y211" s="262"/>
      <c r="Z211" s="12"/>
    </row>
    <row r="212" s="10" customFormat="true" ht="14.1" hidden="false" customHeight="true" outlineLevel="0" collapsed="false">
      <c r="A212" s="2"/>
      <c r="B212" s="2"/>
      <c r="C212" s="3"/>
      <c r="D212" s="3"/>
      <c r="E212" s="4"/>
      <c r="F212" s="3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8"/>
      <c r="U212" s="9"/>
      <c r="V212" s="2"/>
      <c r="Y212" s="262"/>
      <c r="Z212" s="12"/>
    </row>
    <row r="213" s="10" customFormat="true" ht="14.1" hidden="false" customHeight="true" outlineLevel="0" collapsed="false">
      <c r="A213" s="2"/>
      <c r="B213" s="2"/>
      <c r="C213" s="3"/>
      <c r="D213" s="3"/>
      <c r="E213" s="4"/>
      <c r="F213" s="3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8"/>
      <c r="U213" s="9"/>
      <c r="V213" s="2"/>
      <c r="Y213" s="262"/>
      <c r="Z213" s="12"/>
    </row>
    <row r="214" s="10" customFormat="true" ht="14.1" hidden="false" customHeight="true" outlineLevel="0" collapsed="false">
      <c r="A214" s="2"/>
      <c r="B214" s="2"/>
      <c r="C214" s="3"/>
      <c r="D214" s="3"/>
      <c r="E214" s="4"/>
      <c r="F214" s="3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8"/>
      <c r="U214" s="9"/>
      <c r="V214" s="2"/>
      <c r="Y214" s="262"/>
      <c r="Z214" s="12"/>
    </row>
    <row r="215" s="10" customFormat="true" ht="14.1" hidden="false" customHeight="true" outlineLevel="0" collapsed="false">
      <c r="A215" s="2"/>
      <c r="B215" s="2"/>
      <c r="C215" s="3"/>
      <c r="D215" s="3"/>
      <c r="E215" s="4"/>
      <c r="F215" s="3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8"/>
      <c r="U215" s="9"/>
      <c r="V215" s="2"/>
      <c r="Y215" s="262"/>
      <c r="Z215" s="12"/>
    </row>
    <row r="216" s="10" customFormat="true" ht="14.1" hidden="false" customHeight="true" outlineLevel="0" collapsed="false">
      <c r="A216" s="2"/>
      <c r="B216" s="2"/>
      <c r="C216" s="3"/>
      <c r="D216" s="3"/>
      <c r="E216" s="4"/>
      <c r="F216" s="3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8"/>
      <c r="U216" s="9"/>
      <c r="V216" s="2"/>
      <c r="Y216" s="262"/>
      <c r="Z216" s="12"/>
    </row>
    <row r="217" s="10" customFormat="true" ht="14.1" hidden="false" customHeight="true" outlineLevel="0" collapsed="false">
      <c r="A217" s="2"/>
      <c r="B217" s="2"/>
      <c r="C217" s="3"/>
      <c r="D217" s="3"/>
      <c r="E217" s="4"/>
      <c r="F217" s="3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8"/>
      <c r="U217" s="9"/>
      <c r="V217" s="2"/>
      <c r="Y217" s="262"/>
      <c r="Z217" s="12"/>
    </row>
    <row r="218" s="10" customFormat="true" ht="14.1" hidden="false" customHeight="true" outlineLevel="0" collapsed="false">
      <c r="A218" s="2"/>
      <c r="B218" s="2"/>
      <c r="C218" s="3"/>
      <c r="D218" s="3"/>
      <c r="E218" s="4"/>
      <c r="F218" s="3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8"/>
      <c r="U218" s="9"/>
      <c r="V218" s="2"/>
      <c r="Y218" s="262"/>
      <c r="Z218" s="12"/>
    </row>
    <row r="219" s="10" customFormat="true" ht="14.1" hidden="false" customHeight="true" outlineLevel="0" collapsed="false">
      <c r="A219" s="2"/>
      <c r="B219" s="2"/>
      <c r="C219" s="3"/>
      <c r="D219" s="3"/>
      <c r="E219" s="4"/>
      <c r="F219" s="3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8"/>
      <c r="U219" s="9"/>
      <c r="V219" s="2"/>
      <c r="Y219" s="262"/>
      <c r="Z219" s="12"/>
    </row>
    <row r="220" s="10" customFormat="true" ht="14.1" hidden="false" customHeight="true" outlineLevel="0" collapsed="false">
      <c r="A220" s="2"/>
      <c r="B220" s="2"/>
      <c r="C220" s="3"/>
      <c r="D220" s="3"/>
      <c r="E220" s="4"/>
      <c r="F220" s="3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8"/>
      <c r="U220" s="9"/>
      <c r="V220" s="2"/>
      <c r="Y220" s="262"/>
      <c r="Z220" s="12"/>
    </row>
    <row r="221" s="10" customFormat="true" ht="14.1" hidden="false" customHeight="true" outlineLevel="0" collapsed="false">
      <c r="A221" s="2"/>
      <c r="B221" s="2"/>
      <c r="C221" s="3"/>
      <c r="D221" s="3"/>
      <c r="E221" s="4"/>
      <c r="F221" s="3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8"/>
      <c r="U221" s="9"/>
      <c r="V221" s="2"/>
      <c r="Y221" s="262"/>
      <c r="Z221" s="12"/>
    </row>
    <row r="222" s="10" customFormat="true" ht="14.1" hidden="false" customHeight="true" outlineLevel="0" collapsed="false">
      <c r="A222" s="2"/>
      <c r="B222" s="2"/>
      <c r="C222" s="3"/>
      <c r="D222" s="3"/>
      <c r="E222" s="4"/>
      <c r="F222" s="3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8"/>
      <c r="U222" s="9"/>
      <c r="V222" s="2"/>
      <c r="Y222" s="262"/>
      <c r="Z222" s="12"/>
    </row>
    <row r="223" s="10" customFormat="true" ht="14.1" hidden="false" customHeight="true" outlineLevel="0" collapsed="false">
      <c r="A223" s="2"/>
      <c r="B223" s="2"/>
      <c r="C223" s="3"/>
      <c r="D223" s="3"/>
      <c r="E223" s="4"/>
      <c r="F223" s="3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8"/>
      <c r="U223" s="9"/>
      <c r="V223" s="2"/>
      <c r="Y223" s="262"/>
      <c r="Z223" s="12"/>
    </row>
    <row r="224" s="10" customFormat="true" ht="14.1" hidden="false" customHeight="true" outlineLevel="0" collapsed="false">
      <c r="A224" s="2"/>
      <c r="B224" s="2"/>
      <c r="C224" s="3"/>
      <c r="D224" s="3"/>
      <c r="E224" s="4"/>
      <c r="F224" s="3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8"/>
      <c r="U224" s="9"/>
      <c r="V224" s="2"/>
      <c r="Y224" s="262"/>
      <c r="Z224" s="12"/>
    </row>
    <row r="225" s="10" customFormat="true" ht="14.1" hidden="false" customHeight="true" outlineLevel="0" collapsed="false">
      <c r="A225" s="2"/>
      <c r="B225" s="2"/>
      <c r="C225" s="3"/>
      <c r="D225" s="3"/>
      <c r="E225" s="4"/>
      <c r="F225" s="3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8"/>
      <c r="U225" s="9"/>
      <c r="V225" s="2"/>
      <c r="Y225" s="262"/>
      <c r="Z225" s="12"/>
    </row>
    <row r="226" s="10" customFormat="true" ht="14.1" hidden="false" customHeight="true" outlineLevel="0" collapsed="false">
      <c r="A226" s="2"/>
      <c r="B226" s="2"/>
      <c r="C226" s="3"/>
      <c r="D226" s="3"/>
      <c r="E226" s="4"/>
      <c r="F226" s="3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8"/>
      <c r="U226" s="9"/>
      <c r="V226" s="2"/>
      <c r="Y226" s="262"/>
      <c r="Z226" s="12"/>
    </row>
    <row r="227" s="10" customFormat="true" ht="14.1" hidden="false" customHeight="true" outlineLevel="0" collapsed="false">
      <c r="A227" s="2"/>
      <c r="B227" s="2"/>
      <c r="C227" s="3"/>
      <c r="D227" s="3"/>
      <c r="E227" s="4"/>
      <c r="F227" s="3"/>
      <c r="G227" s="5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8"/>
      <c r="U227" s="9"/>
      <c r="V227" s="2"/>
      <c r="Y227" s="262"/>
      <c r="Z227" s="12"/>
    </row>
    <row r="228" s="10" customFormat="true" ht="14.1" hidden="false" customHeight="true" outlineLevel="0" collapsed="false">
      <c r="A228" s="2"/>
      <c r="B228" s="2"/>
      <c r="C228" s="3"/>
      <c r="D228" s="3"/>
      <c r="E228" s="4"/>
      <c r="F228" s="3"/>
      <c r="G228" s="5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8"/>
      <c r="U228" s="9"/>
      <c r="V228" s="2"/>
      <c r="Y228" s="262"/>
      <c r="Z228" s="12"/>
    </row>
    <row r="229" s="10" customFormat="true" ht="14.1" hidden="false" customHeight="true" outlineLevel="0" collapsed="false">
      <c r="A229" s="2"/>
      <c r="B229" s="2"/>
      <c r="C229" s="3"/>
      <c r="D229" s="3"/>
      <c r="E229" s="4"/>
      <c r="F229" s="3"/>
      <c r="G229" s="5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8"/>
      <c r="U229" s="9"/>
      <c r="V229" s="2"/>
      <c r="Y229" s="262"/>
      <c r="Z229" s="12"/>
    </row>
    <row r="230" s="10" customFormat="true" ht="14.1" hidden="false" customHeight="true" outlineLevel="0" collapsed="false">
      <c r="A230" s="2"/>
      <c r="B230" s="2"/>
      <c r="C230" s="3"/>
      <c r="D230" s="3"/>
      <c r="E230" s="4"/>
      <c r="F230" s="3"/>
      <c r="G230" s="5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8"/>
      <c r="U230" s="9"/>
      <c r="V230" s="2"/>
      <c r="Y230" s="262"/>
      <c r="Z230" s="12"/>
    </row>
    <row r="231" s="10" customFormat="true" ht="14.1" hidden="false" customHeight="true" outlineLevel="0" collapsed="false">
      <c r="A231" s="2"/>
      <c r="B231" s="2"/>
      <c r="C231" s="3"/>
      <c r="D231" s="3"/>
      <c r="E231" s="4"/>
      <c r="F231" s="3"/>
      <c r="G231" s="5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8"/>
      <c r="U231" s="9"/>
      <c r="V231" s="2"/>
      <c r="Y231" s="262"/>
      <c r="Z231" s="12"/>
    </row>
    <row r="232" s="10" customFormat="true" ht="14.1" hidden="false" customHeight="true" outlineLevel="0" collapsed="false">
      <c r="A232" s="2"/>
      <c r="B232" s="2"/>
      <c r="C232" s="3"/>
      <c r="D232" s="3"/>
      <c r="E232" s="4"/>
      <c r="F232" s="3"/>
      <c r="G232" s="5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8"/>
      <c r="U232" s="9"/>
      <c r="V232" s="2"/>
      <c r="Y232" s="262"/>
      <c r="Z232" s="12"/>
    </row>
    <row r="233" s="10" customFormat="true" ht="14.1" hidden="false" customHeight="true" outlineLevel="0" collapsed="false">
      <c r="A233" s="2"/>
      <c r="B233" s="2"/>
      <c r="C233" s="3"/>
      <c r="D233" s="3"/>
      <c r="E233" s="4"/>
      <c r="F233" s="3"/>
      <c r="G233" s="5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8"/>
      <c r="U233" s="9"/>
      <c r="V233" s="2"/>
      <c r="Y233" s="262"/>
      <c r="Z233" s="12"/>
    </row>
    <row r="234" s="10" customFormat="true" ht="14.1" hidden="false" customHeight="true" outlineLevel="0" collapsed="false">
      <c r="A234" s="2"/>
      <c r="B234" s="2"/>
      <c r="C234" s="3"/>
      <c r="D234" s="3"/>
      <c r="E234" s="4"/>
      <c r="F234" s="3"/>
      <c r="G234" s="5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8"/>
      <c r="U234" s="9"/>
      <c r="V234" s="2"/>
      <c r="Y234" s="262"/>
      <c r="Z234" s="12"/>
    </row>
    <row r="235" s="10" customFormat="true" ht="14.1" hidden="false" customHeight="true" outlineLevel="0" collapsed="false">
      <c r="A235" s="2"/>
      <c r="B235" s="2"/>
      <c r="C235" s="3"/>
      <c r="D235" s="3"/>
      <c r="E235" s="4"/>
      <c r="F235" s="3"/>
      <c r="G235" s="5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8"/>
      <c r="U235" s="9"/>
      <c r="V235" s="2"/>
      <c r="Y235" s="262"/>
      <c r="Z235" s="12"/>
    </row>
    <row r="236" s="10" customFormat="true" ht="14.1" hidden="false" customHeight="true" outlineLevel="0" collapsed="false">
      <c r="A236" s="2"/>
      <c r="B236" s="2"/>
      <c r="C236" s="3"/>
      <c r="D236" s="3"/>
      <c r="E236" s="4"/>
      <c r="F236" s="3"/>
      <c r="G236" s="5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8"/>
      <c r="U236" s="9"/>
      <c r="V236" s="2"/>
      <c r="Y236" s="262"/>
      <c r="Z236" s="12"/>
    </row>
    <row r="237" s="10" customFormat="true" ht="14.1" hidden="false" customHeight="true" outlineLevel="0" collapsed="false">
      <c r="A237" s="2"/>
      <c r="B237" s="2"/>
      <c r="C237" s="3"/>
      <c r="D237" s="3"/>
      <c r="E237" s="4"/>
      <c r="F237" s="3"/>
      <c r="G237" s="5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8"/>
      <c r="U237" s="9"/>
      <c r="V237" s="2"/>
      <c r="Y237" s="262"/>
      <c r="Z237" s="12"/>
    </row>
    <row r="238" s="10" customFormat="true" ht="14.1" hidden="false" customHeight="true" outlineLevel="0" collapsed="false">
      <c r="A238" s="2"/>
      <c r="B238" s="2"/>
      <c r="C238" s="3"/>
      <c r="D238" s="3"/>
      <c r="E238" s="4"/>
      <c r="F238" s="3"/>
      <c r="G238" s="5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8"/>
      <c r="U238" s="9"/>
      <c r="V238" s="2"/>
      <c r="Y238" s="262"/>
      <c r="Z238" s="12"/>
    </row>
    <row r="239" s="10" customFormat="true" ht="14.1" hidden="false" customHeight="true" outlineLevel="0" collapsed="false">
      <c r="A239" s="2"/>
      <c r="B239" s="2"/>
      <c r="C239" s="3"/>
      <c r="D239" s="3"/>
      <c r="E239" s="4"/>
      <c r="F239" s="3"/>
      <c r="G239" s="5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8"/>
      <c r="U239" s="9"/>
      <c r="V239" s="2"/>
      <c r="Y239" s="262"/>
      <c r="Z239" s="12"/>
    </row>
    <row r="240" s="10" customFormat="true" ht="14.1" hidden="false" customHeight="true" outlineLevel="0" collapsed="false">
      <c r="A240" s="2"/>
      <c r="B240" s="2"/>
      <c r="C240" s="3"/>
      <c r="D240" s="3"/>
      <c r="E240" s="4"/>
      <c r="F240" s="3"/>
      <c r="G240" s="5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8"/>
      <c r="U240" s="9"/>
      <c r="V240" s="2"/>
      <c r="Y240" s="262"/>
      <c r="Z240" s="12"/>
    </row>
    <row r="241" s="10" customFormat="true" ht="14.1" hidden="false" customHeight="true" outlineLevel="0" collapsed="false">
      <c r="A241" s="2"/>
      <c r="B241" s="2"/>
      <c r="C241" s="3"/>
      <c r="D241" s="3"/>
      <c r="E241" s="4"/>
      <c r="F241" s="3"/>
      <c r="G241" s="5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8"/>
      <c r="U241" s="9"/>
      <c r="V241" s="2"/>
      <c r="Y241" s="262"/>
      <c r="Z241" s="12"/>
    </row>
    <row r="242" s="10" customFormat="true" ht="14.1" hidden="false" customHeight="true" outlineLevel="0" collapsed="false">
      <c r="A242" s="2"/>
      <c r="B242" s="2"/>
      <c r="C242" s="3"/>
      <c r="D242" s="3"/>
      <c r="E242" s="4"/>
      <c r="F242" s="3"/>
      <c r="G242" s="5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8"/>
      <c r="U242" s="9"/>
      <c r="V242" s="2"/>
      <c r="Y242" s="262"/>
      <c r="Z242" s="12"/>
    </row>
    <row r="243" s="10" customFormat="true" ht="14.1" hidden="false" customHeight="true" outlineLevel="0" collapsed="false">
      <c r="A243" s="2"/>
      <c r="B243" s="2"/>
      <c r="C243" s="3"/>
      <c r="D243" s="3"/>
      <c r="E243" s="4"/>
      <c r="F243" s="3"/>
      <c r="G243" s="5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8"/>
      <c r="U243" s="9"/>
      <c r="V243" s="2"/>
      <c r="Y243" s="262"/>
      <c r="Z243" s="12"/>
    </row>
    <row r="244" s="10" customFormat="true" ht="14.1" hidden="false" customHeight="true" outlineLevel="0" collapsed="false">
      <c r="A244" s="2"/>
      <c r="B244" s="2"/>
      <c r="C244" s="3"/>
      <c r="D244" s="3"/>
      <c r="E244" s="4"/>
      <c r="F244" s="3"/>
      <c r="G244" s="5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8"/>
      <c r="U244" s="9"/>
      <c r="V244" s="2"/>
      <c r="Y244" s="262"/>
      <c r="Z244" s="12"/>
    </row>
    <row r="245" s="10" customFormat="true" ht="14.1" hidden="false" customHeight="true" outlineLevel="0" collapsed="false">
      <c r="A245" s="2"/>
      <c r="B245" s="2"/>
      <c r="C245" s="3"/>
      <c r="D245" s="3"/>
      <c r="E245" s="4"/>
      <c r="F245" s="3"/>
      <c r="G245" s="5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8"/>
      <c r="U245" s="9"/>
      <c r="V245" s="2"/>
      <c r="Y245" s="262"/>
      <c r="Z245" s="12"/>
    </row>
    <row r="246" s="10" customFormat="true" ht="14.1" hidden="false" customHeight="true" outlineLevel="0" collapsed="false">
      <c r="A246" s="2"/>
      <c r="B246" s="2"/>
      <c r="C246" s="3"/>
      <c r="D246" s="3"/>
      <c r="E246" s="4"/>
      <c r="F246" s="3"/>
      <c r="G246" s="5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8"/>
      <c r="U246" s="9"/>
      <c r="V246" s="2"/>
      <c r="Y246" s="262"/>
      <c r="Z246" s="12"/>
    </row>
    <row r="247" s="10" customFormat="true" ht="14.1" hidden="false" customHeight="true" outlineLevel="0" collapsed="false">
      <c r="A247" s="2"/>
      <c r="B247" s="2"/>
      <c r="C247" s="3"/>
      <c r="D247" s="3"/>
      <c r="E247" s="4"/>
      <c r="F247" s="3"/>
      <c r="G247" s="5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8"/>
      <c r="U247" s="9"/>
      <c r="V247" s="2"/>
      <c r="Y247" s="262"/>
      <c r="Z247" s="12"/>
    </row>
    <row r="248" s="10" customFormat="true" ht="14.1" hidden="false" customHeight="true" outlineLevel="0" collapsed="false">
      <c r="A248" s="2"/>
      <c r="B248" s="2"/>
      <c r="C248" s="3"/>
      <c r="D248" s="3"/>
      <c r="E248" s="4"/>
      <c r="F248" s="3"/>
      <c r="G248" s="5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8"/>
      <c r="U248" s="9"/>
      <c r="V248" s="2"/>
      <c r="Y248" s="262"/>
      <c r="Z248" s="12"/>
    </row>
    <row r="249" s="10" customFormat="true" ht="14.1" hidden="false" customHeight="true" outlineLevel="0" collapsed="false">
      <c r="A249" s="2"/>
      <c r="B249" s="2"/>
      <c r="C249" s="3"/>
      <c r="D249" s="3"/>
      <c r="E249" s="4"/>
      <c r="F249" s="3"/>
      <c r="G249" s="5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8"/>
      <c r="U249" s="9"/>
      <c r="V249" s="2"/>
      <c r="Y249" s="262"/>
      <c r="Z249" s="12"/>
    </row>
    <row r="250" s="10" customFormat="true" ht="14.1" hidden="false" customHeight="true" outlineLevel="0" collapsed="false">
      <c r="A250" s="2"/>
      <c r="B250" s="2"/>
      <c r="C250" s="3"/>
      <c r="D250" s="3"/>
      <c r="E250" s="4"/>
      <c r="F250" s="3"/>
      <c r="G250" s="5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8"/>
      <c r="U250" s="9"/>
      <c r="V250" s="2"/>
      <c r="Y250" s="262"/>
      <c r="Z250" s="12"/>
    </row>
    <row r="251" s="10" customFormat="true" ht="14.1" hidden="false" customHeight="true" outlineLevel="0" collapsed="false">
      <c r="A251" s="2"/>
      <c r="B251" s="2"/>
      <c r="C251" s="3"/>
      <c r="D251" s="3"/>
      <c r="E251" s="4"/>
      <c r="F251" s="3"/>
      <c r="G251" s="5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8"/>
      <c r="U251" s="9"/>
      <c r="V251" s="2"/>
      <c r="Y251" s="262"/>
      <c r="Z251" s="12"/>
    </row>
    <row r="252" s="10" customFormat="true" ht="14.1" hidden="false" customHeight="true" outlineLevel="0" collapsed="false">
      <c r="A252" s="2"/>
      <c r="B252" s="2"/>
      <c r="C252" s="3"/>
      <c r="D252" s="3"/>
      <c r="E252" s="4"/>
      <c r="F252" s="3"/>
      <c r="G252" s="5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8"/>
      <c r="U252" s="9"/>
      <c r="V252" s="2"/>
      <c r="Y252" s="262"/>
      <c r="Z252" s="12"/>
    </row>
    <row r="253" s="10" customFormat="true" ht="14.1" hidden="false" customHeight="true" outlineLevel="0" collapsed="false">
      <c r="A253" s="2"/>
      <c r="B253" s="2"/>
      <c r="C253" s="3"/>
      <c r="D253" s="3"/>
      <c r="E253" s="4"/>
      <c r="F253" s="3"/>
      <c r="G253" s="5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8"/>
      <c r="U253" s="9"/>
      <c r="V253" s="2"/>
      <c r="Y253" s="262"/>
      <c r="Z253" s="12"/>
    </row>
    <row r="254" s="10" customFormat="true" ht="14.1" hidden="false" customHeight="true" outlineLevel="0" collapsed="false">
      <c r="A254" s="2"/>
      <c r="B254" s="2"/>
      <c r="C254" s="3"/>
      <c r="D254" s="3"/>
      <c r="E254" s="4"/>
      <c r="F254" s="3"/>
      <c r="G254" s="5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8"/>
      <c r="U254" s="9"/>
      <c r="V254" s="2"/>
      <c r="Y254" s="262"/>
      <c r="Z254" s="12"/>
    </row>
    <row r="255" s="10" customFormat="true" ht="14.1" hidden="false" customHeight="true" outlineLevel="0" collapsed="false">
      <c r="A255" s="2"/>
      <c r="B255" s="2"/>
      <c r="C255" s="3"/>
      <c r="D255" s="3"/>
      <c r="E255" s="4"/>
      <c r="F255" s="3"/>
      <c r="G255" s="5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8"/>
      <c r="U255" s="9"/>
      <c r="V255" s="2"/>
      <c r="Y255" s="262"/>
      <c r="Z255" s="12"/>
    </row>
    <row r="256" s="10" customFormat="true" ht="14.1" hidden="false" customHeight="true" outlineLevel="0" collapsed="false">
      <c r="A256" s="2"/>
      <c r="B256" s="2"/>
      <c r="C256" s="3"/>
      <c r="D256" s="3"/>
      <c r="E256" s="4"/>
      <c r="F256" s="3"/>
      <c r="G256" s="5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8"/>
      <c r="U256" s="9"/>
      <c r="V256" s="2"/>
      <c r="Y256" s="262"/>
      <c r="Z256" s="12"/>
    </row>
    <row r="257" s="10" customFormat="true" ht="14.1" hidden="false" customHeight="true" outlineLevel="0" collapsed="false">
      <c r="A257" s="2"/>
      <c r="B257" s="2"/>
      <c r="C257" s="3"/>
      <c r="D257" s="3"/>
      <c r="E257" s="4"/>
      <c r="F257" s="3"/>
      <c r="G257" s="5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8"/>
      <c r="U257" s="9"/>
      <c r="V257" s="2"/>
      <c r="Y257" s="262"/>
      <c r="Z257" s="12"/>
    </row>
    <row r="258" s="10" customFormat="true" ht="14.1" hidden="false" customHeight="true" outlineLevel="0" collapsed="false">
      <c r="A258" s="2"/>
      <c r="B258" s="2"/>
      <c r="C258" s="3"/>
      <c r="D258" s="3"/>
      <c r="E258" s="4"/>
      <c r="F258" s="3"/>
      <c r="G258" s="5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8"/>
      <c r="U258" s="9"/>
      <c r="V258" s="2"/>
      <c r="Y258" s="262"/>
      <c r="Z258" s="12"/>
    </row>
    <row r="259" s="10" customFormat="true" ht="14.1" hidden="false" customHeight="true" outlineLevel="0" collapsed="false">
      <c r="A259" s="2"/>
      <c r="B259" s="2"/>
      <c r="C259" s="3"/>
      <c r="D259" s="3"/>
      <c r="E259" s="4"/>
      <c r="F259" s="3"/>
      <c r="G259" s="5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8"/>
      <c r="U259" s="9"/>
      <c r="V259" s="2"/>
      <c r="Y259" s="262"/>
      <c r="Z259" s="12"/>
    </row>
    <row r="260" s="10" customFormat="true" ht="14.1" hidden="false" customHeight="true" outlineLevel="0" collapsed="false">
      <c r="A260" s="2"/>
      <c r="B260" s="2"/>
      <c r="C260" s="3"/>
      <c r="D260" s="3"/>
      <c r="E260" s="4"/>
      <c r="F260" s="3"/>
      <c r="G260" s="5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8"/>
      <c r="U260" s="9"/>
      <c r="V260" s="2"/>
      <c r="Y260" s="262"/>
      <c r="Z260" s="12"/>
    </row>
    <row r="261" s="10" customFormat="true" ht="14.1" hidden="false" customHeight="true" outlineLevel="0" collapsed="false">
      <c r="A261" s="2"/>
      <c r="B261" s="2"/>
      <c r="C261" s="3"/>
      <c r="D261" s="3"/>
      <c r="E261" s="4"/>
      <c r="F261" s="3"/>
      <c r="G261" s="5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8"/>
      <c r="U261" s="9"/>
      <c r="V261" s="2"/>
      <c r="Y261" s="262"/>
      <c r="Z261" s="12"/>
    </row>
    <row r="262" s="10" customFormat="true" ht="14.1" hidden="false" customHeight="true" outlineLevel="0" collapsed="false">
      <c r="A262" s="2"/>
      <c r="B262" s="2"/>
      <c r="C262" s="3"/>
      <c r="D262" s="3"/>
      <c r="E262" s="4"/>
      <c r="F262" s="3"/>
      <c r="G262" s="5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8"/>
      <c r="U262" s="9"/>
      <c r="V262" s="2"/>
      <c r="Y262" s="262"/>
      <c r="Z262" s="12"/>
    </row>
    <row r="263" s="10" customFormat="true" ht="14.1" hidden="false" customHeight="true" outlineLevel="0" collapsed="false">
      <c r="A263" s="2"/>
      <c r="B263" s="2"/>
      <c r="C263" s="3"/>
      <c r="D263" s="3"/>
      <c r="E263" s="4"/>
      <c r="F263" s="3"/>
      <c r="G263" s="5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8"/>
      <c r="U263" s="9"/>
      <c r="V263" s="2"/>
      <c r="Y263" s="262"/>
      <c r="Z263" s="12"/>
    </row>
    <row r="264" s="10" customFormat="true" ht="14.1" hidden="false" customHeight="true" outlineLevel="0" collapsed="false">
      <c r="A264" s="2"/>
      <c r="B264" s="2"/>
      <c r="C264" s="3"/>
      <c r="D264" s="3"/>
      <c r="E264" s="4"/>
      <c r="F264" s="3"/>
      <c r="G264" s="5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8"/>
      <c r="U264" s="9"/>
      <c r="V264" s="2"/>
      <c r="Y264" s="262"/>
      <c r="Z264" s="12"/>
    </row>
    <row r="265" s="10" customFormat="true" ht="14.1" hidden="false" customHeight="true" outlineLevel="0" collapsed="false">
      <c r="A265" s="2"/>
      <c r="B265" s="2"/>
      <c r="C265" s="3"/>
      <c r="D265" s="3"/>
      <c r="E265" s="4"/>
      <c r="F265" s="3"/>
      <c r="G265" s="5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8"/>
      <c r="U265" s="9"/>
      <c r="V265" s="2"/>
      <c r="Y265" s="262"/>
      <c r="Z265" s="12"/>
    </row>
    <row r="266" s="10" customFormat="true" ht="14.1" hidden="false" customHeight="true" outlineLevel="0" collapsed="false">
      <c r="A266" s="2"/>
      <c r="B266" s="2"/>
      <c r="C266" s="3"/>
      <c r="D266" s="3"/>
      <c r="E266" s="4"/>
      <c r="F266" s="3"/>
      <c r="G266" s="5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8"/>
      <c r="U266" s="9"/>
      <c r="V266" s="2"/>
      <c r="Y266" s="262"/>
      <c r="Z266" s="12"/>
    </row>
    <row r="267" s="10" customFormat="true" ht="14.1" hidden="false" customHeight="true" outlineLevel="0" collapsed="false">
      <c r="A267" s="2"/>
      <c r="B267" s="2"/>
      <c r="C267" s="3"/>
      <c r="D267" s="3"/>
      <c r="E267" s="4"/>
      <c r="F267" s="3"/>
      <c r="G267" s="5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8"/>
      <c r="U267" s="9"/>
      <c r="V267" s="2"/>
      <c r="Y267" s="262"/>
      <c r="Z267" s="12"/>
    </row>
    <row r="268" s="10" customFormat="true" ht="14.1" hidden="false" customHeight="true" outlineLevel="0" collapsed="false">
      <c r="A268" s="2"/>
      <c r="B268" s="2"/>
      <c r="C268" s="3"/>
      <c r="D268" s="3"/>
      <c r="E268" s="4"/>
      <c r="F268" s="3"/>
      <c r="G268" s="5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8"/>
      <c r="U268" s="9"/>
      <c r="V268" s="2"/>
      <c r="Y268" s="262"/>
      <c r="Z268" s="12"/>
    </row>
    <row r="269" s="10" customFormat="true" ht="14.1" hidden="false" customHeight="true" outlineLevel="0" collapsed="false">
      <c r="A269" s="2"/>
      <c r="B269" s="2"/>
      <c r="C269" s="3"/>
      <c r="D269" s="3"/>
      <c r="E269" s="4"/>
      <c r="F269" s="3"/>
      <c r="G269" s="5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8"/>
      <c r="U269" s="9"/>
      <c r="V269" s="2"/>
      <c r="Y269" s="262"/>
      <c r="Z269" s="12"/>
    </row>
    <row r="270" s="10" customFormat="true" ht="14.1" hidden="false" customHeight="true" outlineLevel="0" collapsed="false">
      <c r="A270" s="2"/>
      <c r="B270" s="2"/>
      <c r="C270" s="3"/>
      <c r="D270" s="3"/>
      <c r="E270" s="4"/>
      <c r="F270" s="3"/>
      <c r="G270" s="5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8"/>
      <c r="U270" s="9"/>
      <c r="V270" s="2"/>
      <c r="Y270" s="262"/>
      <c r="Z270" s="12"/>
    </row>
    <row r="271" s="10" customFormat="true" ht="14.1" hidden="false" customHeight="true" outlineLevel="0" collapsed="false">
      <c r="A271" s="2"/>
      <c r="B271" s="2"/>
      <c r="C271" s="3"/>
      <c r="D271" s="3"/>
      <c r="E271" s="4"/>
      <c r="F271" s="3"/>
      <c r="G271" s="5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8"/>
      <c r="U271" s="9"/>
      <c r="V271" s="2"/>
      <c r="Y271" s="262"/>
      <c r="Z271" s="12"/>
    </row>
    <row r="272" s="10" customFormat="true" ht="14.1" hidden="false" customHeight="true" outlineLevel="0" collapsed="false">
      <c r="A272" s="2"/>
      <c r="B272" s="2"/>
      <c r="C272" s="3"/>
      <c r="D272" s="3"/>
      <c r="E272" s="4"/>
      <c r="F272" s="3"/>
      <c r="G272" s="5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8"/>
      <c r="U272" s="9"/>
      <c r="V272" s="2"/>
      <c r="Y272" s="262"/>
      <c r="Z272" s="12"/>
    </row>
    <row r="273" s="10" customFormat="true" ht="14.1" hidden="false" customHeight="true" outlineLevel="0" collapsed="false">
      <c r="A273" s="2"/>
      <c r="B273" s="2"/>
      <c r="C273" s="3"/>
      <c r="D273" s="3"/>
      <c r="E273" s="4"/>
      <c r="F273" s="3"/>
      <c r="G273" s="5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8"/>
      <c r="U273" s="9"/>
      <c r="V273" s="2"/>
      <c r="Y273" s="262"/>
      <c r="Z273" s="12"/>
    </row>
    <row r="274" s="10" customFormat="true" ht="14.1" hidden="false" customHeight="true" outlineLevel="0" collapsed="false">
      <c r="A274" s="2"/>
      <c r="B274" s="2"/>
      <c r="C274" s="3"/>
      <c r="D274" s="3"/>
      <c r="E274" s="4"/>
      <c r="F274" s="3"/>
      <c r="G274" s="5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8"/>
      <c r="U274" s="9"/>
      <c r="V274" s="2"/>
      <c r="Y274" s="262"/>
      <c r="Z274" s="12"/>
    </row>
    <row r="275" s="10" customFormat="true" ht="14.1" hidden="false" customHeight="true" outlineLevel="0" collapsed="false">
      <c r="A275" s="2"/>
      <c r="B275" s="2"/>
      <c r="C275" s="3"/>
      <c r="D275" s="3"/>
      <c r="E275" s="4"/>
      <c r="F275" s="3"/>
      <c r="G275" s="5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8"/>
      <c r="U275" s="9"/>
      <c r="V275" s="2"/>
      <c r="Y275" s="262"/>
      <c r="Z275" s="12"/>
    </row>
    <row r="276" s="10" customFormat="true" ht="14.1" hidden="false" customHeight="true" outlineLevel="0" collapsed="false">
      <c r="A276" s="2"/>
      <c r="B276" s="2"/>
      <c r="C276" s="3"/>
      <c r="D276" s="3"/>
      <c r="E276" s="4"/>
      <c r="F276" s="3"/>
      <c r="G276" s="5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8"/>
      <c r="U276" s="9"/>
      <c r="V276" s="2"/>
      <c r="Y276" s="262"/>
      <c r="Z276" s="12"/>
    </row>
    <row r="277" s="10" customFormat="true" ht="14.1" hidden="false" customHeight="true" outlineLevel="0" collapsed="false">
      <c r="A277" s="2"/>
      <c r="B277" s="2"/>
      <c r="C277" s="3"/>
      <c r="D277" s="3"/>
      <c r="E277" s="4"/>
      <c r="F277" s="3"/>
      <c r="G277" s="5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8"/>
      <c r="U277" s="9"/>
      <c r="V277" s="2"/>
      <c r="Y277" s="262"/>
      <c r="Z277" s="12"/>
    </row>
    <row r="278" s="10" customFormat="true" ht="14.1" hidden="false" customHeight="true" outlineLevel="0" collapsed="false">
      <c r="A278" s="2"/>
      <c r="B278" s="2"/>
      <c r="C278" s="3"/>
      <c r="D278" s="3"/>
      <c r="E278" s="4"/>
      <c r="F278" s="3"/>
      <c r="G278" s="5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8"/>
      <c r="U278" s="9"/>
      <c r="V278" s="2"/>
      <c r="Y278" s="262"/>
      <c r="Z278" s="12"/>
    </row>
    <row r="279" s="10" customFormat="true" ht="14.1" hidden="false" customHeight="true" outlineLevel="0" collapsed="false">
      <c r="A279" s="2"/>
      <c r="B279" s="2"/>
      <c r="C279" s="3"/>
      <c r="D279" s="3"/>
      <c r="E279" s="4"/>
      <c r="F279" s="3"/>
      <c r="G279" s="5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8"/>
      <c r="U279" s="9"/>
      <c r="V279" s="2"/>
      <c r="Y279" s="262"/>
      <c r="Z279" s="12"/>
    </row>
    <row r="280" s="10" customFormat="true" ht="14.1" hidden="false" customHeight="true" outlineLevel="0" collapsed="false">
      <c r="A280" s="2"/>
      <c r="B280" s="2"/>
      <c r="C280" s="3"/>
      <c r="D280" s="3"/>
      <c r="E280" s="4"/>
      <c r="F280" s="3"/>
      <c r="G280" s="5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8"/>
      <c r="U280" s="9"/>
      <c r="V280" s="2"/>
      <c r="Y280" s="262"/>
      <c r="Z280" s="12"/>
    </row>
    <row r="281" s="10" customFormat="true" ht="14.1" hidden="false" customHeight="true" outlineLevel="0" collapsed="false">
      <c r="A281" s="2"/>
      <c r="B281" s="2"/>
      <c r="C281" s="3"/>
      <c r="D281" s="3"/>
      <c r="E281" s="4"/>
      <c r="F281" s="3"/>
      <c r="G281" s="5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8"/>
      <c r="U281" s="9"/>
      <c r="V281" s="2"/>
      <c r="Y281" s="262"/>
      <c r="Z281" s="12"/>
    </row>
    <row r="282" s="10" customFormat="true" ht="14.1" hidden="false" customHeight="true" outlineLevel="0" collapsed="false">
      <c r="A282" s="2"/>
      <c r="B282" s="2"/>
      <c r="C282" s="3"/>
      <c r="D282" s="3"/>
      <c r="E282" s="4"/>
      <c r="F282" s="3"/>
      <c r="G282" s="5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8"/>
      <c r="U282" s="9"/>
      <c r="V282" s="2"/>
      <c r="Y282" s="262"/>
      <c r="Z282" s="12"/>
    </row>
    <row r="283" s="10" customFormat="true" ht="14.1" hidden="false" customHeight="true" outlineLevel="0" collapsed="false">
      <c r="A283" s="2"/>
      <c r="B283" s="2"/>
      <c r="C283" s="3"/>
      <c r="D283" s="3"/>
      <c r="E283" s="4"/>
      <c r="F283" s="3"/>
      <c r="G283" s="5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8"/>
      <c r="U283" s="9"/>
      <c r="V283" s="2"/>
      <c r="Y283" s="262"/>
      <c r="Z283" s="12"/>
    </row>
    <row r="284" s="10" customFormat="true" ht="14.1" hidden="false" customHeight="true" outlineLevel="0" collapsed="false">
      <c r="A284" s="2"/>
      <c r="B284" s="2"/>
      <c r="C284" s="3"/>
      <c r="D284" s="3"/>
      <c r="E284" s="4"/>
      <c r="F284" s="3"/>
      <c r="G284" s="5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8"/>
      <c r="U284" s="9"/>
      <c r="V284" s="2"/>
      <c r="Y284" s="262"/>
      <c r="Z284" s="12"/>
    </row>
    <row r="285" s="10" customFormat="true" ht="14.1" hidden="false" customHeight="true" outlineLevel="0" collapsed="false">
      <c r="A285" s="2"/>
      <c r="B285" s="2"/>
      <c r="C285" s="3"/>
      <c r="D285" s="3"/>
      <c r="E285" s="4"/>
      <c r="F285" s="3"/>
      <c r="G285" s="5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8"/>
      <c r="U285" s="9"/>
      <c r="V285" s="2"/>
      <c r="Y285" s="262"/>
      <c r="Z285" s="12"/>
    </row>
    <row r="286" s="10" customFormat="true" ht="14.1" hidden="false" customHeight="true" outlineLevel="0" collapsed="false">
      <c r="A286" s="2"/>
      <c r="B286" s="2"/>
      <c r="C286" s="3"/>
      <c r="D286" s="3"/>
      <c r="E286" s="4"/>
      <c r="F286" s="3"/>
      <c r="G286" s="5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8"/>
      <c r="U286" s="9"/>
      <c r="V286" s="2"/>
      <c r="Y286" s="262"/>
      <c r="Z286" s="12"/>
    </row>
    <row r="287" s="10" customFormat="true" ht="14.1" hidden="false" customHeight="true" outlineLevel="0" collapsed="false">
      <c r="A287" s="2"/>
      <c r="B287" s="2"/>
      <c r="C287" s="3"/>
      <c r="D287" s="3"/>
      <c r="E287" s="4"/>
      <c r="F287" s="3"/>
      <c r="G287" s="5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8"/>
      <c r="U287" s="9"/>
      <c r="V287" s="2"/>
      <c r="Y287" s="262"/>
      <c r="Z287" s="12"/>
    </row>
    <row r="288" s="10" customFormat="true" ht="14.1" hidden="false" customHeight="true" outlineLevel="0" collapsed="false">
      <c r="A288" s="2"/>
      <c r="B288" s="2"/>
      <c r="C288" s="3"/>
      <c r="D288" s="3"/>
      <c r="E288" s="4"/>
      <c r="F288" s="3"/>
      <c r="G288" s="5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8"/>
      <c r="U288" s="9"/>
      <c r="V288" s="2"/>
      <c r="Y288" s="262"/>
      <c r="Z288" s="12"/>
    </row>
    <row r="289" s="10" customFormat="true" ht="14.1" hidden="false" customHeight="true" outlineLevel="0" collapsed="false">
      <c r="A289" s="2"/>
      <c r="B289" s="2"/>
      <c r="C289" s="3"/>
      <c r="D289" s="3"/>
      <c r="E289" s="4"/>
      <c r="F289" s="3"/>
      <c r="G289" s="5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8"/>
      <c r="U289" s="9"/>
      <c r="V289" s="2"/>
      <c r="Y289" s="262"/>
      <c r="Z289" s="12"/>
    </row>
    <row r="290" s="10" customFormat="true" ht="14.1" hidden="false" customHeight="true" outlineLevel="0" collapsed="false">
      <c r="A290" s="2"/>
      <c r="B290" s="2"/>
      <c r="C290" s="3"/>
      <c r="D290" s="3"/>
      <c r="E290" s="4"/>
      <c r="F290" s="3"/>
      <c r="G290" s="5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8"/>
      <c r="U290" s="9"/>
      <c r="V290" s="2"/>
      <c r="Y290" s="262"/>
      <c r="Z290" s="12"/>
    </row>
    <row r="291" s="10" customFormat="true" ht="14.1" hidden="false" customHeight="true" outlineLevel="0" collapsed="false">
      <c r="A291" s="2"/>
      <c r="B291" s="2"/>
      <c r="C291" s="3"/>
      <c r="D291" s="3"/>
      <c r="E291" s="4"/>
      <c r="F291" s="3"/>
      <c r="G291" s="5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8"/>
      <c r="U291" s="9"/>
      <c r="V291" s="2"/>
      <c r="Y291" s="262"/>
      <c r="Z291" s="12"/>
    </row>
    <row r="292" s="10" customFormat="true" ht="14.1" hidden="false" customHeight="true" outlineLevel="0" collapsed="false">
      <c r="A292" s="2"/>
      <c r="B292" s="2"/>
      <c r="C292" s="3"/>
      <c r="D292" s="3"/>
      <c r="E292" s="4"/>
      <c r="F292" s="3"/>
      <c r="G292" s="5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8"/>
      <c r="U292" s="9"/>
      <c r="V292" s="2"/>
      <c r="Y292" s="262"/>
      <c r="Z292" s="12"/>
    </row>
    <row r="293" s="10" customFormat="true" ht="14.1" hidden="false" customHeight="true" outlineLevel="0" collapsed="false">
      <c r="A293" s="2"/>
      <c r="B293" s="2"/>
      <c r="C293" s="3"/>
      <c r="D293" s="3"/>
      <c r="E293" s="4"/>
      <c r="F293" s="3"/>
      <c r="G293" s="5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8"/>
      <c r="U293" s="9"/>
      <c r="V293" s="2"/>
      <c r="Y293" s="262"/>
      <c r="Z293" s="12"/>
    </row>
    <row r="294" s="10" customFormat="true" ht="14.1" hidden="false" customHeight="true" outlineLevel="0" collapsed="false">
      <c r="A294" s="2"/>
      <c r="B294" s="2"/>
      <c r="C294" s="3"/>
      <c r="D294" s="3"/>
      <c r="E294" s="4"/>
      <c r="F294" s="3"/>
      <c r="G294" s="5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8"/>
      <c r="U294" s="9"/>
      <c r="V294" s="2"/>
      <c r="Y294" s="262"/>
      <c r="Z294" s="12"/>
    </row>
    <row r="295" s="10" customFormat="true" ht="14.1" hidden="false" customHeight="true" outlineLevel="0" collapsed="false">
      <c r="A295" s="2"/>
      <c r="B295" s="2"/>
      <c r="C295" s="3"/>
      <c r="D295" s="3"/>
      <c r="E295" s="4"/>
      <c r="F295" s="3"/>
      <c r="G295" s="5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8"/>
      <c r="U295" s="9"/>
      <c r="V295" s="2"/>
      <c r="Y295" s="262"/>
      <c r="Z295" s="12"/>
    </row>
    <row r="296" s="10" customFormat="true" ht="14.1" hidden="false" customHeight="true" outlineLevel="0" collapsed="false">
      <c r="A296" s="2"/>
      <c r="B296" s="2"/>
      <c r="C296" s="3"/>
      <c r="D296" s="3"/>
      <c r="E296" s="4"/>
      <c r="F296" s="3"/>
      <c r="G296" s="5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8"/>
      <c r="U296" s="9"/>
      <c r="V296" s="2"/>
      <c r="Y296" s="262"/>
      <c r="Z296" s="12"/>
    </row>
    <row r="297" s="10" customFormat="true" ht="14.1" hidden="false" customHeight="true" outlineLevel="0" collapsed="false">
      <c r="A297" s="2"/>
      <c r="B297" s="2"/>
      <c r="C297" s="3"/>
      <c r="D297" s="3"/>
      <c r="E297" s="4"/>
      <c r="F297" s="3"/>
      <c r="G297" s="5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8"/>
      <c r="U297" s="9"/>
      <c r="V297" s="2"/>
      <c r="Y297" s="262"/>
      <c r="Z297" s="12"/>
    </row>
    <row r="298" s="10" customFormat="true" ht="14.1" hidden="false" customHeight="true" outlineLevel="0" collapsed="false">
      <c r="A298" s="2"/>
      <c r="B298" s="2"/>
      <c r="C298" s="3"/>
      <c r="D298" s="3"/>
      <c r="E298" s="4"/>
      <c r="F298" s="3"/>
      <c r="G298" s="5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8"/>
      <c r="U298" s="9"/>
      <c r="V298" s="2"/>
      <c r="Y298" s="262"/>
      <c r="Z298" s="12"/>
    </row>
    <row r="299" s="10" customFormat="true" ht="14.1" hidden="false" customHeight="true" outlineLevel="0" collapsed="false">
      <c r="A299" s="2"/>
      <c r="B299" s="2"/>
      <c r="C299" s="3"/>
      <c r="D299" s="3"/>
      <c r="E299" s="4"/>
      <c r="F299" s="3"/>
      <c r="G299" s="5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8"/>
      <c r="U299" s="9"/>
      <c r="V299" s="2"/>
      <c r="Y299" s="262"/>
      <c r="Z299" s="12"/>
    </row>
    <row r="300" s="10" customFormat="true" ht="14.1" hidden="false" customHeight="true" outlineLevel="0" collapsed="false">
      <c r="A300" s="2"/>
      <c r="B300" s="2"/>
      <c r="C300" s="263"/>
      <c r="D300" s="3"/>
      <c r="E300" s="4"/>
      <c r="F300" s="3"/>
      <c r="G300" s="5"/>
      <c r="H300" s="7"/>
      <c r="I300" s="7"/>
      <c r="J300" s="7"/>
      <c r="K300" s="267"/>
      <c r="L300" s="7"/>
      <c r="M300" s="7"/>
      <c r="N300" s="7"/>
      <c r="O300" s="7"/>
      <c r="P300" s="7"/>
      <c r="Q300" s="7"/>
      <c r="R300" s="7"/>
      <c r="S300" s="8"/>
      <c r="T300" s="8"/>
      <c r="V300" s="264"/>
      <c r="W300" s="265"/>
      <c r="X300" s="265"/>
      <c r="Y300" s="266"/>
      <c r="Z300" s="2"/>
    </row>
    <row r="301" s="260" customFormat="true" ht="26.25" hidden="false" customHeight="true" outlineLevel="0" collapsed="false">
      <c r="A301" s="268"/>
      <c r="B301" s="269"/>
      <c r="C301" s="269"/>
      <c r="D301" s="10"/>
      <c r="E301" s="10"/>
      <c r="F301" s="262"/>
      <c r="G301" s="10"/>
      <c r="H301" s="267"/>
      <c r="I301" s="267"/>
      <c r="J301" s="267"/>
      <c r="K301" s="7"/>
      <c r="L301" s="267"/>
      <c r="M301" s="267"/>
      <c r="N301" s="267"/>
      <c r="O301" s="267"/>
      <c r="P301" s="267"/>
      <c r="Q301" s="267"/>
      <c r="R301" s="267"/>
      <c r="S301" s="267"/>
      <c r="T301" s="267"/>
      <c r="U301" s="267"/>
      <c r="V301" s="139"/>
      <c r="W301" s="11"/>
      <c r="X301" s="11"/>
      <c r="Y301" s="3"/>
      <c r="Z301" s="2"/>
    </row>
    <row r="302" customFormat="false" ht="15" hidden="false" customHeight="true" outlineLevel="0" collapsed="false">
      <c r="V302" s="270"/>
      <c r="W302" s="2"/>
      <c r="X302" s="2"/>
    </row>
    <row r="303" customFormat="false" ht="9.75" hidden="false" customHeight="true" outlineLevel="0" collapsed="false"/>
    <row r="304" customFormat="false" ht="9.75" hidden="false" customHeight="true" outlineLevel="0" collapsed="false"/>
    <row r="305" customFormat="false" ht="9.75" hidden="false" customHeight="true" outlineLevel="0" collapsed="false"/>
    <row r="306" customFormat="false" ht="9.75" hidden="false" customHeight="true" outlineLevel="0" collapsed="false"/>
    <row r="307" customFormat="false" ht="9.75" hidden="false" customHeight="true" outlineLevel="0" collapsed="false"/>
    <row r="308" customFormat="false" ht="9.75" hidden="false" customHeight="true" outlineLevel="0" collapsed="false"/>
    <row r="309" customFormat="false" ht="9.75" hidden="false" customHeight="true" outlineLevel="0" collapsed="false"/>
    <row r="310" s="2" customFormat="true" ht="9.75" hidden="false" customHeight="true" outlineLevel="0" collapsed="false">
      <c r="F310" s="3"/>
    </row>
    <row r="311" s="2" customFormat="true" ht="10.5" hidden="false" customHeight="true" outlineLevel="0" collapsed="false">
      <c r="F311" s="136"/>
    </row>
    <row r="312" s="2" customFormat="true" ht="9.75" hidden="false" customHeight="true" outlineLevel="0" collapsed="false">
      <c r="F312" s="3"/>
    </row>
    <row r="313" customFormat="false" ht="15" hidden="false" customHeight="true" outlineLevel="0" collapsed="false"/>
    <row r="314" customFormat="false" ht="9.75" hidden="false" customHeight="true" outlineLevel="0" collapsed="false"/>
    <row r="315" customFormat="false" ht="9.75" hidden="false" customHeight="true" outlineLevel="0" collapsed="false"/>
    <row r="316" customFormat="false" ht="9.75" hidden="false" customHeight="true" outlineLevel="0" collapsed="false"/>
    <row r="317" customFormat="false" ht="9.75" hidden="false" customHeight="true" outlineLevel="0" collapsed="false"/>
    <row r="318" customFormat="false" ht="9.75" hidden="false" customHeight="true" outlineLevel="0" collapsed="false"/>
    <row r="319" customFormat="false" ht="9.75" hidden="false" customHeight="true" outlineLevel="0" collapsed="false"/>
    <row r="320" customFormat="false" ht="9.75" hidden="false" customHeight="true" outlineLevel="0" collapsed="false"/>
    <row r="321" customFormat="false" ht="9.75" hidden="false" customHeight="true" outlineLevel="0" collapsed="false"/>
    <row r="322" customFormat="false" ht="10.5" hidden="false" customHeight="true" outlineLevel="0" collapsed="false"/>
    <row r="323" customFormat="false" ht="9.75" hidden="false" customHeight="true" outlineLevel="0" collapsed="false"/>
    <row r="324" customFormat="false" ht="9.75" hidden="false" customHeight="true" outlineLevel="0" collapsed="false"/>
    <row r="325" s="2" customFormat="true" ht="9.75" hidden="false" customHeight="true" outlineLevel="0" collapsed="false">
      <c r="J325" s="4"/>
    </row>
    <row r="326" customFormat="false" ht="9.75" hidden="false" customHeight="true" outlineLevel="0" collapsed="false"/>
    <row r="327" customFormat="false" ht="9.75" hidden="false" customHeight="true" outlineLevel="0" collapsed="false"/>
    <row r="328" customFormat="false" ht="9.75" hidden="false" customHeight="true" outlineLevel="0" collapsed="false"/>
    <row r="329" customFormat="false" ht="9.75" hidden="false" customHeight="true" outlineLevel="0" collapsed="false"/>
    <row r="330" customFormat="false" ht="9.75" hidden="false" customHeight="true" outlineLevel="0" collapsed="false"/>
    <row r="331" customFormat="false" ht="9.75" hidden="false" customHeight="true" outlineLevel="0" collapsed="false"/>
    <row r="332" customFormat="false" ht="9.75" hidden="false" customHeight="true" outlineLevel="0" collapsed="false"/>
    <row r="333" customFormat="false" ht="9.75" hidden="false" customHeight="true" outlineLevel="0" collapsed="false"/>
    <row r="334" customFormat="false" ht="9.75" hidden="false" customHeight="true" outlineLevel="0" collapsed="false"/>
    <row r="335" customFormat="false" ht="9.75" hidden="false" customHeight="true" outlineLevel="0" collapsed="false"/>
    <row r="336" customFormat="false" ht="9.75" hidden="false" customHeight="true" outlineLevel="0" collapsed="false"/>
    <row r="337" customFormat="false" ht="9.75" hidden="false" customHeight="true" outlineLevel="0" collapsed="false"/>
    <row r="338" customFormat="false" ht="9.75" hidden="false" customHeight="true" outlineLevel="0" collapsed="false"/>
    <row r="339" customFormat="false" ht="9.75" hidden="false" customHeight="true" outlineLevel="0" collapsed="false"/>
    <row r="340" customFormat="false" ht="9.75" hidden="false" customHeight="true" outlineLevel="0" collapsed="false"/>
    <row r="341" customFormat="false" ht="9.75" hidden="false" customHeight="true" outlineLevel="0" collapsed="false"/>
    <row r="342" customFormat="false" ht="9.75" hidden="false" customHeight="true" outlineLevel="0" collapsed="false"/>
    <row r="343" customFormat="false" ht="9.75" hidden="false" customHeight="true" outlineLevel="0" collapsed="false"/>
    <row r="344" customFormat="false" ht="9.75" hidden="false" customHeight="true" outlineLevel="0" collapsed="false"/>
    <row r="345" customFormat="false" ht="9.75" hidden="false" customHeight="true" outlineLevel="0" collapsed="false"/>
    <row r="346" customFormat="false" ht="9.75" hidden="false" customHeight="true" outlineLevel="0" collapsed="false"/>
    <row r="347" customFormat="false" ht="9.75" hidden="false" customHeight="true" outlineLevel="0" collapsed="false"/>
    <row r="348" customFormat="false" ht="9.75" hidden="false" customHeight="true" outlineLevel="0" collapsed="false"/>
    <row r="349" customFormat="false" ht="9.75" hidden="false" customHeight="true" outlineLevel="0" collapsed="false"/>
    <row r="350" customFormat="false" ht="9.75" hidden="false" customHeight="true" outlineLevel="0" collapsed="false"/>
    <row r="351" customFormat="false" ht="9.75" hidden="false" customHeight="true" outlineLevel="0" collapsed="false"/>
    <row r="352" customFormat="false" ht="9.75" hidden="false" customHeight="true" outlineLevel="0" collapsed="false"/>
    <row r="353" customFormat="false" ht="9.75" hidden="false" customHeight="true" outlineLevel="0" collapsed="false"/>
    <row r="354" customFormat="false" ht="9.75" hidden="false" customHeight="true" outlineLevel="0" collapsed="false"/>
    <row r="355" customFormat="false" ht="9.75" hidden="false" customHeight="true" outlineLevel="0" collapsed="false"/>
    <row r="356" customFormat="false" ht="9.75" hidden="false" customHeight="true" outlineLevel="0" collapsed="false"/>
    <row r="357" customFormat="false" ht="9.75" hidden="false" customHeight="true" outlineLevel="0" collapsed="false"/>
    <row r="358" customFormat="false" ht="9.75" hidden="false" customHeight="true" outlineLevel="0" collapsed="false"/>
    <row r="361" customFormat="false" ht="9.75" hidden="false" customHeight="true" outlineLevel="0" collapsed="false"/>
    <row r="364" customFormat="false" ht="9.75" hidden="false" customHeight="true" outlineLevel="0" collapsed="false"/>
    <row r="365" customFormat="false" ht="9.75" hidden="false" customHeight="true" outlineLevel="0" collapsed="false"/>
    <row r="366" customFormat="false" ht="9.75" hidden="false" customHeight="true" outlineLevel="0" collapsed="false"/>
    <row r="372" customFormat="false" ht="9.75" hidden="false" customHeight="true" outlineLevel="0" collapsed="false"/>
    <row r="379" customFormat="false" ht="9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0" ySplit="4" topLeftCell="A5" activePane="bottomLeft" state="frozen"/>
      <selection pane="topLeft" activeCell="A1" activeCellId="0" sqref="A1"/>
      <selection pane="bottomLeft" activeCell="C18" activeCellId="0" sqref="C18"/>
    </sheetView>
  </sheetViews>
  <sheetFormatPr defaultColWidth="6.72265625" defaultRowHeight="12" zeroHeight="false" outlineLevelRow="0" outlineLevelCol="0"/>
  <cols>
    <col collapsed="false" customWidth="true" hidden="false" outlineLevel="0" max="1" min="1" style="311" width="9.42"/>
    <col collapsed="false" customWidth="true" hidden="false" outlineLevel="0" max="2" min="2" style="312" width="7"/>
    <col collapsed="false" customWidth="true" hidden="false" outlineLevel="0" max="3" min="3" style="313" width="10"/>
    <col collapsed="false" customWidth="true" hidden="false" outlineLevel="0" max="4" min="4" style="312" width="3.42"/>
    <col collapsed="false" customWidth="true" hidden="false" outlineLevel="0" max="5" min="5" style="312" width="12.71"/>
    <col collapsed="false" customWidth="true" hidden="false" outlineLevel="0" max="6" min="6" style="314" width="15.29"/>
    <col collapsed="false" customWidth="true" hidden="false" outlineLevel="0" max="7" min="7" style="314" width="1.42"/>
    <col collapsed="false" customWidth="true" hidden="false" outlineLevel="0" max="8" min="8" style="315" width="26.29"/>
    <col collapsed="false" customWidth="true" hidden="false" outlineLevel="0" max="9" min="9" style="316" width="1.29"/>
    <col collapsed="false" customWidth="true" hidden="false" outlineLevel="0" max="10" min="10" style="312" width="1.29"/>
    <col collapsed="false" customWidth="false" hidden="false" outlineLevel="0" max="1024" min="11" style="312" width="6.71"/>
  </cols>
  <sheetData>
    <row r="1" customFormat="false" ht="21" hidden="false" customHeight="true" outlineLevel="0" collapsed="false">
      <c r="A1" s="317" t="n">
        <v>45110</v>
      </c>
      <c r="B1" s="312" t="s">
        <v>0</v>
      </c>
      <c r="C1" s="318" t="s">
        <v>174</v>
      </c>
      <c r="D1" s="318"/>
    </row>
    <row r="2" customFormat="false" ht="13.7" hidden="false" customHeight="true" outlineLevel="0" collapsed="false">
      <c r="A2" s="319"/>
      <c r="B2" s="318"/>
      <c r="C2" s="320"/>
      <c r="D2" s="321"/>
    </row>
    <row r="3" s="323" customFormat="true" ht="12" hidden="false" customHeight="false" outlineLevel="0" collapsed="false">
      <c r="A3" s="322"/>
      <c r="C3" s="322"/>
      <c r="E3" s="323" t="s">
        <v>175</v>
      </c>
      <c r="H3" s="324" t="s">
        <v>176</v>
      </c>
      <c r="I3" s="325"/>
    </row>
    <row r="4" s="323" customFormat="true" ht="12" hidden="false" customHeight="true" outlineLevel="0" collapsed="false">
      <c r="C4" s="322"/>
      <c r="D4" s="322"/>
      <c r="E4" s="323" t="s">
        <v>177</v>
      </c>
      <c r="H4" s="315"/>
      <c r="I4" s="325"/>
    </row>
    <row r="7" customFormat="false" ht="14.25" hidden="false" customHeight="false" outlineLevel="0" collapsed="false">
      <c r="A7" s="326"/>
      <c r="B7" s="311"/>
      <c r="C7" s="327"/>
      <c r="E7" s="328" t="s">
        <v>178</v>
      </c>
      <c r="F7" s="328"/>
      <c r="H7" s="329"/>
      <c r="I7" s="312"/>
    </row>
    <row r="8" customFormat="false" ht="14.25" hidden="false" customHeight="false" outlineLevel="0" collapsed="false">
      <c r="A8" s="330"/>
      <c r="B8" s="328"/>
      <c r="C8" s="330"/>
    </row>
    <row r="12" customFormat="false" ht="12" hidden="false" customHeight="false" outlineLevel="0" collapsed="false">
      <c r="A12" s="327"/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LibreOffice/7.0.4.2$Windows_X86_64 LibreOffice_project/dcf040e67528d9187c66b2379df5ea4407429775</Application>
  <AppVersion>15.0000</AppVersion>
  <Company>Registry Magic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2002-09-03T16:34:09Z</dcterms:created>
  <dc:creator>candy</dc:creator>
  <dc:description/>
  <dc:language>en-US</dc:language>
  <cp:lastModifiedBy/>
  <cp:lastPrinted>2023-06-06T23:24:09Z</cp:lastPrinted>
  <dcterms:modified xsi:type="dcterms:W3CDTF">2023-07-05T08:32:36Z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