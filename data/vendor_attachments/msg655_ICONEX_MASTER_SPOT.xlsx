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81f2e39bdb45401/Documents/2024/"/>
    </mc:Choice>
  </mc:AlternateContent>
  <xr:revisionPtr revIDLastSave="0" documentId="8_{F4FD2229-77EF-4C7A-9EE6-0BE5638A29D2}" xr6:coauthVersionLast="47" xr6:coauthVersionMax="47" xr10:uidLastSave="{00000000-0000-0000-0000-000000000000}"/>
  <bookViews>
    <workbookView xWindow="345" yWindow="345" windowWidth="28110" windowHeight="14880" activeTab="2" xr2:uid="{00000000-000D-0000-FFFF-FFFF00000000}"/>
  </bookViews>
  <sheets>
    <sheet name="small PO" sheetId="5" r:id="rId1"/>
    <sheet name="Drop PO" sheetId="6" r:id="rId2"/>
    <sheet name="PO" sheetId="2" r:id="rId3"/>
    <sheet name="item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1" i="2" l="1"/>
  <c r="H22" i="2"/>
  <c r="H29" i="2"/>
  <c r="H26" i="2"/>
  <c r="H18" i="2" l="1"/>
  <c r="H28" i="2" l="1"/>
  <c r="H15" i="6" l="1"/>
  <c r="H27" i="2" l="1"/>
  <c r="H15" i="2" l="1"/>
  <c r="H53" i="4" l="1"/>
  <c r="H28" i="4" l="1"/>
  <c r="H44" i="4" l="1"/>
  <c r="H39" i="6" l="1"/>
  <c r="H50" i="4"/>
  <c r="H7" i="4"/>
  <c r="G35" i="5"/>
  <c r="H15" i="4"/>
  <c r="H14" i="4"/>
  <c r="H13" i="4"/>
  <c r="H18" i="4"/>
  <c r="H17" i="4"/>
  <c r="H33" i="4"/>
  <c r="H16" i="4"/>
  <c r="H38" i="4"/>
  <c r="H1" i="4"/>
  <c r="H2" i="4"/>
  <c r="H3" i="4"/>
  <c r="H4" i="4"/>
  <c r="H5" i="4"/>
  <c r="H6" i="4"/>
  <c r="H8" i="4"/>
  <c r="H9" i="4"/>
  <c r="H10" i="4"/>
  <c r="H11" i="4"/>
  <c r="H12" i="4"/>
  <c r="H19" i="4"/>
  <c r="H20" i="4"/>
  <c r="H21" i="4"/>
  <c r="H22" i="4"/>
  <c r="H23" i="4"/>
  <c r="H24" i="4"/>
  <c r="H25" i="4"/>
  <c r="H26" i="4"/>
  <c r="H27" i="4"/>
  <c r="H29" i="4"/>
  <c r="H30" i="4"/>
  <c r="H31" i="4"/>
  <c r="H32" i="4"/>
  <c r="H34" i="4"/>
  <c r="H35" i="4"/>
  <c r="H36" i="4"/>
  <c r="H37" i="4"/>
  <c r="H39" i="4"/>
  <c r="H40" i="4"/>
  <c r="H43" i="4"/>
  <c r="A31" i="5"/>
  <c r="H33" i="2" l="1"/>
  <c r="H35" i="2" s="1"/>
</calcChain>
</file>

<file path=xl/sharedStrings.xml><?xml version="1.0" encoding="utf-8"?>
<sst xmlns="http://schemas.openxmlformats.org/spreadsheetml/2006/main" count="224" uniqueCount="169">
  <si>
    <t>P.O. #___________________</t>
  </si>
  <si>
    <t>PURCHASE ORDER</t>
  </si>
  <si>
    <t>TO:</t>
  </si>
  <si>
    <t>DATE:</t>
  </si>
  <si>
    <t>PHONE:</t>
  </si>
  <si>
    <t>DATE REQ:</t>
  </si>
  <si>
    <t>FAX:</t>
  </si>
  <si>
    <t>TERMS"</t>
  </si>
  <si>
    <t>CONTACT:</t>
  </si>
  <si>
    <t>SHIP VIA;</t>
  </si>
  <si>
    <t>GROUND</t>
  </si>
  <si>
    <t>ROB FREANEY</t>
  </si>
  <si>
    <t xml:space="preserve">  VENDOR #</t>
  </si>
  <si>
    <t>PERFORMANCE POS</t>
  </si>
  <si>
    <t>SAN RAFAEL, CA 94901</t>
  </si>
  <si>
    <t>415-451-4861</t>
  </si>
  <si>
    <t>RITEMADE PAPER</t>
  </si>
  <si>
    <t>1-800-638-2060</t>
  </si>
  <si>
    <t>ACCT: 53490</t>
  </si>
  <si>
    <t>BILL TO/SHIP TO:</t>
  </si>
  <si>
    <t>QTY</t>
  </si>
  <si>
    <t>DESCRIPTION</t>
  </si>
  <si>
    <t>PK</t>
  </si>
  <si>
    <t>LENGTH</t>
  </si>
  <si>
    <t>UNIT $</t>
  </si>
  <si>
    <t>EXT $$</t>
  </si>
  <si>
    <t xml:space="preserve"> </t>
  </si>
  <si>
    <t>1-888-489-1014</t>
  </si>
  <si>
    <t>orderentry@ritemade.com</t>
  </si>
  <si>
    <t>100-A PELICAN WAY</t>
  </si>
  <si>
    <t>54-220</t>
  </si>
  <si>
    <t>PRICES/TERMS AS PER CLAY CAMPBELL</t>
  </si>
  <si>
    <t>13-305</t>
  </si>
  <si>
    <t>3 X 3 , 15#</t>
  </si>
  <si>
    <t>CC-235</t>
  </si>
  <si>
    <t>2PLY, 3"X 2/78 W/C</t>
  </si>
  <si>
    <t>15-149</t>
  </si>
  <si>
    <t>2 1/4 x 80 thermal</t>
  </si>
  <si>
    <t>44mm x 3"</t>
  </si>
  <si>
    <t>10x10</t>
  </si>
  <si>
    <t>15-151</t>
  </si>
  <si>
    <t>2 1/4  thermal</t>
  </si>
  <si>
    <t>46175-20</t>
  </si>
  <si>
    <t>3 1/8 20# thermal</t>
  </si>
  <si>
    <t>63-544</t>
  </si>
  <si>
    <t>62-418</t>
  </si>
  <si>
    <t>3 1/4 x 2 1/4</t>
  </si>
  <si>
    <t>12-100</t>
  </si>
  <si>
    <t>13-304</t>
  </si>
  <si>
    <t>13-305c</t>
  </si>
  <si>
    <t xml:space="preserve"> 3 x 3 CANARY</t>
  </si>
  <si>
    <t>13-305G</t>
  </si>
  <si>
    <t>3 X 3 GREEN</t>
  </si>
  <si>
    <t>62-481</t>
  </si>
  <si>
    <t>38MM</t>
  </si>
  <si>
    <t>62-464</t>
  </si>
  <si>
    <t>177Z</t>
  </si>
  <si>
    <t>13-450</t>
  </si>
  <si>
    <t>65-229</t>
  </si>
  <si>
    <t>44MM 2PLY</t>
  </si>
  <si>
    <t>2 1/4 2 PLY</t>
  </si>
  <si>
    <t>4 1/2  2ply</t>
  </si>
  <si>
    <t>65-264</t>
  </si>
  <si>
    <t>3 1/4 2 PLY</t>
  </si>
  <si>
    <t>18-333</t>
  </si>
  <si>
    <t>3 X 3 3PLY</t>
  </si>
  <si>
    <t>CC-234</t>
  </si>
  <si>
    <t>2 3/4 2PLY</t>
  </si>
  <si>
    <t>2 5/16  thermal</t>
  </si>
  <si>
    <t>3 1/8 THERMAL</t>
  </si>
  <si>
    <t>46-015</t>
  </si>
  <si>
    <t>3" THERMAL</t>
  </si>
  <si>
    <t>15-150</t>
  </si>
  <si>
    <t>2 1/4 THERMAL</t>
  </si>
  <si>
    <t>46-802</t>
  </si>
  <si>
    <t>4 9/32 THERMAL</t>
  </si>
  <si>
    <t>46-174</t>
  </si>
  <si>
    <t>15-038</t>
  </si>
  <si>
    <t>38MM THERMAL</t>
  </si>
  <si>
    <t>15-044</t>
  </si>
  <si>
    <t>44MM THERMAL</t>
  </si>
  <si>
    <t>54-273</t>
  </si>
  <si>
    <t>18-264</t>
  </si>
  <si>
    <t>NET 30</t>
  </si>
  <si>
    <t>15-303</t>
  </si>
  <si>
    <t>18-230</t>
  </si>
  <si>
    <t>PLEASE SHIP ASAP</t>
  </si>
  <si>
    <t>54-170</t>
  </si>
  <si>
    <t>PALLET #1</t>
  </si>
  <si>
    <t>65-364</t>
  </si>
  <si>
    <t>3 1/4  3ply</t>
  </si>
  <si>
    <t>THANKS</t>
  </si>
  <si>
    <t>15-160</t>
  </si>
  <si>
    <t>2 1/4 thermal</t>
  </si>
  <si>
    <t>15-185</t>
  </si>
  <si>
    <t>15-157</t>
  </si>
  <si>
    <t>63-378</t>
  </si>
  <si>
    <t>15-350</t>
  </si>
  <si>
    <t>2 1/4" X 1 1/4"  thermal</t>
  </si>
  <si>
    <t>2 1/4" X 1 1/3"  thermal</t>
  </si>
  <si>
    <t>PALLET #2</t>
  </si>
  <si>
    <t>PLEASE BLIND DROP SHIP TO:</t>
  </si>
  <si>
    <t>P10053</t>
  </si>
  <si>
    <t>Drop Ship to:</t>
  </si>
  <si>
    <t>Barrel Head BrewHouse</t>
  </si>
  <si>
    <t>1785 Fulton Street</t>
  </si>
  <si>
    <t>San Francisco, Ca 94118</t>
  </si>
  <si>
    <t>attn: Natasha</t>
  </si>
  <si>
    <t>14-970</t>
  </si>
  <si>
    <t>3 1/8 x 5" thermal</t>
  </si>
  <si>
    <t>sf bay ferry 2 1/4</t>
  </si>
  <si>
    <t>PF-230</t>
  </si>
  <si>
    <t>Thank You!</t>
  </si>
  <si>
    <t>orderentry@ICONEX.com</t>
  </si>
  <si>
    <t>blue &amp; gold  3 1/8</t>
  </si>
  <si>
    <t>sf bay ferry 3 1/8</t>
  </si>
  <si>
    <t xml:space="preserve">                PURCHASE ORDER</t>
  </si>
  <si>
    <t>PO#</t>
  </si>
  <si>
    <t>VENDOR:</t>
  </si>
  <si>
    <t xml:space="preserve">            ICONEX</t>
  </si>
  <si>
    <t>SHIP TO:</t>
  </si>
  <si>
    <t>SPOT ON-SAN RAFAEL</t>
  </si>
  <si>
    <t>SAN RAFAEL, CA  94901</t>
  </si>
  <si>
    <t>(formerly:  Performance POS)</t>
  </si>
  <si>
    <t>3237 Satellite Blvd</t>
  </si>
  <si>
    <t>Bldg 300, Suite 500</t>
  </si>
  <si>
    <t>Jill Dunleavy  714-408-0329</t>
  </si>
  <si>
    <t>Duluth, Ga  30096</t>
  </si>
  <si>
    <t xml:space="preserve">          Subtotal</t>
  </si>
  <si>
    <t xml:space="preserve">          Sales Tax</t>
  </si>
  <si>
    <t xml:space="preserve">         Total</t>
  </si>
  <si>
    <t>Authorized By</t>
  </si>
  <si>
    <t>Date</t>
  </si>
  <si>
    <t>Unit  Part#</t>
  </si>
  <si>
    <t>Description</t>
  </si>
  <si>
    <t>9078-5061</t>
  </si>
  <si>
    <t>9078-5040</t>
  </si>
  <si>
    <t>2 1/4 THERMAL X 16 FEET</t>
  </si>
  <si>
    <t>101 GLACIER POINT, SUITE B</t>
  </si>
  <si>
    <t>9078-0549</t>
  </si>
  <si>
    <t>9078-2981</t>
  </si>
  <si>
    <t>9078-2982</t>
  </si>
  <si>
    <t>9078-2983</t>
  </si>
  <si>
    <t>9078-0668</t>
  </si>
  <si>
    <t>9077-0047</t>
  </si>
  <si>
    <t>9074-0510</t>
  </si>
  <si>
    <t>9078-0566</t>
  </si>
  <si>
    <t>9074-0243</t>
  </si>
  <si>
    <t>9092-2016</t>
  </si>
  <si>
    <t>9078-2980</t>
  </si>
  <si>
    <t>PALLET #3</t>
  </si>
  <si>
    <t>PALLET #4</t>
  </si>
  <si>
    <t>63-437</t>
  </si>
  <si>
    <t>15-741</t>
  </si>
  <si>
    <t>9078-0565</t>
  </si>
  <si>
    <t>3 1/8 X3 THERMAL,</t>
  </si>
  <si>
    <t>3 1/8 X3 THERMAL</t>
  </si>
  <si>
    <t>9092-2015</t>
  </si>
  <si>
    <t>54-230</t>
  </si>
  <si>
    <t>9023-2240</t>
  </si>
  <si>
    <t>3 1/8 sticky roll, 270 feet, 12 rolls/box</t>
  </si>
  <si>
    <t>Drop</t>
  </si>
  <si>
    <t>Marin Rod &amp; Gun Club</t>
  </si>
  <si>
    <t>2675 Francisco Blvd East</t>
  </si>
  <si>
    <t>San Rafael, Ca  94901</t>
  </si>
  <si>
    <t>attn:   Lenny</t>
  </si>
  <si>
    <t>415-456-8142</t>
  </si>
  <si>
    <t>9074-0054</t>
  </si>
  <si>
    <t>9074-0085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</si>
</sst>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m/dd/yy"/>
    <numFmt numFmtId="165" formatCode="&quot;$&quot;#,##0.00"/>
    <numFmt numFmtId="166" formatCode="[$-409]mmmm\ d\,\ yyyy;@"/>
  </numFmts>
  <fonts count="2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24"/>
      <name val="Arial"/>
      <family val="2"/>
    </font>
    <font>
      <b/>
      <u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1"/>
      <name val="Arial"/>
      <family val="2"/>
    </font>
    <font>
      <b/>
      <sz val="9.5"/>
      <name val="MS Sans Serif"/>
      <family val="2"/>
    </font>
    <font>
      <sz val="8"/>
      <name val="Arial"/>
      <family val="2"/>
    </font>
    <font>
      <sz val="1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8"/>
      <name val="MS Sans Serif"/>
      <family val="2"/>
    </font>
    <font>
      <b/>
      <sz val="14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0" fillId="0" borderId="0" xfId="0" applyFont="1" applyAlignment="1">
      <alignment horizontal="center"/>
    </xf>
    <xf numFmtId="44" fontId="15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5" fontId="14" fillId="0" borderId="0" xfId="0" applyNumberFormat="1" applyFont="1" applyAlignment="1">
      <alignment horizontal="center"/>
    </xf>
    <xf numFmtId="165" fontId="15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8" fillId="0" borderId="0" xfId="0" applyFont="1" applyAlignment="1">
      <alignment horizontal="left"/>
    </xf>
    <xf numFmtId="165" fontId="15" fillId="0" borderId="0" xfId="1" applyNumberFormat="1" applyFont="1" applyAlignment="1">
      <alignment horizontal="left"/>
    </xf>
    <xf numFmtId="165" fontId="14" fillId="0" borderId="0" xfId="0" applyNumberFormat="1" applyFont="1" applyAlignment="1">
      <alignment horizontal="left"/>
    </xf>
    <xf numFmtId="2" fontId="10" fillId="0" borderId="0" xfId="0" applyNumberFormat="1" applyFont="1" applyAlignment="1">
      <alignment horizontal="left"/>
    </xf>
    <xf numFmtId="1" fontId="16" fillId="0" borderId="0" xfId="0" applyNumberFormat="1" applyFont="1" applyAlignment="1">
      <alignment horizontal="center"/>
    </xf>
    <xf numFmtId="0" fontId="17" fillId="0" borderId="1" xfId="0" applyFont="1" applyBorder="1" applyAlignment="1">
      <alignment horizontal="left"/>
    </xf>
    <xf numFmtId="165" fontId="13" fillId="0" borderId="1" xfId="0" applyNumberFormat="1" applyFont="1" applyBorder="1"/>
    <xf numFmtId="0" fontId="11" fillId="0" borderId="0" xfId="2" applyAlignment="1" applyProtection="1"/>
    <xf numFmtId="1" fontId="14" fillId="0" borderId="0" xfId="0" applyNumberFormat="1" applyFont="1" applyAlignment="1">
      <alignment horizontal="center"/>
    </xf>
    <xf numFmtId="12" fontId="14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44" fontId="9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14" fillId="2" borderId="2" xfId="0" applyFont="1" applyFill="1" applyBorder="1" applyAlignment="1">
      <alignment horizontal="center"/>
    </xf>
    <xf numFmtId="1" fontId="14" fillId="2" borderId="3" xfId="0" applyNumberFormat="1" applyFont="1" applyFill="1" applyBorder="1" applyAlignment="1">
      <alignment horizontal="left"/>
    </xf>
    <xf numFmtId="1" fontId="18" fillId="0" borderId="0" xfId="0" applyNumberFormat="1" applyFont="1" applyAlignment="1">
      <alignment horizontal="center"/>
    </xf>
    <xf numFmtId="0" fontId="10" fillId="0" borderId="0" xfId="0" applyFont="1"/>
    <xf numFmtId="165" fontId="15" fillId="3" borderId="0" xfId="1" applyNumberFormat="1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7" fillId="0" borderId="0" xfId="0" applyFont="1"/>
    <xf numFmtId="0" fontId="14" fillId="0" borderId="6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0" fillId="0" borderId="0" xfId="0" applyFont="1"/>
    <xf numFmtId="0" fontId="2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165" fontId="12" fillId="0" borderId="0" xfId="0" applyNumberFormat="1" applyFont="1"/>
    <xf numFmtId="0" fontId="0" fillId="0" borderId="7" xfId="0" applyBorder="1"/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5" fontId="5" fillId="0" borderId="0" xfId="0" applyNumberFormat="1" applyFont="1"/>
    <xf numFmtId="0" fontId="1" fillId="0" borderId="0" xfId="0" applyFont="1" applyAlignment="1">
      <alignment horizontal="center"/>
    </xf>
    <xf numFmtId="165" fontId="15" fillId="0" borderId="0" xfId="1" applyNumberFormat="1" applyFont="1" applyFill="1" applyAlignment="1">
      <alignment horizontal="center"/>
    </xf>
    <xf numFmtId="165" fontId="15" fillId="0" borderId="0" xfId="1" applyNumberFormat="1" applyFont="1" applyFill="1" applyAlignment="1">
      <alignment horizontal="left"/>
    </xf>
    <xf numFmtId="0" fontId="23" fillId="0" borderId="0" xfId="0" applyFont="1" applyAlignment="1">
      <alignment horizontal="center"/>
    </xf>
    <xf numFmtId="0" fontId="17" fillId="0" borderId="1" xfId="0" quotePrefix="1" applyFont="1" applyBorder="1" applyAlignment="1">
      <alignment horizontal="center"/>
    </xf>
    <xf numFmtId="0" fontId="5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2" fontId="20" fillId="0" borderId="0" xfId="0" applyNumberFormat="1" applyFont="1" applyAlignment="1">
      <alignment horizontal="left"/>
    </xf>
    <xf numFmtId="0" fontId="16" fillId="0" borderId="6" xfId="0" applyFont="1" applyBorder="1" applyAlignment="1">
      <alignment horizontal="center"/>
    </xf>
    <xf numFmtId="0" fontId="24" fillId="0" borderId="0" xfId="0" applyFont="1" applyAlignment="1">
      <alignment horizontal="center"/>
    </xf>
    <xf numFmtId="166" fontId="2" fillId="0" borderId="0" xfId="0" applyNumberFormat="1" applyFont="1" applyAlignment="1">
      <alignment horizontal="left"/>
    </xf>
    <xf numFmtId="0" fontId="0" fillId="0" borderId="0" xfId="0"/>
    <xf numFmtId="0" fontId="20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19050</xdr:colOff>
      <xdr:row>2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78489-A321-46B5-ACAF-BED3550DE6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9575" y="419100"/>
          <a:ext cx="1009650" cy="638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323850</xdr:colOff>
      <xdr:row>2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FABD5E-0CFD-4A9D-AC88-280FCA360C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9575" y="419100"/>
          <a:ext cx="1009650" cy="638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rderentry@ritemad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orderentry@ritemade.com" TargetMode="External"/><Relationship Id="rId1" Type="http://schemas.openxmlformats.org/officeDocument/2006/relationships/hyperlink" Target="mailto:orderentry@ritemade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orderentry@ritemade.com" TargetMode="External"/><Relationship Id="rId1" Type="http://schemas.openxmlformats.org/officeDocument/2006/relationships/hyperlink" Target="mailto:orderentry@ritemade.com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workbookViewId="0">
      <selection activeCell="F21" sqref="F21"/>
    </sheetView>
  </sheetViews>
  <sheetFormatPr defaultRowHeight="12.75" x14ac:dyDescent="0.2"/>
  <cols>
    <col min="1" max="1" width="10.7109375" style="38" customWidth="1"/>
    <col min="2" max="2" width="12.140625" customWidth="1"/>
    <col min="3" max="3" width="30.140625" customWidth="1"/>
    <col min="4" max="4" width="6.42578125" customWidth="1"/>
    <col min="5" max="5" width="10" customWidth="1"/>
    <col min="6" max="6" width="9.7109375" style="21" customWidth="1"/>
    <col min="7" max="7" width="11.5703125" customWidth="1"/>
  </cols>
  <sheetData>
    <row r="1" spans="1:8" ht="22.5" customHeight="1" thickBot="1" x14ac:dyDescent="0.45">
      <c r="B1" s="1"/>
      <c r="C1" s="1"/>
      <c r="E1" t="s">
        <v>0</v>
      </c>
      <c r="F1" s="28" t="s">
        <v>102</v>
      </c>
    </row>
    <row r="2" spans="1:8" ht="33" customHeight="1" x14ac:dyDescent="0.4">
      <c r="B2" s="6" t="s">
        <v>1</v>
      </c>
      <c r="C2" s="6"/>
      <c r="D2" s="5"/>
      <c r="E2" s="5"/>
    </row>
    <row r="3" spans="1:8" ht="23.25" x14ac:dyDescent="0.35">
      <c r="A3" s="38" t="s">
        <v>2</v>
      </c>
      <c r="B3" s="3" t="s">
        <v>16</v>
      </c>
      <c r="C3" s="3"/>
      <c r="D3" s="3"/>
      <c r="E3" t="s">
        <v>3</v>
      </c>
      <c r="F3" s="22">
        <v>43013</v>
      </c>
    </row>
    <row r="4" spans="1:8" x14ac:dyDescent="0.2">
      <c r="A4" s="38" t="s">
        <v>4</v>
      </c>
      <c r="C4" t="s">
        <v>17</v>
      </c>
      <c r="E4" t="s">
        <v>5</v>
      </c>
      <c r="F4" s="22" t="s">
        <v>86</v>
      </c>
    </row>
    <row r="5" spans="1:8" x14ac:dyDescent="0.2">
      <c r="A5" s="38" t="s">
        <v>6</v>
      </c>
      <c r="C5" t="s">
        <v>27</v>
      </c>
      <c r="E5" t="s">
        <v>7</v>
      </c>
      <c r="F5" s="21" t="s">
        <v>83</v>
      </c>
    </row>
    <row r="6" spans="1:8" x14ac:dyDescent="0.2">
      <c r="A6" s="38" t="s">
        <v>8</v>
      </c>
      <c r="C6" s="30" t="s">
        <v>28</v>
      </c>
      <c r="E6" t="s">
        <v>9</v>
      </c>
      <c r="F6" s="18" t="s">
        <v>10</v>
      </c>
    </row>
    <row r="7" spans="1:8" ht="8.25" customHeight="1" x14ac:dyDescent="0.2"/>
    <row r="8" spans="1:8" ht="15.75" x14ac:dyDescent="0.25">
      <c r="A8" s="53" t="s">
        <v>19</v>
      </c>
      <c r="B8" s="2"/>
      <c r="C8" s="4" t="s">
        <v>13</v>
      </c>
      <c r="D8" s="12" t="s">
        <v>18</v>
      </c>
    </row>
    <row r="9" spans="1:8" ht="15.75" x14ac:dyDescent="0.25">
      <c r="A9" s="38" t="s">
        <v>26</v>
      </c>
      <c r="B9" s="2"/>
      <c r="C9" s="4" t="s">
        <v>29</v>
      </c>
      <c r="D9" s="11"/>
    </row>
    <row r="10" spans="1:8" ht="15.75" x14ac:dyDescent="0.25">
      <c r="B10" s="2"/>
      <c r="C10" s="4" t="s">
        <v>14</v>
      </c>
      <c r="D10" s="11"/>
    </row>
    <row r="11" spans="1:8" x14ac:dyDescent="0.2">
      <c r="A11" s="38" t="s">
        <v>8</v>
      </c>
      <c r="C11" s="10" t="s">
        <v>11</v>
      </c>
      <c r="D11" s="10" t="s">
        <v>15</v>
      </c>
    </row>
    <row r="12" spans="1:8" ht="6.75" customHeight="1" x14ac:dyDescent="0.2">
      <c r="C12" s="10"/>
      <c r="D12" s="10"/>
    </row>
    <row r="13" spans="1:8" s="8" customFormat="1" ht="14.25" customHeight="1" x14ac:dyDescent="0.2">
      <c r="A13" s="39" t="s">
        <v>20</v>
      </c>
      <c r="B13" s="9" t="s">
        <v>12</v>
      </c>
      <c r="C13" s="9" t="s">
        <v>21</v>
      </c>
      <c r="D13" s="9" t="s">
        <v>22</v>
      </c>
      <c r="E13" s="9" t="s">
        <v>23</v>
      </c>
      <c r="F13" s="23" t="s">
        <v>24</v>
      </c>
      <c r="G13" s="9" t="s">
        <v>25</v>
      </c>
    </row>
    <row r="14" spans="1:8" s="2" customFormat="1" ht="9.75" customHeight="1" x14ac:dyDescent="0.25">
      <c r="A14" s="27"/>
      <c r="B14" s="13"/>
      <c r="C14" s="13"/>
      <c r="D14" s="13"/>
      <c r="E14" s="13"/>
      <c r="F14" s="24"/>
      <c r="G14" s="16"/>
      <c r="H14" s="13"/>
    </row>
    <row r="15" spans="1:8" s="2" customFormat="1" ht="24.75" customHeight="1" x14ac:dyDescent="0.25">
      <c r="A15" s="27"/>
      <c r="B15" s="13"/>
      <c r="C15" s="13"/>
      <c r="D15" s="13"/>
      <c r="E15" s="13"/>
      <c r="F15" s="24"/>
      <c r="G15" s="16"/>
      <c r="H15" s="13"/>
    </row>
    <row r="16" spans="1:8" s="2" customFormat="1" ht="15.6" customHeight="1" x14ac:dyDescent="0.2">
      <c r="A16" s="31"/>
      <c r="B16" s="13"/>
      <c r="C16" s="13"/>
      <c r="D16" s="13"/>
      <c r="E16" s="13"/>
      <c r="F16" s="46"/>
      <c r="G16" s="20"/>
      <c r="H16" s="13"/>
    </row>
    <row r="17" spans="1:14" s="2" customFormat="1" ht="20.25" customHeight="1" x14ac:dyDescent="0.2">
      <c r="A17" s="31"/>
      <c r="B17" s="13"/>
      <c r="C17" s="13"/>
      <c r="D17" s="13"/>
      <c r="E17" s="13"/>
      <c r="F17" s="20"/>
      <c r="G17" s="20"/>
      <c r="H17" s="13"/>
    </row>
    <row r="18" spans="1:14" s="14" customFormat="1" ht="14.25" customHeight="1" x14ac:dyDescent="0.2">
      <c r="A18" s="31"/>
      <c r="B18" s="17"/>
      <c r="C18" s="13"/>
      <c r="D18" s="13"/>
      <c r="E18" s="13"/>
      <c r="F18" s="19"/>
      <c r="G18" s="20"/>
      <c r="H18" s="13"/>
    </row>
    <row r="19" spans="1:14" s="2" customFormat="1" ht="7.5" customHeight="1" thickBot="1" x14ac:dyDescent="0.25">
      <c r="A19" s="31"/>
      <c r="B19" s="13"/>
      <c r="C19" s="13"/>
      <c r="D19" s="13"/>
      <c r="E19" s="13"/>
      <c r="F19" s="20"/>
      <c r="G19" s="20"/>
      <c r="H19" s="13"/>
    </row>
    <row r="20" spans="1:14" s="14" customFormat="1" ht="15.6" customHeight="1" x14ac:dyDescent="0.25">
      <c r="A20" s="31"/>
      <c r="B20" s="17"/>
      <c r="C20" s="49" t="s">
        <v>103</v>
      </c>
      <c r="D20" s="13"/>
      <c r="E20" s="13"/>
      <c r="F20" s="19"/>
      <c r="G20" s="20"/>
      <c r="H20" s="13"/>
    </row>
    <row r="21" spans="1:14" s="14" customFormat="1" ht="15.6" customHeight="1" x14ac:dyDescent="0.25">
      <c r="A21" s="31"/>
      <c r="B21" s="17"/>
      <c r="C21" s="50" t="s">
        <v>104</v>
      </c>
      <c r="D21" s="13"/>
      <c r="E21" s="13"/>
      <c r="F21" s="19"/>
      <c r="G21" s="20"/>
      <c r="H21" s="13"/>
    </row>
    <row r="22" spans="1:14" s="14" customFormat="1" ht="15.6" customHeight="1" x14ac:dyDescent="0.25">
      <c r="A22" s="31"/>
      <c r="B22" s="17"/>
      <c r="C22" s="50" t="s">
        <v>105</v>
      </c>
      <c r="D22" s="13"/>
      <c r="E22" s="13"/>
      <c r="F22" s="19"/>
      <c r="G22" s="20"/>
      <c r="H22" s="13"/>
    </row>
    <row r="23" spans="1:14" s="14" customFormat="1" ht="15.6" customHeight="1" x14ac:dyDescent="0.25">
      <c r="A23" s="31"/>
      <c r="B23" s="17"/>
      <c r="C23" s="50" t="s">
        <v>106</v>
      </c>
      <c r="D23" s="13"/>
      <c r="E23" s="13"/>
      <c r="F23" s="19"/>
      <c r="G23" s="20"/>
      <c r="H23" s="13"/>
    </row>
    <row r="24" spans="1:14" s="2" customFormat="1" ht="15" customHeight="1" x14ac:dyDescent="0.25">
      <c r="A24" s="31"/>
      <c r="B24" s="13"/>
      <c r="C24" s="50" t="s">
        <v>107</v>
      </c>
      <c r="D24" s="13"/>
      <c r="E24" s="13"/>
      <c r="F24" s="20"/>
      <c r="G24" s="20"/>
      <c r="H24" s="13"/>
    </row>
    <row r="25" spans="1:14" s="14" customFormat="1" ht="15.6" customHeight="1" thickBot="1" x14ac:dyDescent="0.25">
      <c r="A25" s="31"/>
      <c r="B25" s="17"/>
      <c r="C25" s="52"/>
      <c r="D25" s="13"/>
      <c r="E25" s="13"/>
      <c r="F25" s="19"/>
      <c r="G25" s="20"/>
      <c r="H25" s="13"/>
    </row>
    <row r="26" spans="1:14" ht="13.7" customHeight="1" x14ac:dyDescent="0.2">
      <c r="A26" s="44"/>
      <c r="B26" s="15"/>
      <c r="C26" s="15"/>
      <c r="D26" s="15"/>
      <c r="E26" s="15"/>
      <c r="F26" s="15"/>
      <c r="G26" s="20"/>
      <c r="H26" s="33"/>
      <c r="I26" s="34"/>
      <c r="J26" s="35"/>
      <c r="K26" s="36"/>
      <c r="L26" s="37"/>
      <c r="M26" s="36"/>
      <c r="N26" s="36"/>
    </row>
    <row r="27" spans="1:14" s="14" customFormat="1" ht="15" customHeight="1" x14ac:dyDescent="0.2">
      <c r="A27" s="31"/>
      <c r="B27" s="17"/>
      <c r="C27" s="13"/>
      <c r="D27" s="13"/>
      <c r="E27" s="13"/>
      <c r="F27" s="19"/>
      <c r="G27" s="20"/>
      <c r="H27" s="13"/>
    </row>
    <row r="28" spans="1:14" s="2" customFormat="1" ht="20.25" customHeight="1" x14ac:dyDescent="0.2">
      <c r="A28" s="31"/>
      <c r="B28" s="13"/>
      <c r="C28" s="13"/>
      <c r="D28" s="13"/>
      <c r="E28" s="13"/>
      <c r="F28" s="20"/>
      <c r="G28" s="20"/>
      <c r="H28" s="13"/>
    </row>
    <row r="29" spans="1:14" s="14" customFormat="1" ht="15.75" customHeight="1" x14ac:dyDescent="0.2">
      <c r="A29" s="31"/>
      <c r="B29" s="17"/>
      <c r="C29" s="32"/>
      <c r="D29" s="13"/>
      <c r="E29" s="13"/>
      <c r="F29" s="19"/>
      <c r="G29" s="20"/>
      <c r="H29" s="13"/>
    </row>
    <row r="30" spans="1:14" s="14" customFormat="1" ht="15.75" customHeight="1" x14ac:dyDescent="0.2">
      <c r="A30" s="31"/>
      <c r="B30" s="17"/>
      <c r="C30" s="32"/>
      <c r="D30" s="13"/>
      <c r="E30" s="13"/>
      <c r="F30" s="19"/>
      <c r="G30" s="20"/>
      <c r="H30" s="13"/>
    </row>
    <row r="31" spans="1:14" s="2" customFormat="1" ht="15.6" customHeight="1" x14ac:dyDescent="0.25">
      <c r="A31" s="27">
        <f>SUM(A16:A27)</f>
        <v>0</v>
      </c>
      <c r="B31" s="17"/>
      <c r="C31" s="13"/>
      <c r="D31" s="13"/>
      <c r="E31" s="13"/>
      <c r="F31" s="20"/>
      <c r="G31" s="20"/>
      <c r="H31" s="13"/>
    </row>
    <row r="32" spans="1:14" s="2" customFormat="1" ht="15.6" customHeight="1" x14ac:dyDescent="0.25">
      <c r="A32" s="27"/>
      <c r="B32" s="13"/>
      <c r="C32" s="13"/>
      <c r="D32" s="13"/>
      <c r="E32" s="13"/>
      <c r="F32" s="20"/>
      <c r="G32" s="20"/>
      <c r="H32" s="13"/>
    </row>
    <row r="33" spans="1:8" x14ac:dyDescent="0.2">
      <c r="C33" t="s">
        <v>31</v>
      </c>
      <c r="F33"/>
    </row>
    <row r="34" spans="1:8" s="2" customFormat="1" ht="11.25" customHeight="1" thickBot="1" x14ac:dyDescent="0.3">
      <c r="A34" s="40"/>
      <c r="B34" s="15"/>
      <c r="C34" s="13"/>
      <c r="D34" s="13"/>
      <c r="E34" s="13"/>
      <c r="F34" s="25"/>
      <c r="G34" s="20"/>
      <c r="H34" s="13"/>
    </row>
    <row r="35" spans="1:8" s="7" customFormat="1" ht="18.75" thickBot="1" x14ac:dyDescent="0.3">
      <c r="A35" s="41"/>
      <c r="C35" s="12"/>
      <c r="D35" s="12"/>
      <c r="E35" s="10"/>
      <c r="F35" s="26"/>
      <c r="G35" s="29">
        <f>SUM(G14:G34)</f>
        <v>0</v>
      </c>
    </row>
    <row r="36" spans="1:8" s="10" customFormat="1" x14ac:dyDescent="0.2">
      <c r="A36" s="33"/>
    </row>
    <row r="37" spans="1:8" x14ac:dyDescent="0.2">
      <c r="F37"/>
    </row>
    <row r="38" spans="1:8" x14ac:dyDescent="0.2">
      <c r="F38"/>
    </row>
    <row r="40" spans="1:8" x14ac:dyDescent="0.2">
      <c r="F40"/>
    </row>
    <row r="41" spans="1:8" x14ac:dyDescent="0.2">
      <c r="F41"/>
    </row>
    <row r="42" spans="1:8" x14ac:dyDescent="0.2">
      <c r="F42"/>
    </row>
    <row r="43" spans="1:8" x14ac:dyDescent="0.2">
      <c r="F43"/>
    </row>
    <row r="44" spans="1:8" x14ac:dyDescent="0.2">
      <c r="F44"/>
    </row>
    <row r="45" spans="1:8" x14ac:dyDescent="0.2">
      <c r="F45"/>
    </row>
    <row r="46" spans="1:8" x14ac:dyDescent="0.2">
      <c r="F46"/>
    </row>
    <row r="47" spans="1:8" x14ac:dyDescent="0.2">
      <c r="F47"/>
    </row>
    <row r="48" spans="1:8" x14ac:dyDescent="0.2">
      <c r="F48"/>
    </row>
    <row r="49" spans="6:6" x14ac:dyDescent="0.2">
      <c r="F49"/>
    </row>
    <row r="50" spans="6:6" x14ac:dyDescent="0.2">
      <c r="F50"/>
    </row>
    <row r="51" spans="6:6" x14ac:dyDescent="0.2">
      <c r="F51"/>
    </row>
    <row r="52" spans="6:6" x14ac:dyDescent="0.2">
      <c r="F52"/>
    </row>
    <row r="53" spans="6:6" x14ac:dyDescent="0.2">
      <c r="F53"/>
    </row>
    <row r="54" spans="6:6" x14ac:dyDescent="0.2">
      <c r="F54"/>
    </row>
    <row r="55" spans="6:6" x14ac:dyDescent="0.2">
      <c r="F55"/>
    </row>
  </sheetData>
  <phoneticPr fontId="19" type="noConversion"/>
  <hyperlinks>
    <hyperlink ref="C6" r:id="rId1" xr:uid="{00000000-0004-0000-0000-000000000000}"/>
  </hyperlinks>
  <pageMargins left="0.75" right="0.75" top="0.49" bottom="0.53" header="0.34" footer="0.38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9"/>
  <sheetViews>
    <sheetView workbookViewId="0">
      <selection activeCell="G16" sqref="G16"/>
    </sheetView>
  </sheetViews>
  <sheetFormatPr defaultRowHeight="12.75" x14ac:dyDescent="0.2"/>
  <cols>
    <col min="1" max="1" width="6.140625" style="38" customWidth="1"/>
    <col min="2" max="2" width="14.85546875" customWidth="1"/>
    <col min="3" max="3" width="11.28515625" customWidth="1"/>
    <col min="4" max="4" width="33.85546875" customWidth="1"/>
    <col min="5" max="5" width="6.42578125" customWidth="1"/>
    <col min="6" max="6" width="10.42578125" customWidth="1"/>
    <col min="7" max="7" width="9.7109375" style="21" customWidth="1"/>
    <col min="8" max="8" width="11.5703125" customWidth="1"/>
  </cols>
  <sheetData>
    <row r="1" spans="1:9" ht="33" customHeight="1" x14ac:dyDescent="0.4">
      <c r="A1"/>
      <c r="B1" s="1" t="s">
        <v>116</v>
      </c>
      <c r="C1" s="1"/>
      <c r="D1" s="1"/>
      <c r="G1"/>
    </row>
    <row r="2" spans="1:9" ht="33" customHeight="1" thickBot="1" x14ac:dyDescent="0.45">
      <c r="A2"/>
      <c r="B2" s="1"/>
      <c r="C2" s="1"/>
      <c r="D2" s="1"/>
      <c r="F2" t="s">
        <v>3</v>
      </c>
      <c r="G2" s="73">
        <v>45132</v>
      </c>
      <c r="H2" s="74"/>
    </row>
    <row r="3" spans="1:9" ht="22.5" customHeight="1" thickBot="1" x14ac:dyDescent="0.45">
      <c r="B3" s="1"/>
      <c r="C3" s="1"/>
      <c r="D3" s="1"/>
      <c r="F3" s="47" t="s">
        <v>117</v>
      </c>
      <c r="G3" s="67">
        <v>3072502</v>
      </c>
    </row>
    <row r="4" spans="1:9" ht="11.25" customHeight="1" x14ac:dyDescent="0.4">
      <c r="A4"/>
      <c r="B4" s="1"/>
      <c r="C4" s="1"/>
      <c r="D4" s="1"/>
      <c r="G4"/>
    </row>
    <row r="5" spans="1:9" s="56" customFormat="1" ht="20.25" x14ac:dyDescent="0.3">
      <c r="A5" s="55"/>
      <c r="B5" s="11" t="s">
        <v>118</v>
      </c>
      <c r="C5" s="11"/>
      <c r="D5" s="57" t="s">
        <v>119</v>
      </c>
      <c r="E5" s="4" t="s">
        <v>120</v>
      </c>
      <c r="G5" s="68" t="s">
        <v>161</v>
      </c>
      <c r="H5" s="57"/>
    </row>
    <row r="6" spans="1:9" ht="20.25" x14ac:dyDescent="0.3">
      <c r="D6" s="47" t="s">
        <v>124</v>
      </c>
      <c r="G6" s="69"/>
      <c r="H6" s="57"/>
    </row>
    <row r="7" spans="1:9" x14ac:dyDescent="0.2">
      <c r="D7" s="47" t="s">
        <v>125</v>
      </c>
      <c r="G7" s="18"/>
      <c r="H7" s="2"/>
    </row>
    <row r="8" spans="1:9" x14ac:dyDescent="0.2">
      <c r="D8" s="30" t="s">
        <v>127</v>
      </c>
      <c r="G8" s="47"/>
    </row>
    <row r="9" spans="1:9" ht="15.75" customHeight="1" x14ac:dyDescent="0.2">
      <c r="A9" s="48"/>
      <c r="D9" s="30" t="s">
        <v>113</v>
      </c>
      <c r="G9" s="53"/>
    </row>
    <row r="10" spans="1:9" ht="15.75" x14ac:dyDescent="0.25">
      <c r="B10" s="2"/>
      <c r="C10" s="2"/>
      <c r="D10" s="47" t="s">
        <v>126</v>
      </c>
      <c r="E10" s="12"/>
    </row>
    <row r="11" spans="1:9" x14ac:dyDescent="0.2">
      <c r="D11" s="10"/>
      <c r="E11" s="10"/>
    </row>
    <row r="12" spans="1:9" ht="6.75" customHeight="1" x14ac:dyDescent="0.2">
      <c r="D12" s="10"/>
      <c r="E12" s="10"/>
    </row>
    <row r="13" spans="1:9" s="8" customFormat="1" ht="14.25" customHeight="1" x14ac:dyDescent="0.2">
      <c r="A13" s="39" t="s">
        <v>20</v>
      </c>
      <c r="B13" s="9" t="s">
        <v>12</v>
      </c>
      <c r="C13" s="9"/>
      <c r="D13" s="9" t="s">
        <v>21</v>
      </c>
      <c r="E13" s="9" t="s">
        <v>22</v>
      </c>
      <c r="F13" s="9" t="s">
        <v>23</v>
      </c>
      <c r="G13" s="23" t="s">
        <v>24</v>
      </c>
      <c r="H13" s="9" t="s">
        <v>25</v>
      </c>
    </row>
    <row r="14" spans="1:9" s="2" customFormat="1" ht="13.5" customHeight="1" x14ac:dyDescent="0.25">
      <c r="A14" s="27"/>
      <c r="B14" s="13"/>
      <c r="C14" s="13"/>
      <c r="D14" s="13"/>
      <c r="E14" s="13"/>
      <c r="F14" s="13"/>
      <c r="G14" s="65"/>
      <c r="H14" s="16"/>
      <c r="I14" s="13"/>
    </row>
    <row r="15" spans="1:9" s="14" customFormat="1" ht="15.6" customHeight="1" x14ac:dyDescent="0.2">
      <c r="A15" s="31">
        <v>1</v>
      </c>
      <c r="B15" s="13" t="s">
        <v>167</v>
      </c>
      <c r="C15" s="17"/>
      <c r="D15" s="13" t="s">
        <v>38</v>
      </c>
      <c r="E15" s="13"/>
      <c r="F15" s="13"/>
      <c r="G15" s="19">
        <v>41.12</v>
      </c>
      <c r="H15" s="20">
        <f t="shared" ref="H15" si="0">A15*G15</f>
        <v>41.12</v>
      </c>
      <c r="I15" s="13"/>
    </row>
    <row r="16" spans="1:9" s="2" customFormat="1" ht="15.6" customHeight="1" x14ac:dyDescent="0.2">
      <c r="A16" s="31"/>
      <c r="B16" s="13"/>
      <c r="C16" s="13"/>
      <c r="D16" s="13"/>
      <c r="E16" s="13"/>
      <c r="F16" s="13"/>
      <c r="G16" s="64"/>
      <c r="H16" s="20"/>
      <c r="I16" s="13"/>
    </row>
    <row r="17" spans="1:15" s="14" customFormat="1" ht="15.6" customHeight="1" x14ac:dyDescent="0.2">
      <c r="A17" s="31"/>
      <c r="B17" s="17"/>
      <c r="C17" s="17"/>
      <c r="D17" s="13"/>
      <c r="E17" s="13"/>
      <c r="F17" s="13"/>
      <c r="G17" s="19"/>
      <c r="H17" s="20"/>
      <c r="I17" s="13"/>
    </row>
    <row r="18" spans="1:15" s="2" customFormat="1" ht="20.25" customHeight="1" x14ac:dyDescent="0.2">
      <c r="A18" s="31"/>
      <c r="B18" s="13"/>
      <c r="C18" s="13"/>
      <c r="D18" s="13"/>
      <c r="E18" s="13"/>
      <c r="F18" s="13"/>
      <c r="G18" s="64"/>
      <c r="H18" s="20"/>
      <c r="I18" s="13"/>
    </row>
    <row r="19" spans="1:15" s="2" customFormat="1" ht="20.25" customHeight="1" x14ac:dyDescent="0.2">
      <c r="A19" s="31"/>
      <c r="B19" s="13"/>
      <c r="C19" s="13"/>
      <c r="D19" s="13"/>
      <c r="E19" s="13"/>
      <c r="F19" s="13"/>
      <c r="G19" s="20"/>
      <c r="H19" s="20"/>
      <c r="I19" s="13"/>
    </row>
    <row r="20" spans="1:15" s="14" customFormat="1" ht="22.5" customHeight="1" x14ac:dyDescent="0.35">
      <c r="A20" s="31"/>
      <c r="B20" s="17"/>
      <c r="C20" s="17"/>
      <c r="D20" s="72" t="s">
        <v>101</v>
      </c>
      <c r="E20" s="13"/>
      <c r="F20" s="13"/>
      <c r="G20" s="19"/>
      <c r="H20" s="20"/>
      <c r="I20" s="13"/>
    </row>
    <row r="21" spans="1:15" s="2" customFormat="1" ht="7.5" customHeight="1" thickBot="1" x14ac:dyDescent="0.25">
      <c r="A21" s="31"/>
      <c r="B21" s="13"/>
      <c r="C21" s="13"/>
      <c r="D21" s="13"/>
      <c r="E21" s="13"/>
      <c r="F21" s="13"/>
      <c r="G21" s="20"/>
      <c r="H21" s="20"/>
      <c r="I21" s="13"/>
    </row>
    <row r="22" spans="1:15" s="14" customFormat="1" ht="15.6" customHeight="1" x14ac:dyDescent="0.25">
      <c r="A22" s="31"/>
      <c r="B22" s="17"/>
      <c r="C22" s="17"/>
      <c r="D22" s="49"/>
      <c r="E22" s="13"/>
      <c r="F22" s="13"/>
      <c r="G22" s="19"/>
      <c r="H22" s="20"/>
      <c r="I22" s="13"/>
    </row>
    <row r="23" spans="1:15" s="14" customFormat="1" ht="15.6" customHeight="1" x14ac:dyDescent="0.25">
      <c r="A23" s="31"/>
      <c r="B23" s="17"/>
      <c r="C23" s="17"/>
      <c r="D23" s="50" t="s">
        <v>162</v>
      </c>
      <c r="E23" s="13"/>
      <c r="F23" s="13"/>
      <c r="G23" s="19"/>
      <c r="H23" s="20"/>
      <c r="I23" s="13"/>
    </row>
    <row r="24" spans="1:15" s="14" customFormat="1" ht="15.6" customHeight="1" x14ac:dyDescent="0.25">
      <c r="A24" s="31"/>
      <c r="B24" s="17"/>
      <c r="C24" s="17"/>
      <c r="D24" s="50"/>
      <c r="E24" s="13"/>
      <c r="F24" s="13"/>
      <c r="G24" s="19"/>
      <c r="H24" s="20"/>
      <c r="I24" s="13"/>
    </row>
    <row r="25" spans="1:15" s="14" customFormat="1" ht="16.5" customHeight="1" x14ac:dyDescent="0.25">
      <c r="A25" s="31"/>
      <c r="B25" s="17"/>
      <c r="C25" s="17"/>
      <c r="D25" s="50" t="s">
        <v>163</v>
      </c>
      <c r="E25" s="13"/>
      <c r="F25" s="13"/>
      <c r="G25" s="19"/>
      <c r="H25" s="20"/>
      <c r="I25" s="13"/>
    </row>
    <row r="26" spans="1:15" s="14" customFormat="1" ht="15.6" customHeight="1" x14ac:dyDescent="0.25">
      <c r="A26" s="31"/>
      <c r="B26" s="17"/>
      <c r="C26" s="17"/>
      <c r="D26" s="50" t="s">
        <v>164</v>
      </c>
      <c r="E26" s="13"/>
      <c r="F26" s="13"/>
      <c r="G26" s="19"/>
      <c r="H26" s="20"/>
      <c r="I26" s="13"/>
    </row>
    <row r="27" spans="1:15" s="14" customFormat="1" ht="8.25" customHeight="1" x14ac:dyDescent="0.25">
      <c r="A27" s="31"/>
      <c r="B27" s="17"/>
      <c r="C27" s="17"/>
      <c r="D27" s="50"/>
      <c r="E27" s="13"/>
      <c r="F27" s="13"/>
      <c r="G27" s="19"/>
      <c r="H27" s="20"/>
      <c r="I27" s="13"/>
    </row>
    <row r="28" spans="1:15" s="14" customFormat="1" ht="15.6" customHeight="1" x14ac:dyDescent="0.25">
      <c r="A28" s="31"/>
      <c r="B28" s="17"/>
      <c r="C28" s="17"/>
      <c r="D28" s="50" t="s">
        <v>165</v>
      </c>
      <c r="E28" s="13"/>
      <c r="F28" s="13"/>
      <c r="G28" s="19"/>
      <c r="H28" s="20"/>
      <c r="I28" s="13"/>
    </row>
    <row r="29" spans="1:15" s="14" customFormat="1" ht="6.75" customHeight="1" x14ac:dyDescent="0.25">
      <c r="A29" s="31"/>
      <c r="B29" s="17"/>
      <c r="C29" s="17"/>
      <c r="D29" s="50"/>
      <c r="E29" s="13"/>
      <c r="F29" s="13"/>
      <c r="G29" s="19"/>
      <c r="H29" s="20"/>
      <c r="I29" s="13"/>
    </row>
    <row r="30" spans="1:15" s="14" customFormat="1" ht="15.6" customHeight="1" x14ac:dyDescent="0.25">
      <c r="A30" s="31"/>
      <c r="B30" s="17"/>
      <c r="C30" s="17"/>
      <c r="D30" s="50" t="s">
        <v>166</v>
      </c>
      <c r="E30" s="13"/>
      <c r="F30" s="13"/>
      <c r="G30" s="19"/>
      <c r="H30" s="20"/>
      <c r="I30" s="13"/>
    </row>
    <row r="31" spans="1:15" s="14" customFormat="1" ht="15.6" customHeight="1" thickBot="1" x14ac:dyDescent="0.3">
      <c r="A31" s="31"/>
      <c r="B31" s="17"/>
      <c r="C31" s="17"/>
      <c r="D31" s="71"/>
      <c r="E31" s="13"/>
      <c r="F31" s="13"/>
      <c r="G31" s="19"/>
      <c r="H31" s="20"/>
      <c r="I31" s="13"/>
    </row>
    <row r="32" spans="1:15" ht="13.7" customHeight="1" x14ac:dyDescent="0.2">
      <c r="A32" s="44"/>
      <c r="B32" s="15"/>
      <c r="C32" s="15"/>
      <c r="D32" s="15"/>
      <c r="E32" s="15"/>
      <c r="F32" s="15"/>
      <c r="G32" s="15"/>
      <c r="H32" s="20"/>
      <c r="I32" s="33"/>
      <c r="J32" s="34"/>
      <c r="K32" s="35"/>
      <c r="L32" s="36"/>
      <c r="M32" s="37"/>
      <c r="N32" s="36"/>
      <c r="O32" s="36"/>
    </row>
    <row r="33" spans="1:9" s="14" customFormat="1" ht="15.75" customHeight="1" x14ac:dyDescent="0.2">
      <c r="A33" s="31"/>
      <c r="B33" s="17"/>
      <c r="C33" s="17"/>
      <c r="D33" s="32"/>
      <c r="E33" s="13"/>
      <c r="F33" s="13"/>
      <c r="G33" s="19"/>
      <c r="H33" s="20"/>
      <c r="I33" s="13"/>
    </row>
    <row r="34" spans="1:9" s="14" customFormat="1" ht="15.75" customHeight="1" x14ac:dyDescent="0.2">
      <c r="A34" s="31"/>
      <c r="B34" s="17"/>
      <c r="C34" s="17"/>
      <c r="D34" s="32" t="s">
        <v>112</v>
      </c>
      <c r="E34" s="13"/>
      <c r="F34" s="13"/>
      <c r="G34" s="19"/>
      <c r="H34" s="20"/>
      <c r="I34" s="13"/>
    </row>
    <row r="35" spans="1:9" s="2" customFormat="1" ht="15.6" customHeight="1" x14ac:dyDescent="0.25">
      <c r="A35" s="27"/>
      <c r="B35" s="17"/>
      <c r="C35" s="17"/>
      <c r="D35" s="13"/>
      <c r="E35" s="13"/>
      <c r="F35" s="13"/>
      <c r="G35" s="20"/>
      <c r="H35" s="20"/>
      <c r="I35" s="13"/>
    </row>
    <row r="36" spans="1:9" s="2" customFormat="1" ht="15.6" customHeight="1" x14ac:dyDescent="0.25">
      <c r="A36" s="27"/>
      <c r="B36" s="13"/>
      <c r="C36" s="13"/>
      <c r="D36" s="13"/>
      <c r="E36" s="13"/>
      <c r="F36" s="13"/>
      <c r="G36" s="20"/>
      <c r="H36" s="20"/>
      <c r="I36" s="13"/>
    </row>
    <row r="37" spans="1:9" x14ac:dyDescent="0.2">
      <c r="G37"/>
    </row>
    <row r="38" spans="1:9" s="2" customFormat="1" ht="11.25" customHeight="1" thickBot="1" x14ac:dyDescent="0.3">
      <c r="A38" s="40"/>
      <c r="B38" s="15"/>
      <c r="C38" s="15"/>
      <c r="D38" s="13"/>
      <c r="E38" s="13"/>
      <c r="F38" s="13"/>
      <c r="G38" s="25"/>
      <c r="H38" s="20"/>
      <c r="I38" s="13"/>
    </row>
    <row r="39" spans="1:9" s="7" customFormat="1" ht="18.75" thickBot="1" x14ac:dyDescent="0.3">
      <c r="A39" s="41"/>
      <c r="D39" s="12"/>
      <c r="E39" s="12"/>
      <c r="F39" s="10"/>
      <c r="G39" s="26"/>
      <c r="H39" s="29">
        <f>SUM(H14:H38)</f>
        <v>41.12</v>
      </c>
    </row>
    <row r="40" spans="1:9" s="10" customFormat="1" x14ac:dyDescent="0.2">
      <c r="A40" s="33"/>
    </row>
    <row r="41" spans="1:9" x14ac:dyDescent="0.2">
      <c r="G41"/>
    </row>
    <row r="42" spans="1:9" x14ac:dyDescent="0.2">
      <c r="G42"/>
    </row>
    <row r="44" spans="1:9" x14ac:dyDescent="0.2">
      <c r="G44"/>
    </row>
    <row r="45" spans="1:9" x14ac:dyDescent="0.2">
      <c r="G45"/>
    </row>
    <row r="46" spans="1:9" x14ac:dyDescent="0.2">
      <c r="G46"/>
    </row>
    <row r="47" spans="1:9" x14ac:dyDescent="0.2">
      <c r="G47"/>
    </row>
    <row r="48" spans="1:9" x14ac:dyDescent="0.2">
      <c r="G48"/>
    </row>
    <row r="49" spans="7:7" x14ac:dyDescent="0.2">
      <c r="G49"/>
    </row>
    <row r="50" spans="7:7" x14ac:dyDescent="0.2">
      <c r="G50"/>
    </row>
    <row r="51" spans="7:7" x14ac:dyDescent="0.2">
      <c r="G51"/>
    </row>
    <row r="52" spans="7:7" x14ac:dyDescent="0.2">
      <c r="G52"/>
    </row>
    <row r="53" spans="7:7" x14ac:dyDescent="0.2">
      <c r="G53"/>
    </row>
    <row r="54" spans="7:7" x14ac:dyDescent="0.2">
      <c r="G54"/>
    </row>
    <row r="55" spans="7:7" x14ac:dyDescent="0.2">
      <c r="G55"/>
    </row>
    <row r="56" spans="7:7" x14ac:dyDescent="0.2">
      <c r="G56"/>
    </row>
    <row r="57" spans="7:7" x14ac:dyDescent="0.2">
      <c r="G57"/>
    </row>
    <row r="58" spans="7:7" x14ac:dyDescent="0.2">
      <c r="G58"/>
    </row>
    <row r="59" spans="7:7" x14ac:dyDescent="0.2">
      <c r="G59"/>
    </row>
  </sheetData>
  <mergeCells count="1">
    <mergeCell ref="G2:H2"/>
  </mergeCells>
  <hyperlinks>
    <hyperlink ref="D8" r:id="rId1" display="orderentry@ritemade.com" xr:uid="{3342BA8D-6861-4FE2-81BD-11B9C64D8E00}"/>
    <hyperlink ref="D9" r:id="rId2" display="orderentry@ritemade.com" xr:uid="{6820043A-B815-4F34-A54C-1433E7CDB6F2}"/>
  </hyperlinks>
  <pageMargins left="0.2" right="0.2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9"/>
  <sheetViews>
    <sheetView tabSelected="1" zoomScaleNormal="100" workbookViewId="0">
      <selection activeCell="G4" sqref="G4"/>
    </sheetView>
  </sheetViews>
  <sheetFormatPr defaultRowHeight="12.75" x14ac:dyDescent="0.2"/>
  <cols>
    <col min="1" max="1" width="6.140625" style="38" customWidth="1"/>
    <col min="2" max="2" width="10.28515625" customWidth="1"/>
    <col min="3" max="3" width="12.5703125" customWidth="1"/>
    <col min="4" max="4" width="26.7109375" customWidth="1"/>
    <col min="5" max="5" width="6.28515625" customWidth="1"/>
    <col min="6" max="6" width="7.28515625" customWidth="1"/>
    <col min="7" max="7" width="9.7109375" style="21" customWidth="1"/>
    <col min="8" max="8" width="17.28515625" customWidth="1"/>
  </cols>
  <sheetData>
    <row r="1" spans="1:9" ht="33" customHeight="1" x14ac:dyDescent="0.4">
      <c r="A1"/>
      <c r="B1" s="1" t="s">
        <v>116</v>
      </c>
      <c r="C1" s="1"/>
      <c r="D1" s="1"/>
      <c r="G1"/>
    </row>
    <row r="2" spans="1:9" ht="33" customHeight="1" thickBot="1" x14ac:dyDescent="0.45">
      <c r="A2"/>
      <c r="B2" s="1"/>
      <c r="C2" s="1"/>
      <c r="D2" s="1"/>
      <c r="F2" t="s">
        <v>3</v>
      </c>
      <c r="G2" s="73">
        <v>45441</v>
      </c>
      <c r="H2" s="74"/>
    </row>
    <row r="3" spans="1:9" ht="22.5" customHeight="1" thickBot="1" x14ac:dyDescent="0.45">
      <c r="B3" s="1"/>
      <c r="C3" s="1"/>
      <c r="D3" s="1"/>
      <c r="F3" s="47" t="s">
        <v>117</v>
      </c>
      <c r="G3" s="67">
        <v>4052901</v>
      </c>
    </row>
    <row r="4" spans="1:9" ht="11.25" customHeight="1" x14ac:dyDescent="0.4">
      <c r="A4"/>
      <c r="B4" s="1"/>
      <c r="C4" s="1"/>
      <c r="D4" s="1"/>
      <c r="G4"/>
    </row>
    <row r="5" spans="1:9" s="56" customFormat="1" ht="20.25" x14ac:dyDescent="0.3">
      <c r="A5" s="55"/>
      <c r="B5" s="11" t="s">
        <v>118</v>
      </c>
      <c r="C5" s="11"/>
      <c r="D5" s="57" t="s">
        <v>119</v>
      </c>
      <c r="E5" s="4" t="s">
        <v>120</v>
      </c>
      <c r="G5" s="68" t="s">
        <v>121</v>
      </c>
      <c r="H5" s="57"/>
    </row>
    <row r="6" spans="1:9" x14ac:dyDescent="0.2">
      <c r="D6" s="47" t="s">
        <v>124</v>
      </c>
      <c r="G6" s="69" t="s">
        <v>138</v>
      </c>
      <c r="H6" s="2"/>
    </row>
    <row r="7" spans="1:9" x14ac:dyDescent="0.2">
      <c r="D7" s="47" t="s">
        <v>125</v>
      </c>
      <c r="G7" s="18" t="s">
        <v>122</v>
      </c>
      <c r="H7" s="2"/>
    </row>
    <row r="8" spans="1:9" x14ac:dyDescent="0.2">
      <c r="D8" s="30" t="s">
        <v>127</v>
      </c>
      <c r="G8" s="47" t="s">
        <v>123</v>
      </c>
    </row>
    <row r="9" spans="1:9" ht="15.75" customHeight="1" x14ac:dyDescent="0.2">
      <c r="A9" s="48"/>
      <c r="D9" s="30" t="s">
        <v>113</v>
      </c>
      <c r="G9" s="53" t="s">
        <v>15</v>
      </c>
    </row>
    <row r="10" spans="1:9" ht="15.75" x14ac:dyDescent="0.25">
      <c r="B10" s="2"/>
      <c r="C10" s="2"/>
      <c r="D10" s="47" t="s">
        <v>126</v>
      </c>
      <c r="E10" s="12"/>
    </row>
    <row r="11" spans="1:9" ht="9" customHeight="1" x14ac:dyDescent="0.25">
      <c r="B11" s="2"/>
      <c r="C11" s="2"/>
      <c r="D11" s="4"/>
      <c r="E11" s="11"/>
    </row>
    <row r="12" spans="1:9" s="8" customFormat="1" ht="14.25" customHeight="1" x14ac:dyDescent="0.2">
      <c r="A12" s="39" t="s">
        <v>20</v>
      </c>
      <c r="B12" s="9" t="s">
        <v>133</v>
      </c>
      <c r="C12" s="9"/>
      <c r="D12" s="39" t="s">
        <v>134</v>
      </c>
      <c r="E12" s="9"/>
      <c r="F12" s="9"/>
      <c r="G12" s="23" t="s">
        <v>24</v>
      </c>
      <c r="H12" s="9" t="s">
        <v>25</v>
      </c>
    </row>
    <row r="13" spans="1:9" s="2" customFormat="1" ht="9.75" customHeight="1" x14ac:dyDescent="0.25">
      <c r="A13" s="27"/>
      <c r="B13" s="13"/>
      <c r="C13" s="13"/>
      <c r="D13" s="13"/>
      <c r="E13" s="13"/>
      <c r="F13" s="13"/>
      <c r="G13" s="65"/>
      <c r="H13" s="16"/>
      <c r="I13" s="13"/>
    </row>
    <row r="14" spans="1:9" s="2" customFormat="1" ht="15.6" customHeight="1" x14ac:dyDescent="0.2">
      <c r="A14" s="43" t="s">
        <v>88</v>
      </c>
      <c r="B14" s="42"/>
      <c r="C14" s="13"/>
      <c r="D14" s="13"/>
      <c r="E14" s="13"/>
      <c r="F14" s="13"/>
      <c r="G14" s="64"/>
      <c r="H14" s="20"/>
      <c r="I14" s="13"/>
    </row>
    <row r="15" spans="1:9" s="2" customFormat="1" ht="15.6" customHeight="1" x14ac:dyDescent="0.2">
      <c r="A15" s="31">
        <v>50</v>
      </c>
      <c r="B15" s="13" t="s">
        <v>158</v>
      </c>
      <c r="C15" s="13" t="s">
        <v>154</v>
      </c>
      <c r="D15" s="13" t="s">
        <v>155</v>
      </c>
      <c r="E15" s="13">
        <v>50</v>
      </c>
      <c r="F15" s="13">
        <v>230</v>
      </c>
      <c r="G15" s="64">
        <v>56.44</v>
      </c>
      <c r="H15" s="20">
        <f t="shared" ref="H15" si="0">A15*G15</f>
        <v>2822</v>
      </c>
      <c r="I15" s="13"/>
    </row>
    <row r="16" spans="1:9" s="2" customFormat="1" ht="9.75" customHeight="1" x14ac:dyDescent="0.25">
      <c r="A16" s="27"/>
      <c r="B16" s="13"/>
      <c r="C16" s="13"/>
      <c r="D16" s="66"/>
      <c r="E16" s="13"/>
      <c r="F16" s="13"/>
      <c r="G16" s="65"/>
      <c r="H16" s="16"/>
      <c r="I16" s="13"/>
    </row>
    <row r="17" spans="1:15" s="2" customFormat="1" ht="15.6" customHeight="1" x14ac:dyDescent="0.2">
      <c r="A17" s="43" t="s">
        <v>100</v>
      </c>
      <c r="B17" s="42"/>
      <c r="C17" s="13"/>
      <c r="D17" s="13"/>
      <c r="E17" s="13"/>
      <c r="F17" s="13"/>
      <c r="G17" s="64"/>
      <c r="H17" s="20"/>
      <c r="I17" s="13"/>
    </row>
    <row r="18" spans="1:15" s="2" customFormat="1" ht="15.6" customHeight="1" x14ac:dyDescent="0.2">
      <c r="A18" s="31">
        <v>50</v>
      </c>
      <c r="B18" s="13" t="s">
        <v>158</v>
      </c>
      <c r="C18" s="13" t="s">
        <v>154</v>
      </c>
      <c r="D18" s="13" t="s">
        <v>155</v>
      </c>
      <c r="E18" s="13">
        <v>50</v>
      </c>
      <c r="F18" s="13">
        <v>230</v>
      </c>
      <c r="G18" s="64">
        <v>56.44</v>
      </c>
      <c r="H18" s="20">
        <f t="shared" ref="H18" si="1">A18*G18</f>
        <v>2822</v>
      </c>
      <c r="I18" s="13"/>
    </row>
    <row r="19" spans="1:15" s="2" customFormat="1" ht="12" customHeight="1" x14ac:dyDescent="0.25">
      <c r="A19" s="27"/>
      <c r="B19" s="13"/>
      <c r="C19" s="13"/>
      <c r="D19" s="66"/>
      <c r="E19" s="13"/>
      <c r="F19" s="13"/>
      <c r="G19" s="65"/>
      <c r="H19" s="16"/>
      <c r="I19" s="13"/>
    </row>
    <row r="20" spans="1:15" s="2" customFormat="1" ht="15.6" customHeight="1" x14ac:dyDescent="0.2">
      <c r="A20" s="43" t="s">
        <v>150</v>
      </c>
      <c r="B20" s="42"/>
      <c r="C20" s="13"/>
      <c r="D20" s="13"/>
      <c r="E20" s="13"/>
      <c r="F20" s="13"/>
      <c r="G20" s="64"/>
      <c r="H20" s="20"/>
      <c r="I20" s="13"/>
    </row>
    <row r="21" spans="1:15" s="2" customFormat="1" ht="12.75" customHeight="1" x14ac:dyDescent="0.2">
      <c r="A21" s="31"/>
      <c r="B21" s="13"/>
      <c r="C21" s="13"/>
      <c r="D21" s="13"/>
      <c r="E21" s="13"/>
      <c r="F21" s="13"/>
      <c r="G21" s="64"/>
      <c r="H21" s="20"/>
      <c r="I21" s="13"/>
    </row>
    <row r="22" spans="1:15" s="2" customFormat="1" ht="15.6" customHeight="1" x14ac:dyDescent="0.2">
      <c r="A22" s="31">
        <v>50</v>
      </c>
      <c r="B22" s="13" t="s">
        <v>158</v>
      </c>
      <c r="C22" s="13" t="s">
        <v>154</v>
      </c>
      <c r="D22" s="13" t="s">
        <v>155</v>
      </c>
      <c r="E22" s="13">
        <v>50</v>
      </c>
      <c r="F22" s="13">
        <v>230</v>
      </c>
      <c r="G22" s="64">
        <v>56.44</v>
      </c>
      <c r="H22" s="20">
        <f t="shared" ref="H22" si="2">A22*G22</f>
        <v>2822</v>
      </c>
      <c r="I22" s="13"/>
    </row>
    <row r="23" spans="1:15" s="2" customFormat="1" ht="15.6" customHeight="1" x14ac:dyDescent="0.2">
      <c r="A23" s="31"/>
      <c r="B23" s="13"/>
      <c r="C23" s="13"/>
      <c r="D23" s="13"/>
      <c r="E23" s="13"/>
      <c r="F23" s="13"/>
      <c r="G23" s="64"/>
      <c r="H23" s="20"/>
      <c r="I23" s="13"/>
    </row>
    <row r="24" spans="1:15" s="2" customFormat="1" ht="15.6" customHeight="1" x14ac:dyDescent="0.2">
      <c r="A24" s="43" t="s">
        <v>151</v>
      </c>
      <c r="B24" s="42"/>
      <c r="C24" s="13"/>
      <c r="D24" s="66"/>
      <c r="E24" s="13"/>
      <c r="F24" s="13"/>
      <c r="G24" s="64"/>
      <c r="H24" s="20"/>
      <c r="I24" s="13"/>
    </row>
    <row r="25" spans="1:15" s="2" customFormat="1" ht="11.25" customHeight="1" x14ac:dyDescent="0.2">
      <c r="A25" s="31"/>
      <c r="B25" s="13"/>
      <c r="C25" s="13"/>
      <c r="D25" s="13"/>
      <c r="E25" s="13"/>
      <c r="F25" s="13"/>
      <c r="G25" s="64"/>
      <c r="H25" s="20"/>
      <c r="I25" s="13"/>
    </row>
    <row r="26" spans="1:15" s="14" customFormat="1" ht="15.6" customHeight="1" x14ac:dyDescent="0.2">
      <c r="A26" s="31">
        <v>20</v>
      </c>
      <c r="B26" s="17" t="s">
        <v>32</v>
      </c>
      <c r="C26" s="13" t="s">
        <v>147</v>
      </c>
      <c r="D26" s="13" t="s">
        <v>33</v>
      </c>
      <c r="E26" s="13">
        <v>50</v>
      </c>
      <c r="F26" s="13">
        <v>165</v>
      </c>
      <c r="G26" s="19">
        <v>33.950000000000003</v>
      </c>
      <c r="H26" s="20">
        <f t="shared" ref="H26" si="3">A26*G26</f>
        <v>679</v>
      </c>
      <c r="I26" s="13"/>
    </row>
    <row r="27" spans="1:15" s="2" customFormat="1" ht="12.75" customHeight="1" x14ac:dyDescent="0.2">
      <c r="A27" s="31">
        <v>5</v>
      </c>
      <c r="B27" s="13" t="s">
        <v>81</v>
      </c>
      <c r="C27" s="13" t="s">
        <v>146</v>
      </c>
      <c r="D27" s="13" t="s">
        <v>69</v>
      </c>
      <c r="E27" s="13">
        <v>50</v>
      </c>
      <c r="F27" s="13">
        <v>273</v>
      </c>
      <c r="G27" s="64">
        <v>63.5</v>
      </c>
      <c r="H27" s="20">
        <f t="shared" ref="H27" si="4">A27*G27</f>
        <v>317.5</v>
      </c>
      <c r="I27" s="13"/>
    </row>
    <row r="28" spans="1:15" ht="13.7" customHeight="1" x14ac:dyDescent="0.2">
      <c r="A28" s="44">
        <v>10</v>
      </c>
      <c r="B28" s="63" t="s">
        <v>153</v>
      </c>
      <c r="C28" s="63" t="s">
        <v>135</v>
      </c>
      <c r="D28" s="15" t="s">
        <v>98</v>
      </c>
      <c r="E28" s="15">
        <v>50</v>
      </c>
      <c r="F28" s="15">
        <v>74</v>
      </c>
      <c r="G28" s="15">
        <v>19.63</v>
      </c>
      <c r="H28" s="20">
        <f>A28*G28</f>
        <v>196.29999999999998</v>
      </c>
      <c r="I28" s="33"/>
      <c r="J28" s="34"/>
      <c r="K28" s="35"/>
      <c r="L28" s="36"/>
      <c r="M28" s="37"/>
      <c r="N28" s="36"/>
      <c r="O28" s="36"/>
    </row>
    <row r="29" spans="1:15" s="2" customFormat="1" ht="15.6" customHeight="1" x14ac:dyDescent="0.2">
      <c r="A29" s="31">
        <v>15</v>
      </c>
      <c r="B29" s="13" t="s">
        <v>34</v>
      </c>
      <c r="C29" s="13" t="s">
        <v>144</v>
      </c>
      <c r="D29" s="13" t="s">
        <v>35</v>
      </c>
      <c r="E29" s="13">
        <v>50</v>
      </c>
      <c r="F29" s="13">
        <v>90</v>
      </c>
      <c r="G29" s="64">
        <v>38.57</v>
      </c>
      <c r="H29" s="20">
        <f>A29*G29</f>
        <v>578.54999999999995</v>
      </c>
      <c r="I29" s="13"/>
    </row>
    <row r="30" spans="1:15" s="2" customFormat="1" ht="15.6" customHeight="1" x14ac:dyDescent="0.2">
      <c r="A30" s="31"/>
      <c r="B30" s="13"/>
      <c r="C30" s="13"/>
      <c r="D30" s="13"/>
      <c r="E30" s="13"/>
      <c r="F30" s="13"/>
      <c r="G30" s="64"/>
      <c r="H30" s="20"/>
      <c r="I30" s="13"/>
    </row>
    <row r="31" spans="1:15" s="2" customFormat="1" ht="15.6" customHeight="1" x14ac:dyDescent="0.25">
      <c r="A31" s="27">
        <f>SUM(A15:A29)</f>
        <v>200</v>
      </c>
      <c r="B31" s="17"/>
      <c r="C31" s="17"/>
      <c r="D31" s="13" t="s">
        <v>91</v>
      </c>
      <c r="E31" s="13"/>
      <c r="F31" s="13"/>
      <c r="G31" s="64"/>
      <c r="H31" s="20"/>
      <c r="I31" s="13"/>
      <c r="M31" s="14"/>
    </row>
    <row r="32" spans="1:15" s="2" customFormat="1" ht="11.25" customHeight="1" x14ac:dyDescent="0.25">
      <c r="A32" s="40"/>
      <c r="B32" s="15"/>
      <c r="C32" s="15"/>
      <c r="D32" s="13"/>
      <c r="E32" s="13"/>
      <c r="F32" s="13"/>
      <c r="G32" s="25"/>
      <c r="H32" s="20"/>
      <c r="I32" s="13"/>
      <c r="M32"/>
    </row>
    <row r="33" spans="1:13" s="7" customFormat="1" ht="18" x14ac:dyDescent="0.25">
      <c r="A33" s="41"/>
      <c r="B33" s="54"/>
      <c r="C33" s="54"/>
      <c r="D33" s="51"/>
      <c r="E33" s="51"/>
      <c r="F33" s="75" t="s">
        <v>128</v>
      </c>
      <c r="G33" s="74"/>
      <c r="H33" s="58">
        <f>SUM(H13:H32)</f>
        <v>10237.349999999999</v>
      </c>
      <c r="M33" s="2"/>
    </row>
    <row r="34" spans="1:13" s="7" customFormat="1" ht="18" x14ac:dyDescent="0.25">
      <c r="A34" s="60"/>
      <c r="B34" s="2"/>
      <c r="C34" s="2"/>
      <c r="D34" s="2"/>
      <c r="E34" s="51"/>
      <c r="F34" s="75" t="s">
        <v>129</v>
      </c>
      <c r="G34" s="74"/>
      <c r="H34" s="58"/>
      <c r="M34" s="2"/>
    </row>
    <row r="35" spans="1:13" s="7" customFormat="1" ht="18" x14ac:dyDescent="0.25">
      <c r="A35" s="60"/>
      <c r="B35" s="2"/>
      <c r="C35" s="2"/>
      <c r="D35" s="2"/>
      <c r="E35" s="51"/>
      <c r="F35" s="75" t="s">
        <v>130</v>
      </c>
      <c r="G35" s="74"/>
      <c r="H35" s="62">
        <f>SUM(H33:H34)</f>
        <v>10237.349999999999</v>
      </c>
      <c r="M35" s="2"/>
    </row>
    <row r="36" spans="1:13" s="45" customFormat="1" x14ac:dyDescent="0.2">
      <c r="A36" s="61"/>
      <c r="B36" s="8"/>
      <c r="C36" s="8"/>
      <c r="D36" s="8"/>
    </row>
    <row r="37" spans="1:13" s="7" customFormat="1" ht="18" x14ac:dyDescent="0.25">
      <c r="A37" s="41"/>
      <c r="B37" s="8"/>
      <c r="C37" s="8"/>
      <c r="D37" s="45"/>
      <c r="M37" s="2"/>
    </row>
    <row r="38" spans="1:13" x14ac:dyDescent="0.2">
      <c r="G38"/>
    </row>
    <row r="39" spans="1:13" ht="13.5" thickBot="1" x14ac:dyDescent="0.25">
      <c r="E39" s="59"/>
      <c r="F39" s="59"/>
      <c r="G39" s="59"/>
      <c r="H39" s="59"/>
    </row>
    <row r="40" spans="1:13" ht="15" x14ac:dyDescent="0.2">
      <c r="E40" s="54" t="s">
        <v>131</v>
      </c>
      <c r="F40" s="54"/>
      <c r="G40" s="70"/>
      <c r="H40" s="58" t="s">
        <v>132</v>
      </c>
    </row>
    <row r="41" spans="1:13" x14ac:dyDescent="0.2">
      <c r="G41"/>
    </row>
    <row r="42" spans="1:13" x14ac:dyDescent="0.2">
      <c r="G42"/>
    </row>
    <row r="43" spans="1:13" x14ac:dyDescent="0.2">
      <c r="G43"/>
    </row>
    <row r="44" spans="1:13" x14ac:dyDescent="0.2">
      <c r="G44"/>
    </row>
    <row r="45" spans="1:13" x14ac:dyDescent="0.2">
      <c r="G45"/>
    </row>
    <row r="46" spans="1:13" x14ac:dyDescent="0.2">
      <c r="G46"/>
    </row>
    <row r="47" spans="1:13" x14ac:dyDescent="0.2">
      <c r="G47"/>
    </row>
    <row r="48" spans="1:13" x14ac:dyDescent="0.2">
      <c r="G48"/>
    </row>
    <row r="49" spans="7:7" x14ac:dyDescent="0.2">
      <c r="G49"/>
    </row>
  </sheetData>
  <mergeCells count="4">
    <mergeCell ref="G2:H2"/>
    <mergeCell ref="F33:G33"/>
    <mergeCell ref="F34:G34"/>
    <mergeCell ref="F35:G35"/>
  </mergeCells>
  <phoneticPr fontId="0" type="noConversion"/>
  <hyperlinks>
    <hyperlink ref="D8" r:id="rId1" display="orderentry@ritemade.com" xr:uid="{00000000-0004-0000-0200-000000000000}"/>
    <hyperlink ref="D9" r:id="rId2" display="orderentry@ritemade.com" xr:uid="{7464B411-7848-4512-B848-6D936201E859}"/>
  </hyperlinks>
  <pageMargins left="0.43" right="0.38" top="0.37" bottom="0.19" header="0.37" footer="0.19"/>
  <pageSetup orientation="portrait" r:id="rId3"/>
  <headerFooter alignWithMargins="0">
    <oddFooter>Page &amp;P</oddFoot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1"/>
  <sheetViews>
    <sheetView workbookViewId="0">
      <selection activeCell="G32" sqref="G32"/>
    </sheetView>
  </sheetViews>
  <sheetFormatPr defaultRowHeight="12.75" x14ac:dyDescent="0.2"/>
  <cols>
    <col min="1" max="1" width="4.85546875" customWidth="1"/>
    <col min="2" max="2" width="12.140625" customWidth="1"/>
    <col min="3" max="3" width="11.28515625" customWidth="1"/>
    <col min="4" max="4" width="31.5703125" customWidth="1"/>
    <col min="5" max="5" width="7.28515625" customWidth="1"/>
    <col min="6" max="6" width="7.140625" customWidth="1"/>
    <col min="7" max="7" width="9.7109375" style="21" customWidth="1"/>
    <col min="8" max="8" width="11.5703125" customWidth="1"/>
  </cols>
  <sheetData>
    <row r="1" spans="1:15" s="14" customFormat="1" ht="15.6" customHeight="1" x14ac:dyDescent="0.2">
      <c r="A1" s="31"/>
      <c r="B1" s="17" t="s">
        <v>47</v>
      </c>
      <c r="C1" s="13" t="s">
        <v>145</v>
      </c>
      <c r="D1" s="32">
        <v>2.25</v>
      </c>
      <c r="E1" s="13">
        <v>100</v>
      </c>
      <c r="F1" s="13">
        <v>150</v>
      </c>
      <c r="G1" s="19">
        <v>48.91</v>
      </c>
      <c r="H1" s="20">
        <f t="shared" ref="H1:H38" si="0">A1*G1</f>
        <v>0</v>
      </c>
      <c r="I1" s="13"/>
    </row>
    <row r="2" spans="1:15" s="14" customFormat="1" ht="15.6" customHeight="1" x14ac:dyDescent="0.2">
      <c r="A2" s="31">
        <v>2</v>
      </c>
      <c r="B2" s="17" t="s">
        <v>48</v>
      </c>
      <c r="C2" s="13" t="s">
        <v>168</v>
      </c>
      <c r="D2" s="32">
        <v>2.75</v>
      </c>
      <c r="E2" s="13">
        <v>50</v>
      </c>
      <c r="F2" s="13">
        <v>150</v>
      </c>
      <c r="G2" s="19">
        <v>36.53</v>
      </c>
      <c r="H2" s="20">
        <f t="shared" si="0"/>
        <v>73.06</v>
      </c>
      <c r="I2" s="13"/>
    </row>
    <row r="3" spans="1:15" s="14" customFormat="1" ht="15.6" customHeight="1" x14ac:dyDescent="0.2">
      <c r="A3" s="31">
        <v>20</v>
      </c>
      <c r="B3" s="17" t="s">
        <v>32</v>
      </c>
      <c r="C3" s="13" t="s">
        <v>147</v>
      </c>
      <c r="D3" s="13" t="s">
        <v>33</v>
      </c>
      <c r="E3" s="13">
        <v>50</v>
      </c>
      <c r="F3" s="13">
        <v>165</v>
      </c>
      <c r="G3" s="19">
        <v>33.950000000000003</v>
      </c>
      <c r="H3" s="20">
        <f t="shared" si="0"/>
        <v>679</v>
      </c>
      <c r="I3" s="13"/>
    </row>
    <row r="4" spans="1:15" s="14" customFormat="1" ht="15.6" customHeight="1" x14ac:dyDescent="0.2">
      <c r="A4" s="31"/>
      <c r="B4" s="17" t="s">
        <v>49</v>
      </c>
      <c r="C4" s="13" t="s">
        <v>157</v>
      </c>
      <c r="D4" s="13" t="s">
        <v>50</v>
      </c>
      <c r="E4" s="13">
        <v>50</v>
      </c>
      <c r="F4" s="13">
        <v>165</v>
      </c>
      <c r="G4" s="19">
        <v>45.15</v>
      </c>
      <c r="H4" s="20">
        <f t="shared" si="0"/>
        <v>0</v>
      </c>
      <c r="I4" s="13"/>
    </row>
    <row r="5" spans="1:15" s="14" customFormat="1" ht="15.6" customHeight="1" x14ac:dyDescent="0.2">
      <c r="A5" s="31"/>
      <c r="B5" s="17" t="s">
        <v>51</v>
      </c>
      <c r="C5" s="13" t="s">
        <v>148</v>
      </c>
      <c r="D5" s="13" t="s">
        <v>52</v>
      </c>
      <c r="E5" s="13">
        <v>50</v>
      </c>
      <c r="F5" s="13">
        <v>165</v>
      </c>
      <c r="G5" s="19">
        <v>41.88</v>
      </c>
      <c r="H5" s="20">
        <f t="shared" si="0"/>
        <v>0</v>
      </c>
      <c r="I5" s="13"/>
    </row>
    <row r="6" spans="1:15" s="14" customFormat="1" ht="15.6" customHeight="1" x14ac:dyDescent="0.2">
      <c r="A6" s="31"/>
      <c r="B6" s="17" t="s">
        <v>57</v>
      </c>
      <c r="C6" s="17"/>
      <c r="D6" s="32">
        <v>4.5</v>
      </c>
      <c r="E6" s="13">
        <v>50</v>
      </c>
      <c r="F6" s="13">
        <v>170</v>
      </c>
      <c r="G6" s="19">
        <v>30.07</v>
      </c>
      <c r="H6" s="20">
        <f t="shared" si="0"/>
        <v>0</v>
      </c>
      <c r="I6" s="13"/>
    </row>
    <row r="7" spans="1:15" s="14" customFormat="1" ht="15.6" customHeight="1" x14ac:dyDescent="0.2">
      <c r="A7" s="31"/>
      <c r="B7" s="13" t="s">
        <v>108</v>
      </c>
      <c r="C7" s="13"/>
      <c r="D7" s="13" t="s">
        <v>109</v>
      </c>
      <c r="E7" s="13">
        <v>8</v>
      </c>
      <c r="F7" s="13">
        <v>451</v>
      </c>
      <c r="G7" s="64">
        <v>29.31</v>
      </c>
      <c r="H7" s="20">
        <f>A7*G7</f>
        <v>0</v>
      </c>
      <c r="I7" s="13"/>
    </row>
    <row r="8" spans="1:15" s="2" customFormat="1" ht="14.25" customHeight="1" x14ac:dyDescent="0.2">
      <c r="A8" s="31"/>
      <c r="B8" s="13" t="s">
        <v>77</v>
      </c>
      <c r="C8" s="13"/>
      <c r="D8" s="13" t="s">
        <v>78</v>
      </c>
      <c r="E8" s="13">
        <v>100</v>
      </c>
      <c r="F8" s="13">
        <v>165</v>
      </c>
      <c r="G8" s="64">
        <v>29.64</v>
      </c>
      <c r="H8" s="20">
        <f t="shared" si="0"/>
        <v>0</v>
      </c>
      <c r="I8" s="13"/>
    </row>
    <row r="9" spans="1:15" s="2" customFormat="1" ht="12.75" customHeight="1" x14ac:dyDescent="0.2">
      <c r="A9" s="31"/>
      <c r="B9" s="13" t="s">
        <v>79</v>
      </c>
      <c r="C9" s="13" t="s">
        <v>149</v>
      </c>
      <c r="D9" s="13" t="s">
        <v>80</v>
      </c>
      <c r="E9" s="13">
        <v>50</v>
      </c>
      <c r="F9" s="13">
        <v>230</v>
      </c>
      <c r="G9" s="64">
        <v>41.9</v>
      </c>
      <c r="H9" s="20">
        <f t="shared" si="0"/>
        <v>0</v>
      </c>
      <c r="I9" s="13"/>
    </row>
    <row r="10" spans="1:15" s="14" customFormat="1" ht="15.6" customHeight="1" x14ac:dyDescent="0.2">
      <c r="A10" s="31">
        <v>4</v>
      </c>
      <c r="B10" s="17" t="s">
        <v>36</v>
      </c>
      <c r="C10" s="17"/>
      <c r="D10" s="13" t="s">
        <v>37</v>
      </c>
      <c r="E10" s="13">
        <v>50</v>
      </c>
      <c r="F10" s="13">
        <v>80</v>
      </c>
      <c r="G10" s="19">
        <v>14.26</v>
      </c>
      <c r="H10" s="20">
        <f t="shared" si="0"/>
        <v>57.04</v>
      </c>
      <c r="I10" s="13"/>
    </row>
    <row r="11" spans="1:15" s="2" customFormat="1" ht="15" customHeight="1" x14ac:dyDescent="0.2">
      <c r="A11" s="31"/>
      <c r="B11" s="13" t="s">
        <v>72</v>
      </c>
      <c r="C11" s="13"/>
      <c r="D11" s="13" t="s">
        <v>73</v>
      </c>
      <c r="E11" s="13">
        <v>24</v>
      </c>
      <c r="F11" s="13">
        <v>150</v>
      </c>
      <c r="G11" s="64">
        <v>12.65</v>
      </c>
      <c r="H11" s="20">
        <f t="shared" si="0"/>
        <v>0</v>
      </c>
      <c r="I11" s="13"/>
    </row>
    <row r="12" spans="1:15" s="14" customFormat="1" ht="15.6" customHeight="1" x14ac:dyDescent="0.2">
      <c r="A12" s="31">
        <v>2</v>
      </c>
      <c r="B12" s="17" t="s">
        <v>40</v>
      </c>
      <c r="C12" s="17"/>
      <c r="D12" s="13" t="s">
        <v>41</v>
      </c>
      <c r="E12" s="13">
        <v>50</v>
      </c>
      <c r="F12" s="13">
        <v>200</v>
      </c>
      <c r="G12" s="19">
        <v>31.43</v>
      </c>
      <c r="H12" s="20">
        <f t="shared" si="0"/>
        <v>62.86</v>
      </c>
      <c r="I12" s="13"/>
    </row>
    <row r="13" spans="1:15" s="14" customFormat="1" ht="15.6" customHeight="1" x14ac:dyDescent="0.2">
      <c r="A13" s="31">
        <v>2</v>
      </c>
      <c r="B13" s="13" t="s">
        <v>95</v>
      </c>
      <c r="C13" s="13" t="s">
        <v>142</v>
      </c>
      <c r="D13" s="13" t="s">
        <v>93</v>
      </c>
      <c r="E13" s="13">
        <v>50</v>
      </c>
      <c r="F13" s="13">
        <v>230</v>
      </c>
      <c r="G13" s="19">
        <v>45.25</v>
      </c>
      <c r="H13" s="20">
        <f t="shared" si="0"/>
        <v>90.5</v>
      </c>
      <c r="I13" s="13"/>
    </row>
    <row r="14" spans="1:15" s="14" customFormat="1" ht="15.6" customHeight="1" x14ac:dyDescent="0.2">
      <c r="A14" s="31">
        <v>2</v>
      </c>
      <c r="B14" s="13" t="s">
        <v>92</v>
      </c>
      <c r="C14" s="13" t="s">
        <v>141</v>
      </c>
      <c r="D14" s="13" t="s">
        <v>93</v>
      </c>
      <c r="E14" s="13">
        <v>50</v>
      </c>
      <c r="F14" s="13">
        <v>60</v>
      </c>
      <c r="G14" s="19">
        <v>19.809999999999999</v>
      </c>
      <c r="H14" s="20">
        <f t="shared" si="0"/>
        <v>39.619999999999997</v>
      </c>
      <c r="I14" s="13"/>
    </row>
    <row r="15" spans="1:15" s="14" customFormat="1" ht="15.6" customHeight="1" x14ac:dyDescent="0.2">
      <c r="A15" s="31"/>
      <c r="B15" s="13" t="s">
        <v>94</v>
      </c>
      <c r="C15" s="13" t="s">
        <v>139</v>
      </c>
      <c r="D15" s="13" t="s">
        <v>93</v>
      </c>
      <c r="E15" s="13">
        <v>50</v>
      </c>
      <c r="F15" s="13">
        <v>85</v>
      </c>
      <c r="G15" s="19">
        <v>19</v>
      </c>
      <c r="H15" s="20">
        <f t="shared" si="0"/>
        <v>0</v>
      </c>
      <c r="I15" s="13"/>
    </row>
    <row r="16" spans="1:15" ht="13.7" customHeight="1" x14ac:dyDescent="0.2">
      <c r="A16" s="44">
        <v>4</v>
      </c>
      <c r="B16" s="15" t="s">
        <v>84</v>
      </c>
      <c r="C16" s="63" t="s">
        <v>140</v>
      </c>
      <c r="D16" s="15" t="s">
        <v>99</v>
      </c>
      <c r="E16" s="15">
        <v>48</v>
      </c>
      <c r="F16" s="15">
        <v>42</v>
      </c>
      <c r="G16" s="15">
        <v>14.57</v>
      </c>
      <c r="H16" s="20">
        <f>A16*G16</f>
        <v>58.28</v>
      </c>
      <c r="I16" s="33"/>
      <c r="J16" s="34"/>
      <c r="K16" s="35"/>
      <c r="L16" s="36"/>
      <c r="M16" s="37"/>
      <c r="N16" s="36"/>
      <c r="O16" s="36"/>
    </row>
    <row r="17" spans="1:15" ht="13.7" customHeight="1" x14ac:dyDescent="0.2">
      <c r="A17" s="44">
        <v>4</v>
      </c>
      <c r="B17" s="15" t="s">
        <v>97</v>
      </c>
      <c r="C17" s="15"/>
      <c r="D17" s="15" t="s">
        <v>98</v>
      </c>
      <c r="E17" s="15">
        <v>50</v>
      </c>
      <c r="F17" s="15">
        <v>50</v>
      </c>
      <c r="G17" s="15">
        <v>9.8699999999999992</v>
      </c>
      <c r="H17" s="20">
        <f>A17*G17</f>
        <v>39.479999999999997</v>
      </c>
      <c r="I17" s="33"/>
      <c r="J17" s="34"/>
      <c r="K17" s="35"/>
      <c r="L17" s="36"/>
      <c r="M17" s="37"/>
      <c r="N17" s="36"/>
      <c r="O17" s="36"/>
    </row>
    <row r="18" spans="1:15" ht="13.7" customHeight="1" x14ac:dyDescent="0.2">
      <c r="A18" s="44">
        <v>4</v>
      </c>
      <c r="B18" s="63" t="s">
        <v>153</v>
      </c>
      <c r="C18" s="63" t="s">
        <v>135</v>
      </c>
      <c r="D18" s="15" t="s">
        <v>98</v>
      </c>
      <c r="E18" s="15">
        <v>50</v>
      </c>
      <c r="F18" s="15">
        <v>74</v>
      </c>
      <c r="G18" s="15">
        <v>19.63</v>
      </c>
      <c r="H18" s="20">
        <f>A18*G18</f>
        <v>78.52</v>
      </c>
      <c r="I18" s="33"/>
      <c r="J18" s="34"/>
      <c r="K18" s="35"/>
      <c r="L18" s="36"/>
      <c r="M18" s="37"/>
      <c r="N18" s="36"/>
      <c r="O18" s="36"/>
    </row>
    <row r="19" spans="1:15" s="14" customFormat="1" ht="15.6" customHeight="1" x14ac:dyDescent="0.2">
      <c r="A19" s="31"/>
      <c r="B19" s="17" t="s">
        <v>85</v>
      </c>
      <c r="C19" s="17"/>
      <c r="D19" s="13" t="s">
        <v>60</v>
      </c>
      <c r="E19" s="13">
        <v>100</v>
      </c>
      <c r="F19" s="13">
        <v>95</v>
      </c>
      <c r="G19" s="19">
        <v>55.57</v>
      </c>
      <c r="H19" s="20">
        <f t="shared" si="0"/>
        <v>0</v>
      </c>
      <c r="I19" s="13"/>
    </row>
    <row r="20" spans="1:15" s="14" customFormat="1" ht="15.75" customHeight="1" x14ac:dyDescent="0.2">
      <c r="A20" s="31"/>
      <c r="B20" s="17" t="s">
        <v>82</v>
      </c>
      <c r="C20" s="17"/>
      <c r="D20" s="32" t="s">
        <v>61</v>
      </c>
      <c r="E20" s="13">
        <v>25</v>
      </c>
      <c r="F20" s="13">
        <v>85</v>
      </c>
      <c r="G20" s="19">
        <v>27.67</v>
      </c>
      <c r="H20" s="20">
        <f t="shared" si="0"/>
        <v>0</v>
      </c>
      <c r="I20" s="13"/>
    </row>
    <row r="21" spans="1:15" s="14" customFormat="1" ht="14.25" customHeight="1" x14ac:dyDescent="0.2">
      <c r="A21" s="31">
        <v>2</v>
      </c>
      <c r="B21" s="17" t="s">
        <v>64</v>
      </c>
      <c r="C21" s="17"/>
      <c r="D21" s="13" t="s">
        <v>65</v>
      </c>
      <c r="E21" s="13">
        <v>50</v>
      </c>
      <c r="F21" s="13">
        <v>65</v>
      </c>
      <c r="G21" s="19">
        <v>72.05</v>
      </c>
      <c r="H21" s="20">
        <f t="shared" si="0"/>
        <v>144.1</v>
      </c>
      <c r="I21" s="13"/>
    </row>
    <row r="22" spans="1:15" s="2" customFormat="1" ht="14.25" customHeight="1" x14ac:dyDescent="0.2">
      <c r="A22" s="31">
        <v>2</v>
      </c>
      <c r="B22" s="13" t="s">
        <v>70</v>
      </c>
      <c r="C22" s="13"/>
      <c r="D22" s="13" t="s">
        <v>71</v>
      </c>
      <c r="E22" s="13">
        <v>50</v>
      </c>
      <c r="F22" s="13">
        <v>230</v>
      </c>
      <c r="G22" s="64">
        <v>56.21</v>
      </c>
      <c r="H22" s="20">
        <f t="shared" si="0"/>
        <v>112.42</v>
      </c>
      <c r="I22" s="13"/>
    </row>
    <row r="23" spans="1:15" s="2" customFormat="1" ht="20.25" customHeight="1" x14ac:dyDescent="0.2">
      <c r="A23" s="31">
        <v>2</v>
      </c>
      <c r="B23" s="13" t="s">
        <v>87</v>
      </c>
      <c r="C23" s="13"/>
      <c r="D23" s="13" t="s">
        <v>69</v>
      </c>
      <c r="E23" s="13">
        <v>50</v>
      </c>
      <c r="F23" s="13">
        <v>120</v>
      </c>
      <c r="G23" s="64">
        <v>34.31</v>
      </c>
      <c r="H23" s="20">
        <f t="shared" si="0"/>
        <v>68.62</v>
      </c>
      <c r="I23" s="13"/>
    </row>
    <row r="24" spans="1:15" s="2" customFormat="1" ht="14.25" customHeight="1" x14ac:dyDescent="0.2">
      <c r="A24" s="31"/>
      <c r="B24" s="13" t="s">
        <v>76</v>
      </c>
      <c r="C24" s="13"/>
      <c r="D24" s="13" t="s">
        <v>69</v>
      </c>
      <c r="E24" s="13">
        <v>50</v>
      </c>
      <c r="F24" s="13">
        <v>220</v>
      </c>
      <c r="G24" s="64">
        <v>47.44</v>
      </c>
      <c r="H24" s="20">
        <f t="shared" si="0"/>
        <v>0</v>
      </c>
      <c r="I24" s="13"/>
    </row>
    <row r="25" spans="1:15" s="14" customFormat="1" ht="15.6" customHeight="1" x14ac:dyDescent="0.2">
      <c r="A25" s="31">
        <v>2</v>
      </c>
      <c r="B25" s="17" t="s">
        <v>42</v>
      </c>
      <c r="C25" s="17"/>
      <c r="D25" s="13" t="s">
        <v>43</v>
      </c>
      <c r="E25" s="13">
        <v>50</v>
      </c>
      <c r="F25" s="13">
        <v>160</v>
      </c>
      <c r="G25" s="19">
        <v>67.73</v>
      </c>
      <c r="H25" s="20">
        <f t="shared" si="0"/>
        <v>135.46</v>
      </c>
      <c r="I25" s="13"/>
    </row>
    <row r="26" spans="1:15" s="2" customFormat="1" ht="17.25" customHeight="1" x14ac:dyDescent="0.2">
      <c r="A26" s="31">
        <v>2</v>
      </c>
      <c r="B26" s="13" t="s">
        <v>74</v>
      </c>
      <c r="C26" s="13"/>
      <c r="D26" s="13" t="s">
        <v>75</v>
      </c>
      <c r="E26" s="13">
        <v>50</v>
      </c>
      <c r="F26" s="13">
        <v>115</v>
      </c>
      <c r="G26" s="64">
        <v>38.53</v>
      </c>
      <c r="H26" s="20">
        <f t="shared" si="0"/>
        <v>77.06</v>
      </c>
      <c r="I26" s="13"/>
    </row>
    <row r="27" spans="1:15" s="2" customFormat="1" ht="15.6" customHeight="1" x14ac:dyDescent="0.2">
      <c r="A27" s="31">
        <v>50</v>
      </c>
      <c r="B27" s="13" t="s">
        <v>30</v>
      </c>
      <c r="C27" s="13" t="s">
        <v>143</v>
      </c>
      <c r="D27" s="13" t="s">
        <v>156</v>
      </c>
      <c r="E27" s="13">
        <v>50</v>
      </c>
      <c r="F27" s="13">
        <v>220</v>
      </c>
      <c r="G27" s="64">
        <v>53.98</v>
      </c>
      <c r="H27" s="20">
        <f t="shared" si="0"/>
        <v>2699</v>
      </c>
      <c r="I27" s="13"/>
    </row>
    <row r="28" spans="1:15" s="2" customFormat="1" ht="15.6" customHeight="1" x14ac:dyDescent="0.2">
      <c r="A28" s="31">
        <v>50</v>
      </c>
      <c r="B28" s="13" t="s">
        <v>158</v>
      </c>
      <c r="C28" s="13" t="s">
        <v>154</v>
      </c>
      <c r="D28" s="13" t="s">
        <v>155</v>
      </c>
      <c r="E28" s="13">
        <v>50</v>
      </c>
      <c r="F28" s="13">
        <v>230</v>
      </c>
      <c r="G28" s="64">
        <v>56.44</v>
      </c>
      <c r="H28" s="20">
        <f t="shared" si="0"/>
        <v>2822</v>
      </c>
      <c r="I28" s="13"/>
    </row>
    <row r="29" spans="1:15" s="2" customFormat="1" ht="13.5" customHeight="1" x14ac:dyDescent="0.2">
      <c r="A29" s="31"/>
      <c r="B29" s="13" t="s">
        <v>81</v>
      </c>
      <c r="C29" s="13" t="s">
        <v>146</v>
      </c>
      <c r="D29" s="13" t="s">
        <v>69</v>
      </c>
      <c r="E29" s="13">
        <v>50</v>
      </c>
      <c r="F29" s="13">
        <v>273</v>
      </c>
      <c r="G29" s="64">
        <v>63.5</v>
      </c>
      <c r="H29" s="20">
        <f t="shared" si="0"/>
        <v>0</v>
      </c>
      <c r="I29" s="13"/>
    </row>
    <row r="30" spans="1:15" s="14" customFormat="1" ht="15.6" customHeight="1" x14ac:dyDescent="0.2">
      <c r="A30" s="31"/>
      <c r="B30" s="17" t="s">
        <v>45</v>
      </c>
      <c r="C30" s="17"/>
      <c r="D30" s="13" t="s">
        <v>46</v>
      </c>
      <c r="E30" s="13">
        <v>100</v>
      </c>
      <c r="F30" s="13">
        <v>95</v>
      </c>
      <c r="G30" s="19">
        <v>31.77</v>
      </c>
      <c r="H30" s="20">
        <f t="shared" si="0"/>
        <v>0</v>
      </c>
      <c r="I30" s="13"/>
    </row>
    <row r="31" spans="1:15" s="14" customFormat="1" ht="15.6" customHeight="1" x14ac:dyDescent="0.2">
      <c r="A31" s="31"/>
      <c r="B31" s="17" t="s">
        <v>55</v>
      </c>
      <c r="C31" s="17"/>
      <c r="D31" s="13" t="s">
        <v>56</v>
      </c>
      <c r="E31" s="13">
        <v>48</v>
      </c>
      <c r="F31" s="13">
        <v>240</v>
      </c>
      <c r="G31" s="19">
        <v>55.01</v>
      </c>
      <c r="H31" s="20">
        <f t="shared" si="0"/>
        <v>0</v>
      </c>
      <c r="I31" s="13"/>
    </row>
    <row r="32" spans="1:15" s="14" customFormat="1" ht="15.6" customHeight="1" x14ac:dyDescent="0.2">
      <c r="A32" s="31">
        <v>2</v>
      </c>
      <c r="B32" s="17" t="s">
        <v>53</v>
      </c>
      <c r="C32" s="17"/>
      <c r="D32" s="32">
        <v>3.25</v>
      </c>
      <c r="E32" s="13">
        <v>50</v>
      </c>
      <c r="F32" s="13">
        <v>165</v>
      </c>
      <c r="G32" s="19">
        <v>21.64</v>
      </c>
      <c r="H32" s="20">
        <f t="shared" si="0"/>
        <v>43.28</v>
      </c>
      <c r="I32" s="13"/>
    </row>
    <row r="33" spans="1:9" s="14" customFormat="1" ht="15.6" customHeight="1" x14ac:dyDescent="0.2">
      <c r="A33" s="31"/>
      <c r="B33" s="13" t="s">
        <v>96</v>
      </c>
      <c r="C33" s="13"/>
      <c r="D33" s="13" t="s">
        <v>54</v>
      </c>
      <c r="E33" s="13">
        <v>100</v>
      </c>
      <c r="F33" s="13">
        <v>165</v>
      </c>
      <c r="G33" s="19">
        <v>24.84</v>
      </c>
      <c r="H33" s="20">
        <f>A33*G33</f>
        <v>0</v>
      </c>
      <c r="I33" s="13"/>
    </row>
    <row r="34" spans="1:9" s="14" customFormat="1" ht="15.6" customHeight="1" x14ac:dyDescent="0.2">
      <c r="A34" s="31">
        <v>2</v>
      </c>
      <c r="B34" s="13" t="s">
        <v>152</v>
      </c>
      <c r="C34" s="13" t="s">
        <v>167</v>
      </c>
      <c r="D34" s="13" t="s">
        <v>38</v>
      </c>
      <c r="E34" s="13" t="s">
        <v>39</v>
      </c>
      <c r="F34" s="13">
        <v>150</v>
      </c>
      <c r="G34" s="19">
        <v>42.33</v>
      </c>
      <c r="H34" s="20">
        <f t="shared" si="0"/>
        <v>84.66</v>
      </c>
      <c r="I34" s="13"/>
    </row>
    <row r="35" spans="1:9" s="14" customFormat="1" ht="15.6" customHeight="1" x14ac:dyDescent="0.2">
      <c r="A35" s="31">
        <v>2</v>
      </c>
      <c r="B35" s="17" t="s">
        <v>44</v>
      </c>
      <c r="C35" s="17"/>
      <c r="D35" s="13" t="s">
        <v>38</v>
      </c>
      <c r="E35" s="13">
        <v>50</v>
      </c>
      <c r="F35" s="13">
        <v>165</v>
      </c>
      <c r="G35" s="19">
        <v>15.12</v>
      </c>
      <c r="H35" s="20">
        <f t="shared" si="0"/>
        <v>30.24</v>
      </c>
      <c r="I35" s="13"/>
    </row>
    <row r="36" spans="1:9" s="14" customFormat="1" ht="15.6" customHeight="1" x14ac:dyDescent="0.2">
      <c r="A36" s="31"/>
      <c r="B36" s="17" t="s">
        <v>58</v>
      </c>
      <c r="C36" s="17"/>
      <c r="D36" s="13" t="s">
        <v>59</v>
      </c>
      <c r="E36" s="13">
        <v>100</v>
      </c>
      <c r="F36" s="13">
        <v>100</v>
      </c>
      <c r="G36" s="19">
        <v>45.49</v>
      </c>
      <c r="H36" s="20">
        <f t="shared" si="0"/>
        <v>0</v>
      </c>
      <c r="I36" s="13"/>
    </row>
    <row r="37" spans="1:9" s="14" customFormat="1" ht="15.6" customHeight="1" x14ac:dyDescent="0.2">
      <c r="A37" s="31"/>
      <c r="B37" s="17" t="s">
        <v>62</v>
      </c>
      <c r="C37" s="17"/>
      <c r="D37" s="13" t="s">
        <v>63</v>
      </c>
      <c r="E37" s="13">
        <v>50</v>
      </c>
      <c r="F37" s="13">
        <v>100</v>
      </c>
      <c r="G37" s="19">
        <v>40.25</v>
      </c>
      <c r="H37" s="20">
        <f t="shared" si="0"/>
        <v>0</v>
      </c>
      <c r="I37" s="13"/>
    </row>
    <row r="38" spans="1:9" x14ac:dyDescent="0.2">
      <c r="B38" s="17" t="s">
        <v>89</v>
      </c>
      <c r="C38" s="17"/>
      <c r="D38" s="13" t="s">
        <v>90</v>
      </c>
      <c r="E38" s="13">
        <v>50</v>
      </c>
      <c r="F38" s="13">
        <v>67</v>
      </c>
      <c r="G38" s="19">
        <v>49.71</v>
      </c>
      <c r="H38" s="20">
        <f t="shared" si="0"/>
        <v>0</v>
      </c>
    </row>
    <row r="39" spans="1:9" s="14" customFormat="1" ht="18.75" customHeight="1" x14ac:dyDescent="0.2">
      <c r="A39" s="31"/>
      <c r="B39" s="17" t="s">
        <v>66</v>
      </c>
      <c r="C39" s="17"/>
      <c r="D39" s="13" t="s">
        <v>67</v>
      </c>
      <c r="E39" s="13">
        <v>50</v>
      </c>
      <c r="F39" s="13">
        <v>90</v>
      </c>
      <c r="G39" s="19">
        <v>26.31</v>
      </c>
      <c r="H39" s="20">
        <f>A39*G39</f>
        <v>0</v>
      </c>
      <c r="I39" s="13"/>
    </row>
    <row r="40" spans="1:9" s="2" customFormat="1" ht="15.6" customHeight="1" x14ac:dyDescent="0.2">
      <c r="A40" s="31">
        <v>6</v>
      </c>
      <c r="B40" s="13" t="s">
        <v>34</v>
      </c>
      <c r="C40" s="13" t="s">
        <v>144</v>
      </c>
      <c r="D40" s="13" t="s">
        <v>35</v>
      </c>
      <c r="E40" s="13">
        <v>50</v>
      </c>
      <c r="F40" s="13">
        <v>90</v>
      </c>
      <c r="G40" s="64">
        <v>38.57</v>
      </c>
      <c r="H40" s="20">
        <f>A40*G40</f>
        <v>231.42000000000002</v>
      </c>
      <c r="I40" s="13"/>
    </row>
    <row r="41" spans="1:9" s="2" customFormat="1" ht="5.25" customHeight="1" x14ac:dyDescent="0.25">
      <c r="A41" s="27"/>
      <c r="B41" s="13"/>
      <c r="C41" s="13"/>
      <c r="D41" s="13"/>
      <c r="E41" s="13"/>
      <c r="F41" s="13"/>
      <c r="G41" s="65"/>
      <c r="H41" s="16"/>
      <c r="I41" s="13"/>
    </row>
    <row r="42" spans="1:9" s="14" customFormat="1" ht="9" customHeight="1" x14ac:dyDescent="0.2">
      <c r="A42" s="31"/>
      <c r="B42" s="17"/>
      <c r="C42" s="17"/>
      <c r="D42" s="13"/>
      <c r="E42" s="13"/>
      <c r="F42" s="13"/>
      <c r="G42" s="19"/>
      <c r="H42" s="20"/>
      <c r="I42" s="13"/>
    </row>
    <row r="43" spans="1:9" s="2" customFormat="1" ht="12" customHeight="1" x14ac:dyDescent="0.2">
      <c r="A43" s="31"/>
      <c r="B43" s="13"/>
      <c r="C43" s="13"/>
      <c r="D43" s="13" t="s">
        <v>68</v>
      </c>
      <c r="E43" s="13"/>
      <c r="F43" s="13"/>
      <c r="G43" s="64">
        <v>33.92</v>
      </c>
      <c r="H43" s="20">
        <f>A43*G43</f>
        <v>0</v>
      </c>
      <c r="I43" s="13"/>
    </row>
    <row r="44" spans="1:9" s="14" customFormat="1" ht="15.6" customHeight="1" x14ac:dyDescent="0.2">
      <c r="A44" s="31">
        <v>6</v>
      </c>
      <c r="B44" s="13" t="s">
        <v>136</v>
      </c>
      <c r="C44" s="13" t="s">
        <v>136</v>
      </c>
      <c r="D44" s="32" t="s">
        <v>137</v>
      </c>
      <c r="E44" s="13">
        <v>100</v>
      </c>
      <c r="F44" s="13">
        <v>16</v>
      </c>
      <c r="G44" s="19">
        <v>15.66</v>
      </c>
      <c r="H44" s="20">
        <f t="shared" ref="H44" si="1">A44*G44</f>
        <v>93.960000000000008</v>
      </c>
      <c r="I44" s="13"/>
    </row>
    <row r="45" spans="1:9" x14ac:dyDescent="0.2">
      <c r="G45"/>
    </row>
    <row r="46" spans="1:9" x14ac:dyDescent="0.2">
      <c r="D46" t="s">
        <v>114</v>
      </c>
      <c r="G46">
        <v>69.62</v>
      </c>
    </row>
    <row r="47" spans="1:9" x14ac:dyDescent="0.2">
      <c r="D47" t="s">
        <v>115</v>
      </c>
      <c r="G47">
        <v>69.62</v>
      </c>
    </row>
    <row r="48" spans="1:9" x14ac:dyDescent="0.2">
      <c r="D48" t="s">
        <v>110</v>
      </c>
      <c r="G48">
        <v>49.09</v>
      </c>
    </row>
    <row r="49" spans="1:9" x14ac:dyDescent="0.2">
      <c r="G49"/>
    </row>
    <row r="50" spans="1:9" s="2" customFormat="1" ht="14.25" customHeight="1" x14ac:dyDescent="0.2">
      <c r="A50" s="31">
        <v>5</v>
      </c>
      <c r="B50" s="13" t="s">
        <v>111</v>
      </c>
      <c r="C50" s="13"/>
      <c r="D50" s="13" t="s">
        <v>69</v>
      </c>
      <c r="E50" s="13">
        <v>50</v>
      </c>
      <c r="F50" s="13">
        <v>230</v>
      </c>
      <c r="G50" s="64">
        <v>76.12</v>
      </c>
      <c r="H50" s="20">
        <f>A50*G50</f>
        <v>380.6</v>
      </c>
      <c r="I50" s="13"/>
    </row>
    <row r="51" spans="1:9" x14ac:dyDescent="0.2">
      <c r="G51"/>
    </row>
    <row r="52" spans="1:9" x14ac:dyDescent="0.2">
      <c r="G52"/>
    </row>
    <row r="53" spans="1:9" x14ac:dyDescent="0.2">
      <c r="B53" t="s">
        <v>159</v>
      </c>
      <c r="D53" t="s">
        <v>160</v>
      </c>
      <c r="E53">
        <v>12</v>
      </c>
      <c r="F53">
        <v>270</v>
      </c>
      <c r="G53">
        <v>138.93</v>
      </c>
      <c r="H53" s="20">
        <f>A53*G53</f>
        <v>0</v>
      </c>
    </row>
    <row r="54" spans="1:9" x14ac:dyDescent="0.2">
      <c r="G54"/>
    </row>
    <row r="55" spans="1:9" x14ac:dyDescent="0.2">
      <c r="G55"/>
    </row>
    <row r="56" spans="1:9" x14ac:dyDescent="0.2">
      <c r="G56"/>
    </row>
    <row r="57" spans="1:9" x14ac:dyDescent="0.2">
      <c r="G57"/>
    </row>
    <row r="58" spans="1:9" x14ac:dyDescent="0.2">
      <c r="G58"/>
    </row>
    <row r="59" spans="1:9" x14ac:dyDescent="0.2">
      <c r="G59"/>
    </row>
    <row r="60" spans="1:9" x14ac:dyDescent="0.2">
      <c r="G60"/>
    </row>
    <row r="61" spans="1:9" x14ac:dyDescent="0.2">
      <c r="G61"/>
    </row>
  </sheetData>
  <phoneticPr fontId="19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PO</vt:lpstr>
      <vt:lpstr>Drop PO</vt:lpstr>
      <vt:lpstr>PO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Robert Freaney</cp:lastModifiedBy>
  <cp:lastPrinted>2024-03-29T18:36:43Z</cp:lastPrinted>
  <dcterms:created xsi:type="dcterms:W3CDTF">2001-09-06T00:28:27Z</dcterms:created>
  <dcterms:modified xsi:type="dcterms:W3CDTF">2024-05-28T16:50:10Z</dcterms:modified>
</cp:coreProperties>
</file>