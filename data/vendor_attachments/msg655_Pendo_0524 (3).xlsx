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Y" sheetId="1" state="visible" r:id="rId2"/>
    <sheet name="UNPAID" sheetId="2" state="visible" r:id="rId3"/>
    <sheet name="BY ALPH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<sst xmlns="http://schemas.openxmlformats.org/spreadsheetml/2006/main" count="1322" uniqueCount="252">
  <si>
    <t xml:space="preserve"> </t>
  </si>
  <si>
    <t xml:space="preserve">ACCOUNT</t>
  </si>
  <si>
    <t xml:space="preserve">LOCATION</t>
  </si>
  <si>
    <t xml:space="preserve">INVOICE#</t>
  </si>
  <si>
    <t xml:space="preserve">INV DATE</t>
  </si>
  <si>
    <t xml:space="preserve">PRODUCT</t>
  </si>
  <si>
    <t xml:space="preserve">POST DATE</t>
  </si>
  <si>
    <t xml:space="preserve">DIST</t>
  </si>
  <si>
    <t xml:space="preserve">EQUIP SALE</t>
  </si>
  <si>
    <t xml:space="preserve">EQUIP RENT</t>
  </si>
  <si>
    <t xml:space="preserve">EQUIP INST</t>
  </si>
  <si>
    <t xml:space="preserve">RESID-UAL</t>
  </si>
  <si>
    <t xml:space="preserve">MERCH</t>
  </si>
  <si>
    <t xml:space="preserve">HELP DESK</t>
  </si>
  <si>
    <t xml:space="preserve">HW PLAN</t>
  </si>
  <si>
    <t xml:space="preserve">T&amp;M PARTS</t>
  </si>
  <si>
    <t xml:space="preserve">T&amp;M LABOR</t>
  </si>
  <si>
    <t xml:space="preserve">T&amp;M TRAV</t>
  </si>
  <si>
    <t xml:space="preserve">SUPP TX</t>
  </si>
  <si>
    <t xml:space="preserve">FRT</t>
  </si>
  <si>
    <t xml:space="preserve">TAX</t>
  </si>
  <si>
    <t xml:space="preserve">TOTAL</t>
  </si>
  <si>
    <t xml:space="preserve">ST</t>
  </si>
  <si>
    <t xml:space="preserve">BY</t>
  </si>
  <si>
    <t xml:space="preserve">PAID?</t>
  </si>
  <si>
    <t xml:space="preserve">** </t>
  </si>
  <si>
    <t xml:space="preserve">AH</t>
  </si>
  <si>
    <t xml:space="preserve">MAYFLOWER INN</t>
  </si>
  <si>
    <t xml:space="preserve">SUPPLIES</t>
  </si>
  <si>
    <t xml:space="preserve">SR</t>
  </si>
  <si>
    <t xml:space="preserve">PU</t>
  </si>
  <si>
    <t xml:space="preserve">TONY</t>
  </si>
  <si>
    <t xml:space="preserve">PD</t>
  </si>
  <si>
    <t xml:space="preserve">CASH</t>
  </si>
  <si>
    <t xml:space="preserve">MI RANCHO MKT</t>
  </si>
  <si>
    <t xml:space="preserve">MAX</t>
  </si>
  <si>
    <t xml:space="preserve">HI-DIVE</t>
  </si>
  <si>
    <t xml:space="preserve">SF</t>
  </si>
  <si>
    <t xml:space="preserve">UPS</t>
  </si>
  <si>
    <t xml:space="preserve">CC</t>
  </si>
  <si>
    <t xml:space="preserve">DK</t>
  </si>
  <si>
    <t xml:space="preserve">PICANTE</t>
  </si>
  <si>
    <t xml:space="preserve">ONSITE SVC</t>
  </si>
  <si>
    <t xml:space="preserve">DEL</t>
  </si>
  <si>
    <t xml:space="preserve">CHARS HOT DOGS</t>
  </si>
  <si>
    <t xml:space="preserve">SOL</t>
  </si>
  <si>
    <t xml:space="preserve">RF</t>
  </si>
  <si>
    <t xml:space="preserve">OLD CHICAGO PIZZA DELIVERY</t>
  </si>
  <si>
    <t xml:space="preserve">PET</t>
  </si>
  <si>
    <t xml:space="preserve">PURITY MKT</t>
  </si>
  <si>
    <t xml:space="preserve">FT.BRAGG</t>
  </si>
  <si>
    <t xml:space="preserve">RAMON'S MEXICAN</t>
  </si>
  <si>
    <t xml:space="preserve">KERN</t>
  </si>
  <si>
    <t xml:space="preserve">MARINA SUPER</t>
  </si>
  <si>
    <t xml:space="preserve">COCO'S MERCADO</t>
  </si>
  <si>
    <t xml:space="preserve">ALA</t>
  </si>
  <si>
    <t xml:space="preserve">MARISCOS LA LANGOSTA</t>
  </si>
  <si>
    <t xml:space="preserve">TULARE</t>
  </si>
  <si>
    <t xml:space="preserve">LA ROSA MKT Y TAQUERIA</t>
  </si>
  <si>
    <t xml:space="preserve">SON</t>
  </si>
  <si>
    <t xml:space="preserve">IL BORGO</t>
  </si>
  <si>
    <t xml:space="preserve">LA BURRITA</t>
  </si>
  <si>
    <t xml:space="preserve">DURANT</t>
  </si>
  <si>
    <t xml:space="preserve">SAL</t>
  </si>
  <si>
    <t xml:space="preserve">STARK'S STEAKHOUSE</t>
  </si>
  <si>
    <t xml:space="preserve">220B-2</t>
  </si>
  <si>
    <t xml:space="preserve">S.ROSA</t>
  </si>
  <si>
    <t xml:space="preserve">SAYLOR'S</t>
  </si>
  <si>
    <t xml:space="preserve">SEAN</t>
  </si>
  <si>
    <t xml:space="preserve">ZAYTOON</t>
  </si>
  <si>
    <t xml:space="preserve">ISA</t>
  </si>
  <si>
    <t xml:space="preserve">PD </t>
  </si>
  <si>
    <t xml:space="preserve">SORELLA CAFÉ</t>
  </si>
  <si>
    <t xml:space="preserve">FFX</t>
  </si>
  <si>
    <t xml:space="preserve">THE SANDWICH SPOT</t>
  </si>
  <si>
    <t xml:space="preserve">SJ</t>
  </si>
  <si>
    <t xml:space="preserve">AMAKARA</t>
  </si>
  <si>
    <t xml:space="preserve">MARIN BEVERAGE OUTLET</t>
  </si>
  <si>
    <t xml:space="preserve">MONTI</t>
  </si>
  <si>
    <t xml:space="preserve">ESTRELLA'S MKT</t>
  </si>
  <si>
    <t xml:space="preserve">DROP</t>
  </si>
  <si>
    <t xml:space="preserve">HL</t>
  </si>
  <si>
    <t xml:space="preserve">COPITA</t>
  </si>
  <si>
    <t xml:space="preserve">MGR</t>
  </si>
  <si>
    <t xml:space="preserve">CH</t>
  </si>
  <si>
    <t xml:space="preserve">EL POLLO LICO</t>
  </si>
  <si>
    <t xml:space="preserve">LA</t>
  </si>
  <si>
    <t xml:space="preserve">CHECK</t>
  </si>
  <si>
    <t xml:space="preserve">BUNGALOW 44</t>
  </si>
  <si>
    <t xml:space="preserve">MARIN</t>
  </si>
  <si>
    <t xml:space="preserve">FRANKY'S</t>
  </si>
  <si>
    <t xml:space="preserve">BUTTE</t>
  </si>
  <si>
    <t xml:space="preserve">EL</t>
  </si>
  <si>
    <t xml:space="preserve">LA TOSCANA</t>
  </si>
  <si>
    <t xml:space="preserve">N.C.C.</t>
  </si>
  <si>
    <t xml:space="preserve">RHQ</t>
  </si>
  <si>
    <t xml:space="preserve">PH</t>
  </si>
  <si>
    <t xml:space="preserve">GUERRA QUALITY MEATS</t>
  </si>
  <si>
    <t xml:space="preserve">CHOWDERS</t>
  </si>
  <si>
    <t xml:space="preserve">LG</t>
  </si>
  <si>
    <t xml:space="preserve">ALANA'S</t>
  </si>
  <si>
    <t xml:space="preserve">EFT</t>
  </si>
  <si>
    <t xml:space="preserve">EVO</t>
  </si>
  <si>
    <t xml:space="preserve">WEB 999</t>
  </si>
  <si>
    <t xml:space="preserve">RESIDUAL</t>
  </si>
  <si>
    <t xml:space="preserve">WORLDPAY</t>
  </si>
  <si>
    <t xml:space="preserve">ANDY'S LOCAL MKT</t>
  </si>
  <si>
    <t xml:space="preserve">ROBERT</t>
  </si>
  <si>
    <t xml:space="preserve">U</t>
  </si>
  <si>
    <t xml:space="preserve">CAFFE GRECO</t>
  </si>
  <si>
    <t xml:space="preserve">KBC</t>
  </si>
  <si>
    <t xml:space="preserve">HARMONY RESTAURANT</t>
  </si>
  <si>
    <t xml:space="preserve">NORM</t>
  </si>
  <si>
    <t xml:space="preserve">CLYDE'S LIQ</t>
  </si>
  <si>
    <t xml:space="preserve">AH </t>
  </si>
  <si>
    <t xml:space="preserve">McINNIS GOLF</t>
  </si>
  <si>
    <t xml:space="preserve">GRAZIE</t>
  </si>
  <si>
    <t xml:space="preserve">NOV</t>
  </si>
  <si>
    <t xml:space="preserve">VIA PICCOLA TRATOORIA</t>
  </si>
  <si>
    <t xml:space="preserve">LIGHTHOUSE CAFÉ</t>
  </si>
  <si>
    <t xml:space="preserve">MILL VALLEY</t>
  </si>
  <si>
    <t xml:space="preserve">CALISTOGA INN</t>
  </si>
  <si>
    <t xml:space="preserve">NAPA</t>
  </si>
  <si>
    <t xml:space="preserve">COASTAL PACIFIC</t>
  </si>
  <si>
    <t xml:space="preserve">RESALE</t>
  </si>
  <si>
    <t xml:space="preserve">CANDY HEAVEN</t>
  </si>
  <si>
    <t xml:space="preserve">SAC</t>
  </si>
  <si>
    <t xml:space="preserve">TOMATINA</t>
  </si>
  <si>
    <t xml:space="preserve">ALAMEDA</t>
  </si>
  <si>
    <t xml:space="preserve">SANTA CLARA</t>
  </si>
  <si>
    <t xml:space="preserve">SC</t>
  </si>
  <si>
    <t xml:space="preserve">DOLAN'S DEN</t>
  </si>
  <si>
    <t xml:space="preserve">ABE</t>
  </si>
  <si>
    <t xml:space="preserve">BIRD &amp; BOTTLE</t>
  </si>
  <si>
    <t xml:space="preserve">THE HIDEOUT KITCHEN</t>
  </si>
  <si>
    <t xml:space="preserve">URS</t>
  </si>
  <si>
    <t xml:space="preserve">ERNEST- SF</t>
  </si>
  <si>
    <t xml:space="preserve">INSALATA'S</t>
  </si>
  <si>
    <t xml:space="preserve">S.ANSEL</t>
  </si>
  <si>
    <t xml:space="preserve">BLUE BARN</t>
  </si>
  <si>
    <t xml:space="preserve">NOVATO</t>
  </si>
  <si>
    <t xml:space="preserve">COFFEE ROASTERY</t>
  </si>
  <si>
    <t xml:space="preserve">MOUNTAIN MIKE'S</t>
  </si>
  <si>
    <t xml:space="preserve">GROSSMAN'S</t>
  </si>
  <si>
    <t xml:space="preserve">ISABEL'S VINTAGE CAFÉ</t>
  </si>
  <si>
    <t xml:space="preserve">S.JOAQ</t>
  </si>
  <si>
    <t xml:space="preserve">TACOS SINALOA</t>
  </si>
  <si>
    <t xml:space="preserve">OAKLAND</t>
  </si>
  <si>
    <t xml:space="preserve">CM</t>
  </si>
  <si>
    <t xml:space="preserve">WILLI'S WINE BAR</t>
  </si>
  <si>
    <t xml:space="preserve">S/A</t>
  </si>
  <si>
    <t xml:space="preserve">SPECIALTY'S CAFÉ</t>
  </si>
  <si>
    <t xml:space="preserve">RA</t>
  </si>
  <si>
    <t xml:space="preserve">A&amp;W</t>
  </si>
  <si>
    <t xml:space="preserve">S/R</t>
  </si>
  <si>
    <t xml:space="preserve">MONTHLY</t>
  </si>
  <si>
    <t xml:space="preserve">MB</t>
  </si>
  <si>
    <t xml:space="preserve">BRAVAS DE TAPAS</t>
  </si>
  <si>
    <t xml:space="preserve">LAS GUITARRAS</t>
  </si>
  <si>
    <t xml:space="preserve">LISA</t>
  </si>
  <si>
    <t xml:space="preserve">PARADISE PARK CAFÉ</t>
  </si>
  <si>
    <t xml:space="preserve">THE WHARF &amp; ANCHOR LODGE</t>
  </si>
  <si>
    <t xml:space="preserve">TERIYAKI MADNESS</t>
  </si>
  <si>
    <t xml:space="preserve">FIRESTONE</t>
  </si>
  <si>
    <t xml:space="preserve">O/S</t>
  </si>
  <si>
    <t xml:space="preserve">TAILOR'S SON</t>
  </si>
  <si>
    <t xml:space="preserve">RILEY'S BAR</t>
  </si>
  <si>
    <t xml:space="preserve">EPIC STEAK</t>
  </si>
  <si>
    <t xml:space="preserve">LEFT BANK</t>
  </si>
  <si>
    <t xml:space="preserve">LARKSPUR</t>
  </si>
  <si>
    <t xml:space="preserve">LARK</t>
  </si>
  <si>
    <t xml:space="preserve">EL CAPITAN MARISCOS</t>
  </si>
  <si>
    <t xml:space="preserve">STAN</t>
  </si>
  <si>
    <t xml:space="preserve">CELIA'S/ XALISCO</t>
  </si>
  <si>
    <t xml:space="preserve">DRIVER</t>
  </si>
  <si>
    <t xml:space="preserve">BILLINGS</t>
  </si>
  <si>
    <t xml:space="preserve">GREAT FALLS</t>
  </si>
  <si>
    <t xml:space="preserve">MARISCOS EL ANOYANO</t>
  </si>
  <si>
    <t xml:space="preserve">SM</t>
  </si>
  <si>
    <t xml:space="preserve">COTOGNA</t>
  </si>
  <si>
    <t xml:space="preserve">ANDY &amp; VU'S</t>
  </si>
  <si>
    <t xml:space="preserve">SCANNER</t>
  </si>
  <si>
    <t xml:space="preserve">PLEAS</t>
  </si>
  <si>
    <t xml:space="preserve">LAFF</t>
  </si>
  <si>
    <t xml:space="preserve">JAVA HUT</t>
  </si>
  <si>
    <t xml:space="preserve">CAS</t>
  </si>
  <si>
    <t xml:space="preserve">WEST VALLEY</t>
  </si>
  <si>
    <t xml:space="preserve">WC</t>
  </si>
  <si>
    <t xml:space="preserve">SUU</t>
  </si>
  <si>
    <t xml:space="preserve">THE COOLER</t>
  </si>
  <si>
    <t xml:space="preserve">UNPAID OLD BILLS</t>
  </si>
  <si>
    <t xml:space="preserve">&gt;30</t>
  </si>
  <si>
    <t xml:space="preserve">&gt;60</t>
  </si>
  <si>
    <t xml:space="preserve">&gt;90</t>
  </si>
  <si>
    <t xml:space="preserve">SP</t>
  </si>
  <si>
    <t xml:space="preserve">DATE</t>
  </si>
  <si>
    <t xml:space="preserve">SCH</t>
  </si>
  <si>
    <t xml:space="preserve">EQ</t>
  </si>
  <si>
    <t xml:space="preserve">RENT</t>
  </si>
  <si>
    <t xml:space="preserve">INST</t>
  </si>
  <si>
    <t xml:space="preserve">SUBSC</t>
  </si>
  <si>
    <t xml:space="preserve">HD</t>
  </si>
  <si>
    <t xml:space="preserve">HW</t>
  </si>
  <si>
    <t xml:space="preserve">PART</t>
  </si>
  <si>
    <t xml:space="preserve">LAB</t>
  </si>
  <si>
    <t xml:space="preserve">TRAV</t>
  </si>
  <si>
    <t xml:space="preserve">SUP</t>
  </si>
  <si>
    <t xml:space="preserve">MOLTI AMICI</t>
  </si>
  <si>
    <t xml:space="preserve">KEY'S JAZZ BISTRO</t>
  </si>
  <si>
    <t xml:space="preserve">MARISCOS EL AJOYANO</t>
  </si>
  <si>
    <t xml:space="preserve">MN</t>
  </si>
  <si>
    <t xml:space="preserve">SERVINO'S RESTAURANT</t>
  </si>
  <si>
    <t xml:space="preserve">THREE BROTHERS GRILL</t>
  </si>
  <si>
    <t xml:space="preserve">POTTSTOWN</t>
  </si>
  <si>
    <t xml:space="preserve">OH</t>
  </si>
  <si>
    <t xml:space="preserve">FRANKY'S RESTAURANT</t>
  </si>
  <si>
    <t xml:space="preserve">SEABREEZE</t>
  </si>
  <si>
    <t xml:space="preserve">BARREL HOUSE TAVERN</t>
  </si>
  <si>
    <t xml:space="preserve">KIMONO</t>
  </si>
  <si>
    <t xml:space="preserve">BENICIA</t>
  </si>
  <si>
    <t xml:space="preserve">WEST PORTAL DAILY</t>
  </si>
  <si>
    <t xml:space="preserve">ACRE RESTAURANT</t>
  </si>
  <si>
    <t xml:space="preserve">PARTS/ONSITE</t>
  </si>
  <si>
    <t xml:space="preserve">FRED'S LIQUOR</t>
  </si>
  <si>
    <t xml:space="preserve">6TH ST SF</t>
  </si>
  <si>
    <t xml:space="preserve">ONSITE</t>
  </si>
  <si>
    <t xml:space="preserve">SAI'S RESTAURANT &amp; BAR</t>
  </si>
  <si>
    <t xml:space="preserve">SAN RAFAEL JOE'S</t>
  </si>
  <si>
    <t xml:space="preserve">VESUVIO</t>
  </si>
  <si>
    <t xml:space="preserve">QUINCE</t>
  </si>
  <si>
    <t xml:space="preserve">TIA MARGARITA</t>
  </si>
  <si>
    <t xml:space="preserve">DOLORES PARK CAFÉ</t>
  </si>
  <si>
    <t xml:space="preserve">POINT RICHMOND MKT</t>
  </si>
  <si>
    <t xml:space="preserve">BEN</t>
  </si>
  <si>
    <t xml:space="preserve">AUGIE'S FRENCH</t>
  </si>
  <si>
    <t xml:space="preserve">ANDY'S LOCAL MARKET</t>
  </si>
  <si>
    <t xml:space="preserve">SAN RAFALE JOE'S</t>
  </si>
  <si>
    <t xml:space="preserve">CALIFORNIOS</t>
  </si>
  <si>
    <t xml:space="preserve">OCEANVIEW DINER</t>
  </si>
  <si>
    <t xml:space="preserve">FATTORIA E MARE</t>
  </si>
  <si>
    <t xml:space="preserve">BOCA PIZZA</t>
  </si>
  <si>
    <t xml:space="preserve">RIVERFRONT CAFÉ</t>
  </si>
  <si>
    <t xml:space="preserve">SARA'S SOUTHERN KITCHEN</t>
  </si>
  <si>
    <t xml:space="preserve">LE PETIT CAFÉ</t>
  </si>
  <si>
    <t xml:space="preserve">TENDERLOIN LIQ</t>
  </si>
  <si>
    <t xml:space="preserve">STEINER</t>
  </si>
  <si>
    <t xml:space="preserve">POLK</t>
  </si>
  <si>
    <t xml:space="preserve">RVER FRONT CAFÉ</t>
  </si>
  <si>
    <t xml:space="preserve">WILLIE'S STEAKHOUSE</t>
  </si>
  <si>
    <t xml:space="preserve">CELIA'S/XALISCO</t>
  </si>
  <si>
    <t xml:space="preserve">AM call</t>
  </si>
  <si>
    <t xml:space="preserve">(510) 233-9044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</si>
</sst>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;@"/>
    <numFmt numFmtId="166" formatCode="m/d"/>
    <numFmt numFmtId="167" formatCode="0"/>
    <numFmt numFmtId="168" formatCode="0.00"/>
    <numFmt numFmtId="169" formatCode="\$#,##0.00"/>
    <numFmt numFmtId="170" formatCode="d\-mmm"/>
    <numFmt numFmtId="171" formatCode="[$-409]d\-mmm;@"/>
    <numFmt numFmtId="172" formatCode="@"/>
    <numFmt numFmtId="173" formatCode="0.0%"/>
    <numFmt numFmtId="174" formatCode="0.000"/>
  </numFmts>
  <fonts count="2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 val="true"/>
      <sz val="8"/>
      <name val="Arial"/>
      <family val="2"/>
    </font>
    <font>
      <b val="true"/>
      <sz val="8"/>
      <name val="Comic Sans MS"/>
      <family val="4"/>
    </font>
    <font>
      <b val="true"/>
      <sz val="14"/>
      <name val="바탕"/>
      <family val="1"/>
    </font>
    <font>
      <b val="true"/>
      <sz val="8"/>
      <name val="바탕"/>
      <family val="1"/>
    </font>
    <font>
      <b val="true"/>
      <sz val="9"/>
      <name val="Arial"/>
      <family val="2"/>
    </font>
    <font>
      <b val="true"/>
      <sz val="8"/>
      <color rgb="FFFF0000"/>
      <name val="Arial"/>
      <family val="2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sz val="9"/>
      <name val="Arial"/>
      <family val="2"/>
    </font>
    <font>
      <b val="true"/>
      <sz val="9"/>
      <name val="Comic Sans MS"/>
      <family val="4"/>
    </font>
    <font>
      <b val="true"/>
      <sz val="8"/>
      <color rgb="FFFF0000"/>
      <name val="Comic Sans MS"/>
      <family val="4"/>
    </font>
    <font>
      <sz val="8"/>
      <name val="Comic Sans MS"/>
      <family val="4"/>
    </font>
    <font>
      <sz val="8"/>
      <color rgb="FF000000"/>
      <name val="Arial"/>
      <family val="2"/>
    </font>
    <font>
      <b val="true"/>
      <sz val="10"/>
      <name val="Comic Sans MS"/>
      <family val="4"/>
    </font>
    <font>
      <sz val="8"/>
      <color rgb="FFFF0000"/>
      <name val="Comic Sans MS"/>
      <family val="4"/>
    </font>
    <font>
      <b val="true"/>
      <sz val="8"/>
      <color rgb="FF333399"/>
      <name val="Arial"/>
      <family val="2"/>
    </font>
    <font>
      <b val="true"/>
      <sz val="8"/>
      <color rgb="FF99CCFF"/>
      <name val="Comic Sans MS"/>
      <family val="4"/>
    </font>
  </fonts>
  <fills count="14">
    <fill>
      <patternFill patternType="none"/>
    </fill>
    <fill>
      <patternFill patternType="gray125"/>
    </fill>
    <fill>
      <patternFill patternType="solid">
        <fgColor rgb="FFFFFF99"/>
        <bgColor rgb="FFD7E4BD"/>
      </patternFill>
    </fill>
    <fill>
      <patternFill patternType="solid">
        <fgColor rgb="FFFFFFFF"/>
        <bgColor rgb="FFCCFFFF"/>
      </patternFill>
    </fill>
    <fill>
      <patternFill patternType="solid">
        <fgColor rgb="FF93CDDD"/>
        <bgColor rgb="FF99CCFF"/>
      </patternFill>
    </fill>
    <fill>
      <patternFill patternType="solid">
        <fgColor rgb="FFD7E4BD"/>
        <bgColor rgb="FFC3D69B"/>
      </patternFill>
    </fill>
    <fill>
      <patternFill patternType="solid">
        <fgColor rgb="FFFFCC99"/>
        <bgColor rgb="FFFAC090"/>
      </patternFill>
    </fill>
    <fill>
      <patternFill patternType="solid">
        <fgColor rgb="FFFCD5B5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C3D69B"/>
        <bgColor rgb="FFD7E4BD"/>
      </patternFill>
    </fill>
    <fill>
      <patternFill patternType="solid">
        <fgColor rgb="FFFAC090"/>
        <bgColor rgb="FFFFCC99"/>
      </patternFill>
    </fill>
    <fill>
      <patternFill patternType="solid">
        <fgColor rgb="FFFF99CC"/>
        <bgColor rgb="FFFF99FF"/>
      </patternFill>
    </fill>
    <fill>
      <patternFill patternType="solid">
        <fgColor rgb="FFFF99FF"/>
        <bgColor rgb="FFFF99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8" fillId="4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4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8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7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1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9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3CDDD"/>
      <rgbColor rgb="FF993366"/>
      <rgbColor rgb="FFFCD5B5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FF99FF"/>
      <rgbColor rgb="FFFFCC99"/>
      <rgbColor rgb="FF3366FF"/>
      <rgbColor rgb="FF33CCCC"/>
      <rgbColor rgb="FF99CC00"/>
      <rgbColor rgb="FFFAC09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9" activePane="bottomLeft" state="frozen"/>
      <selection pane="topLeft" activeCell="A1" activeCellId="0" sqref="A1"/>
      <selection pane="bottomLeft" activeCell="A90" activeCellId="0" sqref="A90"/>
    </sheetView>
  </sheetViews>
  <sheetFormatPr defaultColWidth="9.15625" defaultRowHeight="9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18.58"/>
    <col collapsed="false" customWidth="true" hidden="false" outlineLevel="0" max="3" min="3" style="3" width="12.29"/>
    <col collapsed="false" customWidth="true" hidden="false" outlineLevel="0" max="4" min="4" style="3" width="8.42"/>
    <col collapsed="false" customWidth="true" hidden="false" outlineLevel="0" max="5" min="5" style="4" width="5.01"/>
    <col collapsed="false" customWidth="true" hidden="false" outlineLevel="0" max="6" min="6" style="3" width="10.71"/>
    <col collapsed="false" customWidth="true" hidden="false" outlineLevel="0" max="7" min="7" style="5" width="5.28"/>
    <col collapsed="false" customWidth="true" hidden="false" outlineLevel="0" max="8" min="8" style="5" width="6.71"/>
    <col collapsed="false" customWidth="true" hidden="false" outlineLevel="0" max="9" min="9" style="6" width="7.29"/>
    <col collapsed="false" customWidth="true" hidden="false" outlineLevel="0" max="10" min="10" style="6" width="6.15"/>
    <col collapsed="false" customWidth="true" hidden="false" outlineLevel="0" max="11" min="11" style="6" width="8.14"/>
    <col collapsed="false" customWidth="true" hidden="false" outlineLevel="0" max="12" min="12" style="6" width="7"/>
    <col collapsed="false" customWidth="true" hidden="false" outlineLevel="0" max="13" min="13" style="6" width="7.57"/>
    <col collapsed="false" customWidth="true" hidden="false" outlineLevel="0" max="14" min="14" style="6" width="6.42"/>
    <col collapsed="false" customWidth="true" hidden="false" outlineLevel="0" max="15" min="15" style="6" width="5.57"/>
    <col collapsed="false" customWidth="true" hidden="false" outlineLevel="0" max="16" min="16" style="6" width="6.28"/>
    <col collapsed="false" customWidth="true" hidden="false" outlineLevel="0" max="17" min="17" style="6" width="6.42"/>
    <col collapsed="false" customWidth="true" hidden="false" outlineLevel="0" max="18" min="18" style="6" width="6.57"/>
    <col collapsed="false" customWidth="true" hidden="false" outlineLevel="0" max="19" min="19" style="6" width="7.71"/>
    <col collapsed="false" customWidth="true" hidden="false" outlineLevel="0" max="20" min="20" style="6" width="6.86"/>
    <col collapsed="false" customWidth="true" hidden="false" outlineLevel="0" max="21" min="21" style="7" width="7"/>
    <col collapsed="false" customWidth="true" hidden="false" outlineLevel="0" max="22" min="22" style="8" width="12.57"/>
    <col collapsed="false" customWidth="true" hidden="false" outlineLevel="0" max="23" min="23" style="2" width="3.99"/>
    <col collapsed="false" customWidth="true" hidden="false" outlineLevel="0" max="24" min="24" style="9" width="3.14"/>
    <col collapsed="false" customWidth="true" hidden="false" outlineLevel="0" max="25" min="25" style="9" width="4.14"/>
    <col collapsed="false" customWidth="true" hidden="false" outlineLevel="0" max="26" min="26" style="10" width="11.71"/>
    <col collapsed="false" customWidth="true" hidden="false" outlineLevel="0" max="27" min="27" style="11" width="8.29"/>
    <col collapsed="false" customWidth="false" hidden="false" outlineLevel="0" max="1024" min="28" style="2" width="9.14"/>
  </cols>
  <sheetData>
    <row r="1" s="20" customFormat="true" ht="19.9" hidden="false" customHeight="true" outlineLevel="0" collapsed="false">
      <c r="A1" s="12" t="n">
        <v>45440</v>
      </c>
      <c r="B1" s="12"/>
      <c r="C1" s="13" t="s">
        <v>0</v>
      </c>
      <c r="D1" s="14"/>
      <c r="E1" s="15"/>
      <c r="F1" s="16"/>
      <c r="G1" s="17"/>
      <c r="H1" s="17"/>
      <c r="I1" s="18"/>
      <c r="J1" s="19"/>
      <c r="K1" s="18"/>
      <c r="L1" s="18"/>
      <c r="M1" s="18"/>
      <c r="N1" s="18"/>
      <c r="P1" s="18"/>
      <c r="Q1" s="18"/>
      <c r="R1" s="18"/>
      <c r="S1" s="18"/>
      <c r="T1" s="18"/>
      <c r="U1" s="21"/>
      <c r="V1" s="22"/>
      <c r="W1" s="23"/>
      <c r="Z1" s="24"/>
      <c r="AA1" s="25"/>
    </row>
    <row r="2" s="9" customFormat="true" ht="31.5" hidden="false" customHeight="true" outlineLevel="0" collapsed="false">
      <c r="A2" s="26"/>
      <c r="B2" s="27" t="s">
        <v>1</v>
      </c>
      <c r="C2" s="28" t="s">
        <v>2</v>
      </c>
      <c r="D2" s="29" t="s">
        <v>3</v>
      </c>
      <c r="E2" s="30" t="s">
        <v>4</v>
      </c>
      <c r="F2" s="31" t="s">
        <v>5</v>
      </c>
      <c r="G2" s="32" t="s">
        <v>6</v>
      </c>
      <c r="H2" s="33" t="s">
        <v>7</v>
      </c>
      <c r="I2" s="34" t="s">
        <v>8</v>
      </c>
      <c r="J2" s="35" t="s">
        <v>9</v>
      </c>
      <c r="K2" s="36" t="s">
        <v>10</v>
      </c>
      <c r="L2" s="37" t="s">
        <v>11</v>
      </c>
      <c r="M2" s="38" t="s">
        <v>12</v>
      </c>
      <c r="N2" s="39" t="s">
        <v>13</v>
      </c>
      <c r="O2" s="40" t="s">
        <v>14</v>
      </c>
      <c r="P2" s="41" t="s">
        <v>15</v>
      </c>
      <c r="Q2" s="41" t="s">
        <v>16</v>
      </c>
      <c r="R2" s="41" t="s">
        <v>17</v>
      </c>
      <c r="S2" s="42" t="s">
        <v>18</v>
      </c>
      <c r="T2" s="43" t="s">
        <v>19</v>
      </c>
      <c r="U2" s="44" t="s">
        <v>20</v>
      </c>
      <c r="V2" s="45" t="s">
        <v>21</v>
      </c>
      <c r="W2" s="46" t="s">
        <v>22</v>
      </c>
      <c r="X2" s="47" t="s">
        <v>23</v>
      </c>
      <c r="Y2" s="47" t="s">
        <v>24</v>
      </c>
      <c r="Z2" s="48"/>
      <c r="AA2" s="49"/>
    </row>
    <row r="3" s="9" customFormat="true" ht="6.75" hidden="false" customHeight="true" outlineLevel="0" collapsed="false">
      <c r="A3" s="50"/>
      <c r="B3" s="51"/>
      <c r="C3" s="52"/>
      <c r="D3" s="53"/>
      <c r="E3" s="54"/>
      <c r="F3" s="55"/>
      <c r="G3" s="56"/>
      <c r="H3" s="56"/>
      <c r="I3" s="57"/>
      <c r="J3" s="58"/>
      <c r="K3" s="58"/>
      <c r="L3" s="58"/>
      <c r="M3" s="58"/>
      <c r="N3" s="57"/>
      <c r="O3" s="58"/>
      <c r="P3" s="57"/>
      <c r="Q3" s="59"/>
      <c r="R3" s="60"/>
      <c r="S3" s="57"/>
      <c r="T3" s="60"/>
      <c r="U3" s="61"/>
      <c r="V3" s="62"/>
      <c r="W3" s="63"/>
      <c r="X3" s="64"/>
      <c r="Y3" s="64"/>
      <c r="Z3" s="65"/>
      <c r="AA3" s="49"/>
    </row>
    <row r="4" customFormat="false" ht="15.75" hidden="false" customHeight="true" outlineLevel="0" collapsed="false">
      <c r="A4" s="66" t="s">
        <v>25</v>
      </c>
      <c r="B4" s="67"/>
      <c r="C4" s="68"/>
      <c r="D4" s="68"/>
      <c r="E4" s="69"/>
      <c r="F4" s="68"/>
      <c r="G4" s="70"/>
      <c r="H4" s="70"/>
      <c r="I4" s="71"/>
      <c r="J4" s="72"/>
      <c r="K4" s="71"/>
      <c r="L4" s="71"/>
      <c r="M4" s="71"/>
      <c r="N4" s="71"/>
      <c r="O4" s="72"/>
      <c r="P4" s="71"/>
      <c r="Q4" s="71"/>
      <c r="R4" s="71"/>
      <c r="S4" s="71"/>
      <c r="T4" s="71"/>
      <c r="U4" s="73"/>
      <c r="V4" s="74"/>
      <c r="W4" s="75"/>
      <c r="X4" s="67"/>
      <c r="Y4" s="76"/>
      <c r="Z4" s="77"/>
    </row>
    <row r="5" s="9" customFormat="true" ht="7.5" hidden="false" customHeight="true" outlineLevel="0" collapsed="false">
      <c r="A5" s="78"/>
      <c r="B5" s="2"/>
      <c r="C5" s="3"/>
      <c r="D5" s="79"/>
      <c r="E5" s="80"/>
      <c r="F5" s="81"/>
      <c r="G5" s="5"/>
      <c r="H5" s="82"/>
      <c r="I5" s="83"/>
      <c r="J5" s="84"/>
      <c r="K5" s="84"/>
      <c r="L5" s="84"/>
      <c r="M5" s="84"/>
      <c r="N5" s="83"/>
      <c r="O5" s="84"/>
      <c r="P5" s="83"/>
      <c r="Q5" s="6"/>
      <c r="R5" s="85"/>
      <c r="S5" s="83"/>
      <c r="T5" s="85"/>
      <c r="U5" s="86"/>
      <c r="V5" s="87"/>
      <c r="W5" s="88"/>
      <c r="Y5" s="89"/>
      <c r="Z5" s="90"/>
      <c r="AA5" s="49"/>
    </row>
    <row r="6" s="9" customFormat="true" ht="14.1" hidden="false" customHeight="true" outlineLevel="0" collapsed="false">
      <c r="A6" s="78" t="s">
        <v>26</v>
      </c>
      <c r="B6" s="2" t="s">
        <v>27</v>
      </c>
      <c r="C6" s="3"/>
      <c r="D6" s="79" t="n">
        <v>5094103</v>
      </c>
      <c r="E6" s="80" t="n">
        <v>45421</v>
      </c>
      <c r="F6" s="81" t="s">
        <v>28</v>
      </c>
      <c r="G6" s="5" t="n">
        <v>45421</v>
      </c>
      <c r="H6" s="82" t="s">
        <v>29</v>
      </c>
      <c r="I6" s="83"/>
      <c r="J6" s="84"/>
      <c r="K6" s="84"/>
      <c r="L6" s="84"/>
      <c r="M6" s="84"/>
      <c r="N6" s="83"/>
      <c r="O6" s="84"/>
      <c r="P6" s="83"/>
      <c r="Q6" s="6"/>
      <c r="R6" s="85"/>
      <c r="S6" s="83" t="n">
        <v>29</v>
      </c>
      <c r="T6" s="85"/>
      <c r="U6" s="86" t="n">
        <v>2.68</v>
      </c>
      <c r="V6" s="87" t="n">
        <f aca="false">SUM(I6:U6)</f>
        <v>31.68</v>
      </c>
      <c r="W6" s="88" t="s">
        <v>30</v>
      </c>
      <c r="X6" s="9" t="s">
        <v>31</v>
      </c>
      <c r="Y6" s="89" t="s">
        <v>32</v>
      </c>
      <c r="Z6" s="90" t="s">
        <v>33</v>
      </c>
      <c r="AA6" s="49"/>
    </row>
    <row r="7" s="9" customFormat="true" ht="14.1" hidden="false" customHeight="true" outlineLevel="0" collapsed="false">
      <c r="A7" s="78" t="s">
        <v>26</v>
      </c>
      <c r="B7" s="2" t="s">
        <v>34</v>
      </c>
      <c r="C7" s="3"/>
      <c r="D7" s="79" t="n">
        <v>5144107</v>
      </c>
      <c r="E7" s="80" t="n">
        <v>45426</v>
      </c>
      <c r="F7" s="81" t="s">
        <v>28</v>
      </c>
      <c r="G7" s="5" t="n">
        <v>45426</v>
      </c>
      <c r="H7" s="82" t="s">
        <v>29</v>
      </c>
      <c r="I7" s="83"/>
      <c r="J7" s="84"/>
      <c r="K7" s="84"/>
      <c r="L7" s="84"/>
      <c r="M7" s="84"/>
      <c r="N7" s="83"/>
      <c r="O7" s="84"/>
      <c r="P7" s="83"/>
      <c r="Q7" s="6"/>
      <c r="R7" s="85"/>
      <c r="S7" s="83" t="n">
        <v>147</v>
      </c>
      <c r="T7" s="85"/>
      <c r="U7" s="86" t="n">
        <v>13.6</v>
      </c>
      <c r="V7" s="87" t="n">
        <f aca="false">SUM(I7:U7)</f>
        <v>160.6</v>
      </c>
      <c r="W7" s="88" t="s">
        <v>30</v>
      </c>
      <c r="X7" s="9" t="s">
        <v>35</v>
      </c>
      <c r="Y7" s="89" t="s">
        <v>32</v>
      </c>
      <c r="Z7" s="90" t="s">
        <v>33</v>
      </c>
      <c r="AA7" s="49"/>
    </row>
    <row r="8" s="9" customFormat="true" ht="14.1" hidden="false" customHeight="true" outlineLevel="0" collapsed="false">
      <c r="A8" s="78" t="s">
        <v>26</v>
      </c>
      <c r="B8" s="2" t="s">
        <v>36</v>
      </c>
      <c r="C8" s="3"/>
      <c r="D8" s="79" t="n">
        <v>5034101</v>
      </c>
      <c r="E8" s="80" t="n">
        <v>45415</v>
      </c>
      <c r="F8" s="81" t="s">
        <v>28</v>
      </c>
      <c r="G8" s="5" t="n">
        <v>45415</v>
      </c>
      <c r="H8" s="82" t="s">
        <v>37</v>
      </c>
      <c r="I8" s="83"/>
      <c r="J8" s="84"/>
      <c r="K8" s="84"/>
      <c r="L8" s="84"/>
      <c r="M8" s="84"/>
      <c r="N8" s="83"/>
      <c r="O8" s="84"/>
      <c r="P8" s="83"/>
      <c r="Q8" s="6"/>
      <c r="R8" s="85"/>
      <c r="S8" s="83" t="n">
        <v>260</v>
      </c>
      <c r="T8" s="85" t="n">
        <v>50</v>
      </c>
      <c r="U8" s="86" t="n">
        <v>22.43</v>
      </c>
      <c r="V8" s="87" t="n">
        <f aca="false">SUM(I8:U8)</f>
        <v>332.43</v>
      </c>
      <c r="W8" s="88" t="s">
        <v>38</v>
      </c>
      <c r="X8" s="9" t="s">
        <v>26</v>
      </c>
      <c r="Y8" s="89" t="s">
        <v>32</v>
      </c>
      <c r="Z8" s="90" t="s">
        <v>39</v>
      </c>
      <c r="AA8" s="49"/>
    </row>
    <row r="9" s="9" customFormat="true" ht="14.1" hidden="false" customHeight="true" outlineLevel="0" collapsed="false">
      <c r="A9" s="78" t="s">
        <v>40</v>
      </c>
      <c r="B9" s="2" t="s">
        <v>41</v>
      </c>
      <c r="C9" s="3"/>
      <c r="D9" s="79" t="n">
        <v>5064107</v>
      </c>
      <c r="E9" s="80" t="n">
        <v>45418</v>
      </c>
      <c r="F9" s="81" t="s">
        <v>42</v>
      </c>
      <c r="G9" s="5" t="n">
        <v>45418</v>
      </c>
      <c r="H9" s="82" t="s">
        <v>29</v>
      </c>
      <c r="I9" s="83" t="n">
        <v>195</v>
      </c>
      <c r="J9" s="84"/>
      <c r="K9" s="84"/>
      <c r="L9" s="84"/>
      <c r="M9" s="84"/>
      <c r="N9" s="83"/>
      <c r="O9" s="84"/>
      <c r="P9" s="83"/>
      <c r="Q9" s="6" t="n">
        <v>180</v>
      </c>
      <c r="R9" s="85" t="n">
        <v>45</v>
      </c>
      <c r="S9" s="83"/>
      <c r="T9" s="85"/>
      <c r="U9" s="86" t="n">
        <v>18.04</v>
      </c>
      <c r="V9" s="87" t="n">
        <f aca="false">SUM(I9:U9)</f>
        <v>438.04</v>
      </c>
      <c r="W9" s="88" t="s">
        <v>43</v>
      </c>
      <c r="X9" s="9" t="s">
        <v>40</v>
      </c>
      <c r="Y9" s="89" t="s">
        <v>32</v>
      </c>
      <c r="Z9" s="90" t="s">
        <v>39</v>
      </c>
      <c r="AA9" s="49"/>
    </row>
    <row r="10" s="9" customFormat="true" ht="14.1" hidden="false" customHeight="true" outlineLevel="0" collapsed="false">
      <c r="A10" s="78" t="s">
        <v>26</v>
      </c>
      <c r="B10" s="2" t="s">
        <v>44</v>
      </c>
      <c r="C10" s="3"/>
      <c r="D10" s="79" t="n">
        <v>5094101</v>
      </c>
      <c r="E10" s="80" t="n">
        <v>45421</v>
      </c>
      <c r="F10" s="81" t="s">
        <v>28</v>
      </c>
      <c r="G10" s="5" t="n">
        <v>45422</v>
      </c>
      <c r="H10" s="82" t="s">
        <v>45</v>
      </c>
      <c r="I10" s="83"/>
      <c r="J10" s="84"/>
      <c r="K10" s="84"/>
      <c r="L10" s="84"/>
      <c r="M10" s="84"/>
      <c r="N10" s="83"/>
      <c r="O10" s="84"/>
      <c r="P10" s="83"/>
      <c r="Q10" s="6"/>
      <c r="R10" s="85"/>
      <c r="S10" s="83" t="n">
        <v>69</v>
      </c>
      <c r="T10" s="85" t="n">
        <v>12.5</v>
      </c>
      <c r="U10" s="86" t="n">
        <v>5.78</v>
      </c>
      <c r="V10" s="87" t="n">
        <f aca="false">SUM(I10:U10)</f>
        <v>87.28</v>
      </c>
      <c r="W10" s="88" t="s">
        <v>38</v>
      </c>
      <c r="X10" s="9" t="s">
        <v>46</v>
      </c>
      <c r="Y10" s="89" t="s">
        <v>32</v>
      </c>
      <c r="Z10" s="90" t="s">
        <v>39</v>
      </c>
      <c r="AA10" s="49"/>
    </row>
    <row r="11" s="9" customFormat="true" ht="14.1" hidden="false" customHeight="true" outlineLevel="0" collapsed="false">
      <c r="A11" s="78" t="s">
        <v>26</v>
      </c>
      <c r="B11" s="2" t="s">
        <v>47</v>
      </c>
      <c r="C11" s="3"/>
      <c r="D11" s="79" t="n">
        <v>5134104</v>
      </c>
      <c r="E11" s="80" t="n">
        <v>45425</v>
      </c>
      <c r="F11" s="81" t="s">
        <v>28</v>
      </c>
      <c r="G11" s="5" t="n">
        <v>45425</v>
      </c>
      <c r="H11" s="82" t="s">
        <v>48</v>
      </c>
      <c r="I11" s="83"/>
      <c r="J11" s="84"/>
      <c r="K11" s="84"/>
      <c r="L11" s="84"/>
      <c r="M11" s="84"/>
      <c r="N11" s="83"/>
      <c r="O11" s="84"/>
      <c r="P11" s="83"/>
      <c r="Q11" s="6"/>
      <c r="R11" s="85"/>
      <c r="S11" s="83" t="n">
        <v>123</v>
      </c>
      <c r="T11" s="85" t="n">
        <v>12.5</v>
      </c>
      <c r="U11" s="86" t="n">
        <v>11.69</v>
      </c>
      <c r="V11" s="87" t="n">
        <f aca="false">SUM(I11:U11)</f>
        <v>147.19</v>
      </c>
      <c r="W11" s="88" t="s">
        <v>38</v>
      </c>
      <c r="X11" s="9" t="s">
        <v>46</v>
      </c>
      <c r="Y11" s="89" t="s">
        <v>32</v>
      </c>
      <c r="Z11" s="90" t="s">
        <v>39</v>
      </c>
      <c r="AA11" s="49"/>
    </row>
    <row r="12" s="9" customFormat="true" ht="14.1" hidden="false" customHeight="true" outlineLevel="0" collapsed="false">
      <c r="A12" s="78" t="s">
        <v>26</v>
      </c>
      <c r="B12" s="2" t="s">
        <v>49</v>
      </c>
      <c r="C12" s="3"/>
      <c r="D12" s="79" t="n">
        <v>5144103</v>
      </c>
      <c r="E12" s="80" t="n">
        <v>45426</v>
      </c>
      <c r="F12" s="81" t="s">
        <v>28</v>
      </c>
      <c r="G12" s="5" t="n">
        <v>45426</v>
      </c>
      <c r="H12" s="82" t="s">
        <v>50</v>
      </c>
      <c r="I12" s="83"/>
      <c r="J12" s="84"/>
      <c r="K12" s="84"/>
      <c r="L12" s="84"/>
      <c r="M12" s="84"/>
      <c r="N12" s="83"/>
      <c r="O12" s="84"/>
      <c r="P12" s="83"/>
      <c r="Q12" s="6"/>
      <c r="R12" s="85"/>
      <c r="S12" s="83" t="n">
        <v>276</v>
      </c>
      <c r="T12" s="85" t="n">
        <v>50</v>
      </c>
      <c r="U12" s="86" t="n">
        <v>24.5</v>
      </c>
      <c r="V12" s="87" t="n">
        <f aca="false">SUM(I12:U12)</f>
        <v>350.5</v>
      </c>
      <c r="W12" s="88" t="s">
        <v>38</v>
      </c>
      <c r="X12" s="9" t="s">
        <v>26</v>
      </c>
      <c r="Y12" s="89" t="s">
        <v>32</v>
      </c>
      <c r="Z12" s="90" t="s">
        <v>39</v>
      </c>
      <c r="AA12" s="49"/>
    </row>
    <row r="13" s="9" customFormat="true" ht="14.1" hidden="false" customHeight="true" outlineLevel="0" collapsed="false">
      <c r="A13" s="78" t="s">
        <v>26</v>
      </c>
      <c r="B13" s="2" t="s">
        <v>51</v>
      </c>
      <c r="C13" s="3"/>
      <c r="D13" s="79" t="n">
        <v>5144106</v>
      </c>
      <c r="E13" s="80" t="n">
        <v>45426</v>
      </c>
      <c r="F13" s="81" t="s">
        <v>28</v>
      </c>
      <c r="G13" s="5" t="n">
        <v>45426</v>
      </c>
      <c r="H13" s="82" t="s">
        <v>52</v>
      </c>
      <c r="I13" s="83"/>
      <c r="J13" s="84"/>
      <c r="K13" s="84"/>
      <c r="L13" s="84"/>
      <c r="M13" s="84"/>
      <c r="N13" s="83"/>
      <c r="O13" s="84"/>
      <c r="P13" s="83"/>
      <c r="Q13" s="6"/>
      <c r="R13" s="85"/>
      <c r="S13" s="83" t="n">
        <v>296</v>
      </c>
      <c r="T13" s="85" t="n">
        <v>87.5</v>
      </c>
      <c r="U13" s="86" t="n">
        <v>24.42</v>
      </c>
      <c r="V13" s="87" t="n">
        <f aca="false">SUM(I13:U13)</f>
        <v>407.92</v>
      </c>
      <c r="W13" s="88" t="s">
        <v>38</v>
      </c>
      <c r="X13" s="9" t="s">
        <v>26</v>
      </c>
      <c r="Y13" s="89" t="s">
        <v>32</v>
      </c>
      <c r="Z13" s="90" t="s">
        <v>39</v>
      </c>
      <c r="AA13" s="49"/>
    </row>
    <row r="14" s="9" customFormat="true" ht="14.1" hidden="false" customHeight="true" outlineLevel="0" collapsed="false">
      <c r="A14" s="78" t="s">
        <v>26</v>
      </c>
      <c r="B14" s="2" t="s">
        <v>53</v>
      </c>
      <c r="C14" s="3"/>
      <c r="D14" s="79" t="n">
        <v>5154102</v>
      </c>
      <c r="E14" s="80" t="n">
        <v>45427</v>
      </c>
      <c r="F14" s="81" t="s">
        <v>28</v>
      </c>
      <c r="G14" s="5" t="n">
        <v>45428</v>
      </c>
      <c r="H14" s="82" t="s">
        <v>37</v>
      </c>
      <c r="I14" s="83"/>
      <c r="J14" s="84"/>
      <c r="K14" s="84"/>
      <c r="L14" s="84"/>
      <c r="M14" s="84"/>
      <c r="N14" s="83"/>
      <c r="O14" s="84"/>
      <c r="P14" s="83"/>
      <c r="Q14" s="6"/>
      <c r="R14" s="85"/>
      <c r="S14" s="83" t="n">
        <v>726</v>
      </c>
      <c r="T14" s="85" t="n">
        <v>112.5</v>
      </c>
      <c r="U14" s="86" t="n">
        <v>62.62</v>
      </c>
      <c r="V14" s="87" t="n">
        <f aca="false">SUM(I14:U14)</f>
        <v>901.12</v>
      </c>
      <c r="W14" s="88" t="s">
        <v>38</v>
      </c>
      <c r="X14" s="9" t="s">
        <v>46</v>
      </c>
      <c r="Y14" s="89" t="s">
        <v>32</v>
      </c>
      <c r="Z14" s="90" t="s">
        <v>39</v>
      </c>
      <c r="AA14" s="49"/>
    </row>
    <row r="15" s="9" customFormat="true" ht="14.1" hidden="false" customHeight="true" outlineLevel="0" collapsed="false">
      <c r="A15" s="78" t="s">
        <v>26</v>
      </c>
      <c r="B15" s="2" t="s">
        <v>54</v>
      </c>
      <c r="C15" s="3"/>
      <c r="D15" s="79" t="n">
        <v>5164063</v>
      </c>
      <c r="E15" s="80" t="n">
        <v>45428</v>
      </c>
      <c r="F15" s="81" t="s">
        <v>28</v>
      </c>
      <c r="G15" s="5" t="n">
        <v>45428</v>
      </c>
      <c r="H15" s="82" t="s">
        <v>55</v>
      </c>
      <c r="I15" s="83"/>
      <c r="J15" s="84"/>
      <c r="K15" s="84"/>
      <c r="L15" s="84"/>
      <c r="M15" s="84"/>
      <c r="N15" s="83"/>
      <c r="O15" s="84"/>
      <c r="P15" s="83"/>
      <c r="Q15" s="6"/>
      <c r="R15" s="85"/>
      <c r="S15" s="83" t="n">
        <v>143</v>
      </c>
      <c r="T15" s="85" t="n">
        <v>25</v>
      </c>
      <c r="U15" s="86" t="n">
        <v>14.66</v>
      </c>
      <c r="V15" s="87" t="n">
        <f aca="false">SUM(I15:U15)</f>
        <v>182.66</v>
      </c>
      <c r="W15" s="88" t="s">
        <v>38</v>
      </c>
      <c r="X15" s="9" t="s">
        <v>46</v>
      </c>
      <c r="Y15" s="89" t="s">
        <v>32</v>
      </c>
      <c r="Z15" s="90" t="s">
        <v>39</v>
      </c>
      <c r="AA15" s="49"/>
    </row>
    <row r="16" s="9" customFormat="true" ht="14.1" hidden="false" customHeight="true" outlineLevel="0" collapsed="false">
      <c r="A16" s="78" t="s">
        <v>26</v>
      </c>
      <c r="B16" s="2" t="s">
        <v>56</v>
      </c>
      <c r="C16" s="3"/>
      <c r="D16" s="79" t="n">
        <v>5174064</v>
      </c>
      <c r="E16" s="80" t="n">
        <v>45429</v>
      </c>
      <c r="F16" s="81" t="s">
        <v>28</v>
      </c>
      <c r="G16" s="5" t="n">
        <v>45429</v>
      </c>
      <c r="H16" s="82" t="s">
        <v>57</v>
      </c>
      <c r="I16" s="83"/>
      <c r="J16" s="84"/>
      <c r="K16" s="84"/>
      <c r="L16" s="84"/>
      <c r="M16" s="84"/>
      <c r="N16" s="83"/>
      <c r="O16" s="84"/>
      <c r="P16" s="83"/>
      <c r="Q16" s="6"/>
      <c r="R16" s="85"/>
      <c r="S16" s="83" t="n">
        <v>78</v>
      </c>
      <c r="T16" s="85" t="n">
        <v>12.5</v>
      </c>
      <c r="U16" s="86" t="n">
        <v>6.63</v>
      </c>
      <c r="V16" s="87" t="n">
        <f aca="false">SUM(I16:U16)</f>
        <v>97.13</v>
      </c>
      <c r="W16" s="88" t="s">
        <v>38</v>
      </c>
      <c r="X16" s="9" t="s">
        <v>46</v>
      </c>
      <c r="Y16" s="89" t="s">
        <v>32</v>
      </c>
      <c r="Z16" s="90" t="s">
        <v>39</v>
      </c>
      <c r="AA16" s="49"/>
    </row>
    <row r="17" s="9" customFormat="true" ht="14.1" hidden="false" customHeight="true" outlineLevel="0" collapsed="false">
      <c r="A17" s="78" t="s">
        <v>26</v>
      </c>
      <c r="B17" s="2" t="s">
        <v>58</v>
      </c>
      <c r="C17" s="3"/>
      <c r="D17" s="79" t="n">
        <v>5204103</v>
      </c>
      <c r="E17" s="80" t="n">
        <v>45432</v>
      </c>
      <c r="F17" s="81" t="s">
        <v>28</v>
      </c>
      <c r="G17" s="5" t="n">
        <v>45432</v>
      </c>
      <c r="H17" s="82" t="s">
        <v>59</v>
      </c>
      <c r="I17" s="83"/>
      <c r="J17" s="84"/>
      <c r="K17" s="84"/>
      <c r="L17" s="84"/>
      <c r="M17" s="84"/>
      <c r="N17" s="83"/>
      <c r="O17" s="84"/>
      <c r="P17" s="83"/>
      <c r="Q17" s="6"/>
      <c r="R17" s="85"/>
      <c r="S17" s="83" t="n">
        <v>157</v>
      </c>
      <c r="T17" s="85" t="n">
        <v>37.5</v>
      </c>
      <c r="U17" s="86" t="n">
        <v>13.35</v>
      </c>
      <c r="V17" s="87" t="n">
        <f aca="false">SUM(I17:U17)</f>
        <v>207.85</v>
      </c>
      <c r="W17" s="88" t="s">
        <v>38</v>
      </c>
      <c r="X17" s="9" t="s">
        <v>46</v>
      </c>
      <c r="Y17" s="89" t="s">
        <v>32</v>
      </c>
      <c r="Z17" s="90" t="s">
        <v>39</v>
      </c>
      <c r="AA17" s="49"/>
    </row>
    <row r="18" s="9" customFormat="true" ht="14.1" hidden="false" customHeight="true" outlineLevel="0" collapsed="false">
      <c r="A18" s="78" t="s">
        <v>40</v>
      </c>
      <c r="B18" s="2" t="s">
        <v>60</v>
      </c>
      <c r="C18" s="3"/>
      <c r="D18" s="79" t="n">
        <v>5204104</v>
      </c>
      <c r="E18" s="80" t="n">
        <v>45432</v>
      </c>
      <c r="F18" s="81" t="s">
        <v>42</v>
      </c>
      <c r="G18" s="5" t="n">
        <v>45432</v>
      </c>
      <c r="H18" s="82" t="s">
        <v>37</v>
      </c>
      <c r="I18" s="83"/>
      <c r="J18" s="84"/>
      <c r="K18" s="84"/>
      <c r="L18" s="84"/>
      <c r="M18" s="84"/>
      <c r="N18" s="83"/>
      <c r="O18" s="84"/>
      <c r="P18" s="83"/>
      <c r="Q18" s="6" t="n">
        <v>180</v>
      </c>
      <c r="R18" s="85" t="n">
        <v>90</v>
      </c>
      <c r="S18" s="83"/>
      <c r="T18" s="85"/>
      <c r="U18" s="86"/>
      <c r="V18" s="87" t="n">
        <f aca="false">SUM(I18:U18)</f>
        <v>270</v>
      </c>
      <c r="W18" s="88" t="s">
        <v>43</v>
      </c>
      <c r="X18" s="9" t="s">
        <v>40</v>
      </c>
      <c r="Y18" s="89" t="s">
        <v>32</v>
      </c>
      <c r="Z18" s="90" t="s">
        <v>39</v>
      </c>
      <c r="AA18" s="49"/>
    </row>
    <row r="19" s="9" customFormat="true" ht="14.1" hidden="false" customHeight="true" outlineLevel="0" collapsed="false">
      <c r="A19" s="78" t="s">
        <v>26</v>
      </c>
      <c r="B19" s="2" t="s">
        <v>61</v>
      </c>
      <c r="C19" s="3" t="s">
        <v>62</v>
      </c>
      <c r="D19" s="79" t="n">
        <v>5214103</v>
      </c>
      <c r="E19" s="80" t="n">
        <v>45433</v>
      </c>
      <c r="F19" s="81" t="s">
        <v>28</v>
      </c>
      <c r="G19" s="5" t="n">
        <v>45433</v>
      </c>
      <c r="H19" s="82" t="s">
        <v>29</v>
      </c>
      <c r="I19" s="83"/>
      <c r="J19" s="84"/>
      <c r="K19" s="84"/>
      <c r="L19" s="84"/>
      <c r="M19" s="84"/>
      <c r="N19" s="83"/>
      <c r="O19" s="84"/>
      <c r="P19" s="83"/>
      <c r="Q19" s="6"/>
      <c r="R19" s="85"/>
      <c r="S19" s="83" t="n">
        <v>138</v>
      </c>
      <c r="T19" s="85"/>
      <c r="U19" s="86" t="n">
        <v>14.15</v>
      </c>
      <c r="V19" s="87" t="n">
        <f aca="false">SUM(I19:U19)</f>
        <v>152.15</v>
      </c>
      <c r="W19" s="88" t="s">
        <v>30</v>
      </c>
      <c r="X19" s="9" t="s">
        <v>63</v>
      </c>
      <c r="Y19" s="89" t="s">
        <v>32</v>
      </c>
      <c r="Z19" s="90" t="s">
        <v>39</v>
      </c>
      <c r="AA19" s="49"/>
    </row>
    <row r="20" s="9" customFormat="true" ht="14.1" hidden="false" customHeight="true" outlineLevel="0" collapsed="false">
      <c r="A20" s="78" t="s">
        <v>26</v>
      </c>
      <c r="B20" s="2" t="s">
        <v>64</v>
      </c>
      <c r="C20" s="3"/>
      <c r="D20" s="79" t="n">
        <v>5214105</v>
      </c>
      <c r="E20" s="80" t="n">
        <v>45433</v>
      </c>
      <c r="F20" s="81" t="s">
        <v>65</v>
      </c>
      <c r="G20" s="5" t="n">
        <v>45433</v>
      </c>
      <c r="H20" s="82" t="s">
        <v>66</v>
      </c>
      <c r="I20" s="83" t="n">
        <v>700</v>
      </c>
      <c r="J20" s="84"/>
      <c r="K20" s="84"/>
      <c r="L20" s="84"/>
      <c r="M20" s="84"/>
      <c r="N20" s="83"/>
      <c r="O20" s="84"/>
      <c r="P20" s="83"/>
      <c r="Q20" s="6"/>
      <c r="R20" s="85"/>
      <c r="S20" s="83"/>
      <c r="T20" s="85" t="n">
        <v>12.5</v>
      </c>
      <c r="U20" s="86" t="n">
        <v>64.75</v>
      </c>
      <c r="V20" s="87" t="n">
        <f aca="false">SUM(I20:U20)</f>
        <v>777.25</v>
      </c>
      <c r="W20" s="88" t="s">
        <v>38</v>
      </c>
      <c r="X20" s="9" t="s">
        <v>26</v>
      </c>
      <c r="Y20" s="89" t="s">
        <v>32</v>
      </c>
      <c r="Z20" s="90" t="s">
        <v>39</v>
      </c>
      <c r="AA20" s="49"/>
    </row>
    <row r="21" s="9" customFormat="true" ht="14.1" hidden="false" customHeight="true" outlineLevel="0" collapsed="false">
      <c r="A21" s="78" t="s">
        <v>26</v>
      </c>
      <c r="B21" s="2" t="s">
        <v>67</v>
      </c>
      <c r="C21" s="3"/>
      <c r="D21" s="79" t="n">
        <v>5224101</v>
      </c>
      <c r="E21" s="80" t="n">
        <v>45434</v>
      </c>
      <c r="F21" s="81" t="s">
        <v>28</v>
      </c>
      <c r="G21" s="5" t="n">
        <v>45434</v>
      </c>
      <c r="H21" s="82" t="s">
        <v>29</v>
      </c>
      <c r="I21" s="83"/>
      <c r="J21" s="84"/>
      <c r="K21" s="84"/>
      <c r="L21" s="84"/>
      <c r="M21" s="84"/>
      <c r="N21" s="83"/>
      <c r="O21" s="84"/>
      <c r="P21" s="83"/>
      <c r="Q21" s="6"/>
      <c r="R21" s="85"/>
      <c r="S21" s="83" t="n">
        <v>118</v>
      </c>
      <c r="T21" s="85"/>
      <c r="U21" s="86" t="n">
        <v>10.92</v>
      </c>
      <c r="V21" s="87" t="n">
        <f aca="false">SUM(I21:U21)</f>
        <v>128.92</v>
      </c>
      <c r="W21" s="88" t="s">
        <v>30</v>
      </c>
      <c r="X21" s="9" t="s">
        <v>68</v>
      </c>
      <c r="Y21" s="89" t="s">
        <v>32</v>
      </c>
      <c r="Z21" s="90" t="s">
        <v>39</v>
      </c>
      <c r="AA21" s="49"/>
    </row>
    <row r="22" s="9" customFormat="true" ht="14.1" hidden="false" customHeight="true" outlineLevel="0" collapsed="false">
      <c r="A22" s="78" t="s">
        <v>26</v>
      </c>
      <c r="B22" s="2" t="s">
        <v>69</v>
      </c>
      <c r="C22" s="3"/>
      <c r="D22" s="79" t="n">
        <v>5224103</v>
      </c>
      <c r="E22" s="80" t="n">
        <v>45434</v>
      </c>
      <c r="F22" s="81" t="s">
        <v>28</v>
      </c>
      <c r="G22" s="5" t="n">
        <v>45434</v>
      </c>
      <c r="H22" s="82" t="s">
        <v>29</v>
      </c>
      <c r="I22" s="83"/>
      <c r="J22" s="84"/>
      <c r="K22" s="84"/>
      <c r="L22" s="84"/>
      <c r="M22" s="84"/>
      <c r="N22" s="83"/>
      <c r="O22" s="84"/>
      <c r="P22" s="83"/>
      <c r="Q22" s="6"/>
      <c r="R22" s="85"/>
      <c r="S22" s="83" t="n">
        <v>471</v>
      </c>
      <c r="T22" s="85"/>
      <c r="U22" s="86" t="n">
        <v>50.63</v>
      </c>
      <c r="V22" s="87" t="n">
        <f aca="false">SUM(I22:U22)</f>
        <v>521.63</v>
      </c>
      <c r="W22" s="88" t="s">
        <v>30</v>
      </c>
      <c r="X22" s="9" t="s">
        <v>70</v>
      </c>
      <c r="Y22" s="89" t="s">
        <v>71</v>
      </c>
      <c r="Z22" s="90" t="s">
        <v>39</v>
      </c>
      <c r="AA22" s="49"/>
    </row>
    <row r="23" s="9" customFormat="true" ht="14.1" hidden="false" customHeight="true" outlineLevel="0" collapsed="false">
      <c r="A23" s="78" t="s">
        <v>26</v>
      </c>
      <c r="B23" s="2" t="s">
        <v>72</v>
      </c>
      <c r="C23" s="3"/>
      <c r="D23" s="79" t="n">
        <v>5224104</v>
      </c>
      <c r="E23" s="80" t="n">
        <v>45434</v>
      </c>
      <c r="F23" s="81" t="s">
        <v>28</v>
      </c>
      <c r="G23" s="5" t="n">
        <v>45434</v>
      </c>
      <c r="H23" s="82" t="s">
        <v>73</v>
      </c>
      <c r="I23" s="83"/>
      <c r="J23" s="84"/>
      <c r="K23" s="84"/>
      <c r="L23" s="84"/>
      <c r="M23" s="84"/>
      <c r="N23" s="83"/>
      <c r="O23" s="84"/>
      <c r="P23" s="83"/>
      <c r="Q23" s="6"/>
      <c r="R23" s="85"/>
      <c r="S23" s="83" t="n">
        <v>246</v>
      </c>
      <c r="T23" s="85" t="n">
        <v>50</v>
      </c>
      <c r="U23" s="86" t="n">
        <v>22.14</v>
      </c>
      <c r="V23" s="87" t="n">
        <f aca="false">SUM(I23:U23)</f>
        <v>318.14</v>
      </c>
      <c r="W23" s="88" t="s">
        <v>38</v>
      </c>
      <c r="X23" s="9" t="s">
        <v>26</v>
      </c>
      <c r="Y23" s="89" t="s">
        <v>32</v>
      </c>
      <c r="Z23" s="90" t="s">
        <v>39</v>
      </c>
      <c r="AA23" s="49"/>
    </row>
    <row r="24" s="9" customFormat="true" ht="14.1" hidden="false" customHeight="true" outlineLevel="0" collapsed="false">
      <c r="A24" s="78" t="s">
        <v>26</v>
      </c>
      <c r="B24" s="2" t="s">
        <v>74</v>
      </c>
      <c r="C24" s="3"/>
      <c r="D24" s="79" t="n">
        <v>5224106</v>
      </c>
      <c r="E24" s="80" t="n">
        <v>45434</v>
      </c>
      <c r="F24" s="81" t="s">
        <v>28</v>
      </c>
      <c r="G24" s="5" t="n">
        <v>45434</v>
      </c>
      <c r="H24" s="82" t="s">
        <v>75</v>
      </c>
      <c r="I24" s="83"/>
      <c r="J24" s="84"/>
      <c r="K24" s="84"/>
      <c r="L24" s="84"/>
      <c r="M24" s="84"/>
      <c r="N24" s="83"/>
      <c r="O24" s="84"/>
      <c r="P24" s="83"/>
      <c r="Q24" s="6"/>
      <c r="R24" s="85"/>
      <c r="S24" s="83" t="n">
        <v>49</v>
      </c>
      <c r="T24" s="85" t="n">
        <v>12.5</v>
      </c>
      <c r="U24" s="86" t="n">
        <v>4.59</v>
      </c>
      <c r="V24" s="87" t="n">
        <f aca="false">SUM(I24:U24)</f>
        <v>66.09</v>
      </c>
      <c r="W24" s="88" t="s">
        <v>38</v>
      </c>
      <c r="X24" s="9" t="s">
        <v>26</v>
      </c>
      <c r="Y24" s="89" t="s">
        <v>32</v>
      </c>
      <c r="Z24" s="90" t="s">
        <v>39</v>
      </c>
      <c r="AA24" s="49"/>
    </row>
    <row r="25" s="9" customFormat="true" ht="14.1" hidden="false" customHeight="true" outlineLevel="0" collapsed="false">
      <c r="A25" s="78" t="s">
        <v>26</v>
      </c>
      <c r="B25" s="2" t="s">
        <v>76</v>
      </c>
      <c r="C25" s="3"/>
      <c r="D25" s="79" t="n">
        <v>5234104</v>
      </c>
      <c r="E25" s="80" t="n">
        <v>45435</v>
      </c>
      <c r="F25" s="81" t="s">
        <v>28</v>
      </c>
      <c r="G25" s="5" t="n">
        <v>45435</v>
      </c>
      <c r="H25" s="82" t="s">
        <v>55</v>
      </c>
      <c r="I25" s="83"/>
      <c r="J25" s="84"/>
      <c r="K25" s="84"/>
      <c r="L25" s="84"/>
      <c r="M25" s="84"/>
      <c r="N25" s="83"/>
      <c r="O25" s="84"/>
      <c r="P25" s="83"/>
      <c r="Q25" s="6"/>
      <c r="R25" s="85"/>
      <c r="S25" s="83" t="n">
        <v>667</v>
      </c>
      <c r="T25" s="85" t="n">
        <v>100</v>
      </c>
      <c r="U25" s="86" t="n">
        <v>68.37</v>
      </c>
      <c r="V25" s="87" t="n">
        <f aca="false">SUM(I25:U25)</f>
        <v>835.37</v>
      </c>
      <c r="W25" s="88" t="s">
        <v>38</v>
      </c>
      <c r="X25" s="9" t="s">
        <v>26</v>
      </c>
      <c r="Y25" s="89" t="s">
        <v>32</v>
      </c>
      <c r="Z25" s="90" t="s">
        <v>39</v>
      </c>
      <c r="AA25" s="49"/>
    </row>
    <row r="26" s="9" customFormat="true" ht="14.1" hidden="false" customHeight="true" outlineLevel="0" collapsed="false">
      <c r="A26" s="78" t="s">
        <v>26</v>
      </c>
      <c r="B26" s="2" t="s">
        <v>77</v>
      </c>
      <c r="C26" s="3"/>
      <c r="D26" s="79" t="n">
        <v>5234105</v>
      </c>
      <c r="E26" s="80" t="n">
        <v>45435</v>
      </c>
      <c r="F26" s="81" t="s">
        <v>28</v>
      </c>
      <c r="G26" s="5" t="n">
        <v>45435</v>
      </c>
      <c r="H26" s="82" t="s">
        <v>29</v>
      </c>
      <c r="I26" s="83"/>
      <c r="J26" s="84"/>
      <c r="K26" s="84"/>
      <c r="L26" s="84"/>
      <c r="M26" s="84"/>
      <c r="N26" s="83"/>
      <c r="O26" s="84"/>
      <c r="P26" s="83"/>
      <c r="Q26" s="6"/>
      <c r="R26" s="85"/>
      <c r="S26" s="83" t="n">
        <v>234</v>
      </c>
      <c r="T26" s="85"/>
      <c r="U26" s="86" t="n">
        <v>21.65</v>
      </c>
      <c r="V26" s="87" t="n">
        <f aca="false">SUM(I26:U26)</f>
        <v>255.65</v>
      </c>
      <c r="W26" s="88" t="s">
        <v>30</v>
      </c>
      <c r="X26" s="9" t="s">
        <v>78</v>
      </c>
      <c r="Y26" s="89" t="s">
        <v>32</v>
      </c>
      <c r="Z26" s="90" t="s">
        <v>39</v>
      </c>
      <c r="AA26" s="49"/>
    </row>
    <row r="27" s="9" customFormat="true" ht="14.1" hidden="false" customHeight="true" outlineLevel="0" collapsed="false">
      <c r="A27" s="78" t="s">
        <v>26</v>
      </c>
      <c r="B27" s="2" t="s">
        <v>79</v>
      </c>
      <c r="C27" s="3"/>
      <c r="D27" s="79" t="n">
        <v>5234106</v>
      </c>
      <c r="E27" s="80" t="n">
        <v>45435</v>
      </c>
      <c r="F27" s="81" t="s">
        <v>28</v>
      </c>
      <c r="G27" s="5" t="n">
        <v>45436</v>
      </c>
      <c r="H27" s="82" t="s">
        <v>59</v>
      </c>
      <c r="I27" s="83"/>
      <c r="J27" s="84"/>
      <c r="K27" s="84"/>
      <c r="L27" s="84"/>
      <c r="M27" s="84"/>
      <c r="N27" s="83"/>
      <c r="O27" s="84"/>
      <c r="P27" s="83"/>
      <c r="Q27" s="6"/>
      <c r="R27" s="85"/>
      <c r="S27" s="83" t="n">
        <v>390</v>
      </c>
      <c r="T27" s="85" t="n">
        <v>75</v>
      </c>
      <c r="U27" s="86" t="n">
        <v>33.15</v>
      </c>
      <c r="V27" s="87" t="n">
        <f aca="false">SUM(I27:U27)</f>
        <v>498.15</v>
      </c>
      <c r="W27" s="88" t="s">
        <v>80</v>
      </c>
      <c r="X27" s="9" t="s">
        <v>81</v>
      </c>
      <c r="Y27" s="89" t="s">
        <v>32</v>
      </c>
      <c r="Z27" s="90" t="s">
        <v>39</v>
      </c>
      <c r="AA27" s="49"/>
    </row>
    <row r="28" s="9" customFormat="true" ht="14.1" hidden="false" customHeight="true" outlineLevel="0" collapsed="false">
      <c r="A28" s="78" t="s">
        <v>26</v>
      </c>
      <c r="B28" s="2" t="s">
        <v>82</v>
      </c>
      <c r="C28" s="3"/>
      <c r="D28" s="79" t="n">
        <v>5034102</v>
      </c>
      <c r="E28" s="80" t="n">
        <v>45415</v>
      </c>
      <c r="F28" s="81" t="s">
        <v>28</v>
      </c>
      <c r="G28" s="5" t="n">
        <v>45415</v>
      </c>
      <c r="H28" s="82" t="s">
        <v>29</v>
      </c>
      <c r="I28" s="83"/>
      <c r="J28" s="84"/>
      <c r="K28" s="84"/>
      <c r="L28" s="84"/>
      <c r="M28" s="84"/>
      <c r="N28" s="83"/>
      <c r="O28" s="84"/>
      <c r="P28" s="83"/>
      <c r="Q28" s="6"/>
      <c r="R28" s="85"/>
      <c r="S28" s="83" t="n">
        <v>65</v>
      </c>
      <c r="T28" s="85"/>
      <c r="U28" s="86" t="n">
        <v>6.01</v>
      </c>
      <c r="V28" s="87" t="n">
        <f aca="false">SUM(I28:U28)</f>
        <v>71.01</v>
      </c>
      <c r="W28" s="88" t="s">
        <v>30</v>
      </c>
      <c r="X28" s="9" t="s">
        <v>83</v>
      </c>
      <c r="Y28" s="89" t="s">
        <v>32</v>
      </c>
      <c r="Z28" s="90" t="s">
        <v>84</v>
      </c>
      <c r="AA28" s="49"/>
    </row>
    <row r="29" s="9" customFormat="true" ht="14.1" hidden="false" customHeight="true" outlineLevel="0" collapsed="false">
      <c r="A29" s="78" t="s">
        <v>26</v>
      </c>
      <c r="B29" s="2" t="s">
        <v>85</v>
      </c>
      <c r="C29" s="3"/>
      <c r="D29" s="79" t="n">
        <v>5034102</v>
      </c>
      <c r="E29" s="80" t="n">
        <v>45415</v>
      </c>
      <c r="F29" s="81" t="s">
        <v>28</v>
      </c>
      <c r="G29" s="5" t="n">
        <v>45415</v>
      </c>
      <c r="H29" s="82" t="s">
        <v>86</v>
      </c>
      <c r="I29" s="83"/>
      <c r="J29" s="84"/>
      <c r="K29" s="84"/>
      <c r="L29" s="84"/>
      <c r="M29" s="84"/>
      <c r="N29" s="83"/>
      <c r="O29" s="84"/>
      <c r="P29" s="83"/>
      <c r="Q29" s="6"/>
      <c r="R29" s="85"/>
      <c r="S29" s="83" t="n">
        <v>130</v>
      </c>
      <c r="T29" s="85" t="n">
        <v>25</v>
      </c>
      <c r="U29" s="86" t="n">
        <v>12.35</v>
      </c>
      <c r="V29" s="87" t="n">
        <f aca="false">SUM(I29:U29)</f>
        <v>167.35</v>
      </c>
      <c r="W29" s="88" t="s">
        <v>38</v>
      </c>
      <c r="X29" s="9" t="s">
        <v>26</v>
      </c>
      <c r="Y29" s="89" t="s">
        <v>32</v>
      </c>
      <c r="Z29" s="90" t="s">
        <v>87</v>
      </c>
      <c r="AA29" s="49"/>
    </row>
    <row r="30" s="9" customFormat="true" ht="14.1" hidden="false" customHeight="true" outlineLevel="0" collapsed="false">
      <c r="A30" s="78" t="s">
        <v>26</v>
      </c>
      <c r="B30" s="2" t="s">
        <v>88</v>
      </c>
      <c r="C30" s="3"/>
      <c r="D30" s="79" t="n">
        <v>5064101</v>
      </c>
      <c r="E30" s="80" t="n">
        <v>45418</v>
      </c>
      <c r="F30" s="81" t="s">
        <v>28</v>
      </c>
      <c r="G30" s="5" t="n">
        <v>45418</v>
      </c>
      <c r="H30" s="82" t="s">
        <v>89</v>
      </c>
      <c r="I30" s="83"/>
      <c r="J30" s="84"/>
      <c r="K30" s="84"/>
      <c r="L30" s="84"/>
      <c r="M30" s="84"/>
      <c r="N30" s="83"/>
      <c r="O30" s="84"/>
      <c r="P30" s="83"/>
      <c r="Q30" s="6"/>
      <c r="R30" s="85"/>
      <c r="S30" s="83" t="n">
        <v>285</v>
      </c>
      <c r="T30" s="85" t="n">
        <v>62.5</v>
      </c>
      <c r="U30" s="86" t="n">
        <v>23.51</v>
      </c>
      <c r="V30" s="87" t="n">
        <f aca="false">SUM(I30:U30)</f>
        <v>371.01</v>
      </c>
      <c r="W30" s="88" t="s">
        <v>38</v>
      </c>
      <c r="X30" s="9" t="s">
        <v>46</v>
      </c>
      <c r="Y30" s="89" t="s">
        <v>32</v>
      </c>
      <c r="Z30" s="90" t="s">
        <v>87</v>
      </c>
      <c r="AA30" s="49"/>
    </row>
    <row r="31" s="9" customFormat="true" ht="14.1" hidden="false" customHeight="true" outlineLevel="0" collapsed="false">
      <c r="A31" s="78" t="s">
        <v>26</v>
      </c>
      <c r="B31" s="2" t="s">
        <v>90</v>
      </c>
      <c r="C31" s="3"/>
      <c r="D31" s="79" t="n">
        <v>5074102</v>
      </c>
      <c r="E31" s="80" t="n">
        <v>45419</v>
      </c>
      <c r="F31" s="81" t="s">
        <v>28</v>
      </c>
      <c r="G31" s="5" t="n">
        <v>45420</v>
      </c>
      <c r="H31" s="82" t="s">
        <v>91</v>
      </c>
      <c r="I31" s="83"/>
      <c r="J31" s="84"/>
      <c r="K31" s="84"/>
      <c r="L31" s="84"/>
      <c r="M31" s="84"/>
      <c r="N31" s="83"/>
      <c r="O31" s="84"/>
      <c r="P31" s="83"/>
      <c r="Q31" s="6"/>
      <c r="R31" s="85"/>
      <c r="S31" s="83" t="n">
        <v>118</v>
      </c>
      <c r="T31" s="85" t="n">
        <v>25</v>
      </c>
      <c r="U31" s="86" t="n">
        <v>9.74</v>
      </c>
      <c r="V31" s="87" t="n">
        <f aca="false">SUM(I31:U31)</f>
        <v>152.74</v>
      </c>
      <c r="W31" s="88" t="s">
        <v>38</v>
      </c>
      <c r="X31" s="9" t="s">
        <v>92</v>
      </c>
      <c r="Y31" s="89" t="s">
        <v>32</v>
      </c>
      <c r="Z31" s="90" t="s">
        <v>87</v>
      </c>
      <c r="AA31" s="49"/>
    </row>
    <row r="32" s="9" customFormat="true" ht="14.1" hidden="false" customHeight="true" outlineLevel="0" collapsed="false">
      <c r="A32" s="78" t="s">
        <v>26</v>
      </c>
      <c r="B32" s="2" t="s">
        <v>93</v>
      </c>
      <c r="C32" s="3"/>
      <c r="D32" s="79" t="n">
        <v>5084102</v>
      </c>
      <c r="E32" s="80" t="n">
        <v>45420</v>
      </c>
      <c r="F32" s="81" t="s">
        <v>28</v>
      </c>
      <c r="G32" s="5" t="n">
        <v>45420</v>
      </c>
      <c r="H32" s="82" t="s">
        <v>29</v>
      </c>
      <c r="I32" s="83"/>
      <c r="J32" s="84"/>
      <c r="K32" s="84"/>
      <c r="L32" s="84"/>
      <c r="M32" s="84"/>
      <c r="N32" s="83"/>
      <c r="O32" s="84"/>
      <c r="P32" s="83"/>
      <c r="Q32" s="6"/>
      <c r="R32" s="85"/>
      <c r="S32" s="83" t="n">
        <v>118</v>
      </c>
      <c r="T32" s="85" t="n">
        <v>25</v>
      </c>
      <c r="U32" s="86" t="n">
        <v>10.92</v>
      </c>
      <c r="V32" s="87" t="n">
        <f aca="false">SUM(I32:U32)</f>
        <v>153.92</v>
      </c>
      <c r="W32" s="88" t="s">
        <v>38</v>
      </c>
      <c r="X32" s="9" t="s">
        <v>92</v>
      </c>
      <c r="Y32" s="89" t="s">
        <v>32</v>
      </c>
      <c r="Z32" s="90" t="s">
        <v>87</v>
      </c>
      <c r="AA32" s="49"/>
    </row>
    <row r="33" s="9" customFormat="true" ht="14.1" hidden="false" customHeight="true" outlineLevel="0" collapsed="false">
      <c r="A33" s="78" t="s">
        <v>46</v>
      </c>
      <c r="B33" s="2" t="s">
        <v>94</v>
      </c>
      <c r="C33" s="3"/>
      <c r="D33" s="79" t="n">
        <v>5134062</v>
      </c>
      <c r="E33" s="80" t="n">
        <v>45425</v>
      </c>
      <c r="F33" s="81" t="s">
        <v>95</v>
      </c>
      <c r="G33" s="5" t="n">
        <v>45425</v>
      </c>
      <c r="H33" s="82" t="s">
        <v>29</v>
      </c>
      <c r="I33" s="83"/>
      <c r="J33" s="84"/>
      <c r="K33" s="84"/>
      <c r="L33" s="84" t="n">
        <v>58.5</v>
      </c>
      <c r="M33" s="84"/>
      <c r="N33" s="83"/>
      <c r="O33" s="84"/>
      <c r="P33" s="83"/>
      <c r="Q33" s="6"/>
      <c r="R33" s="85"/>
      <c r="S33" s="83"/>
      <c r="T33" s="85"/>
      <c r="U33" s="86"/>
      <c r="V33" s="87" t="n">
        <f aca="false">SUM(I33:U33)</f>
        <v>58.5</v>
      </c>
      <c r="W33" s="88" t="s">
        <v>96</v>
      </c>
      <c r="X33" s="9" t="s">
        <v>46</v>
      </c>
      <c r="Y33" s="89" t="s">
        <v>32</v>
      </c>
      <c r="Z33" s="90" t="s">
        <v>87</v>
      </c>
      <c r="AA33" s="49"/>
    </row>
    <row r="34" s="9" customFormat="true" ht="14.1" hidden="false" customHeight="true" outlineLevel="0" collapsed="false">
      <c r="A34" s="78" t="s">
        <v>26</v>
      </c>
      <c r="B34" s="2" t="s">
        <v>97</v>
      </c>
      <c r="C34" s="3"/>
      <c r="D34" s="79" t="n">
        <v>5144102</v>
      </c>
      <c r="E34" s="80" t="n">
        <v>45426</v>
      </c>
      <c r="F34" s="81" t="s">
        <v>28</v>
      </c>
      <c r="G34" s="5" t="n">
        <v>45426</v>
      </c>
      <c r="H34" s="82" t="s">
        <v>37</v>
      </c>
      <c r="I34" s="83"/>
      <c r="J34" s="84"/>
      <c r="K34" s="84"/>
      <c r="L34" s="84"/>
      <c r="M34" s="84"/>
      <c r="N34" s="83"/>
      <c r="O34" s="84"/>
      <c r="P34" s="83"/>
      <c r="Q34" s="6"/>
      <c r="R34" s="85"/>
      <c r="S34" s="83" t="n">
        <v>65</v>
      </c>
      <c r="T34" s="85" t="n">
        <v>12.5</v>
      </c>
      <c r="U34" s="86" t="n">
        <v>5.61</v>
      </c>
      <c r="V34" s="87" t="n">
        <f aca="false">SUM(I34:U34)</f>
        <v>83.11</v>
      </c>
      <c r="W34" s="88" t="s">
        <v>80</v>
      </c>
      <c r="X34" s="9" t="s">
        <v>81</v>
      </c>
      <c r="Y34" s="89" t="s">
        <v>32</v>
      </c>
      <c r="Z34" s="90" t="s">
        <v>87</v>
      </c>
      <c r="AA34" s="49"/>
    </row>
    <row r="35" s="9" customFormat="true" ht="14.1" hidden="false" customHeight="true" outlineLevel="0" collapsed="false">
      <c r="A35" s="78" t="s">
        <v>26</v>
      </c>
      <c r="B35" s="2" t="s">
        <v>98</v>
      </c>
      <c r="C35" s="3"/>
      <c r="D35" s="79" t="n">
        <v>5144104</v>
      </c>
      <c r="E35" s="80" t="n">
        <v>45426</v>
      </c>
      <c r="F35" s="81" t="s">
        <v>28</v>
      </c>
      <c r="G35" s="5" t="n">
        <v>45426</v>
      </c>
      <c r="H35" s="82" t="s">
        <v>37</v>
      </c>
      <c r="I35" s="83"/>
      <c r="J35" s="84"/>
      <c r="K35" s="84"/>
      <c r="L35" s="84"/>
      <c r="M35" s="84"/>
      <c r="N35" s="83"/>
      <c r="O35" s="84"/>
      <c r="P35" s="83"/>
      <c r="Q35" s="6"/>
      <c r="R35" s="85"/>
      <c r="S35" s="83" t="n">
        <v>138</v>
      </c>
      <c r="T35" s="85" t="n">
        <v>25</v>
      </c>
      <c r="U35" s="86" t="n">
        <v>11.9</v>
      </c>
      <c r="V35" s="87" t="n">
        <f aca="false">SUM(I35:U35)</f>
        <v>174.9</v>
      </c>
      <c r="W35" s="88" t="s">
        <v>38</v>
      </c>
      <c r="X35" s="9" t="s">
        <v>26</v>
      </c>
      <c r="Y35" s="89" t="s">
        <v>32</v>
      </c>
      <c r="Z35" s="90" t="s">
        <v>87</v>
      </c>
      <c r="AA35" s="49"/>
    </row>
    <row r="36" s="9" customFormat="true" ht="14.1" hidden="false" customHeight="true" outlineLevel="0" collapsed="false">
      <c r="A36" s="78" t="s">
        <v>46</v>
      </c>
      <c r="B36" s="2" t="s">
        <v>94</v>
      </c>
      <c r="C36" s="3"/>
      <c r="D36" s="79" t="n">
        <v>5234064</v>
      </c>
      <c r="E36" s="80" t="n">
        <v>45435</v>
      </c>
      <c r="F36" s="81" t="s">
        <v>95</v>
      </c>
      <c r="G36" s="5" t="n">
        <v>45435</v>
      </c>
      <c r="H36" s="82" t="s">
        <v>29</v>
      </c>
      <c r="I36" s="83"/>
      <c r="J36" s="84"/>
      <c r="K36" s="84"/>
      <c r="L36" s="84" t="n">
        <v>240</v>
      </c>
      <c r="M36" s="84"/>
      <c r="N36" s="83"/>
      <c r="O36" s="84"/>
      <c r="P36" s="83"/>
      <c r="Q36" s="6"/>
      <c r="R36" s="85"/>
      <c r="S36" s="83"/>
      <c r="T36" s="85"/>
      <c r="U36" s="86"/>
      <c r="V36" s="87" t="n">
        <f aca="false">SUM(I36:U36)</f>
        <v>240</v>
      </c>
      <c r="W36" s="88" t="s">
        <v>96</v>
      </c>
      <c r="X36" s="9" t="s">
        <v>46</v>
      </c>
      <c r="Y36" s="89" t="s">
        <v>32</v>
      </c>
      <c r="Z36" s="90" t="s">
        <v>87</v>
      </c>
      <c r="AA36" s="49"/>
    </row>
    <row r="37" s="9" customFormat="true" ht="14.1" hidden="false" customHeight="true" outlineLevel="0" collapsed="false">
      <c r="A37" s="78" t="s">
        <v>99</v>
      </c>
      <c r="B37" s="2" t="s">
        <v>100</v>
      </c>
      <c r="C37" s="3"/>
      <c r="D37" s="79" t="n">
        <v>5014051</v>
      </c>
      <c r="E37" s="80" t="n">
        <v>45413</v>
      </c>
      <c r="F37" s="81" t="s">
        <v>13</v>
      </c>
      <c r="G37" s="5" t="n">
        <v>45413</v>
      </c>
      <c r="H37" s="82" t="s">
        <v>29</v>
      </c>
      <c r="I37" s="83"/>
      <c r="J37" s="84"/>
      <c r="K37" s="84"/>
      <c r="L37" s="84"/>
      <c r="M37" s="84"/>
      <c r="N37" s="83" t="n">
        <v>49</v>
      </c>
      <c r="O37" s="84" t="n">
        <v>39</v>
      </c>
      <c r="P37" s="83"/>
      <c r="Q37" s="6"/>
      <c r="R37" s="85"/>
      <c r="S37" s="83"/>
      <c r="T37" s="85"/>
      <c r="U37" s="86"/>
      <c r="V37" s="87" t="n">
        <f aca="false">SUM(I37:U37)</f>
        <v>88</v>
      </c>
      <c r="W37" s="88" t="s">
        <v>96</v>
      </c>
      <c r="X37" s="9" t="s">
        <v>99</v>
      </c>
      <c r="Y37" s="89" t="s">
        <v>32</v>
      </c>
      <c r="Z37" s="90" t="s">
        <v>101</v>
      </c>
      <c r="AA37" s="49"/>
    </row>
    <row r="38" s="9" customFormat="true" ht="14.1" hidden="false" customHeight="true" outlineLevel="0" collapsed="false">
      <c r="A38" s="78" t="s">
        <v>46</v>
      </c>
      <c r="B38" s="2" t="s">
        <v>102</v>
      </c>
      <c r="C38" s="3"/>
      <c r="D38" s="79" t="n">
        <v>5084051</v>
      </c>
      <c r="E38" s="80" t="n">
        <v>45420</v>
      </c>
      <c r="F38" s="81" t="s">
        <v>12</v>
      </c>
      <c r="G38" s="5" t="n">
        <v>45420</v>
      </c>
      <c r="H38" s="82" t="s">
        <v>29</v>
      </c>
      <c r="I38" s="83"/>
      <c r="J38" s="84"/>
      <c r="K38" s="84"/>
      <c r="L38" s="84"/>
      <c r="M38" s="84" t="n">
        <v>11974.54</v>
      </c>
      <c r="N38" s="83"/>
      <c r="O38" s="84"/>
      <c r="P38" s="83"/>
      <c r="Q38" s="6"/>
      <c r="R38" s="85"/>
      <c r="S38" s="83"/>
      <c r="T38" s="85"/>
      <c r="U38" s="86"/>
      <c r="V38" s="87" t="n">
        <f aca="false">SUM(I38:U38)</f>
        <v>11974.54</v>
      </c>
      <c r="W38" s="88" t="s">
        <v>96</v>
      </c>
      <c r="X38" s="9" t="s">
        <v>46</v>
      </c>
      <c r="Y38" s="89" t="s">
        <v>32</v>
      </c>
      <c r="Z38" s="90" t="s">
        <v>101</v>
      </c>
      <c r="AA38" s="49"/>
    </row>
    <row r="39" s="9" customFormat="true" ht="14.1" hidden="false" customHeight="true" outlineLevel="0" collapsed="false">
      <c r="A39" s="78" t="s">
        <v>46</v>
      </c>
      <c r="B39" s="2" t="s">
        <v>103</v>
      </c>
      <c r="C39" s="3"/>
      <c r="D39" s="79" t="n">
        <v>5204051</v>
      </c>
      <c r="E39" s="80" t="n">
        <v>45432</v>
      </c>
      <c r="F39" s="81" t="s">
        <v>104</v>
      </c>
      <c r="G39" s="5" t="n">
        <v>45432</v>
      </c>
      <c r="H39" s="82" t="s">
        <v>29</v>
      </c>
      <c r="I39" s="83"/>
      <c r="J39" s="84"/>
      <c r="K39" s="84"/>
      <c r="L39" s="84" t="n">
        <v>429.49</v>
      </c>
      <c r="M39" s="84"/>
      <c r="N39" s="83"/>
      <c r="O39" s="84"/>
      <c r="P39" s="83"/>
      <c r="Q39" s="6"/>
      <c r="R39" s="85"/>
      <c r="S39" s="83"/>
      <c r="T39" s="85"/>
      <c r="U39" s="86"/>
      <c r="V39" s="87" t="n">
        <f aca="false">SUM(I39:U39)</f>
        <v>429.49</v>
      </c>
      <c r="W39" s="88" t="s">
        <v>96</v>
      </c>
      <c r="X39" s="9" t="s">
        <v>46</v>
      </c>
      <c r="Y39" s="89" t="s">
        <v>32</v>
      </c>
      <c r="Z39" s="90" t="s">
        <v>101</v>
      </c>
      <c r="AA39" s="49"/>
    </row>
    <row r="40" s="9" customFormat="true" ht="14.1" hidden="false" customHeight="true" outlineLevel="0" collapsed="false">
      <c r="A40" s="78" t="s">
        <v>46</v>
      </c>
      <c r="B40" s="2" t="s">
        <v>105</v>
      </c>
      <c r="C40" s="3"/>
      <c r="D40" s="79" t="n">
        <v>5214051</v>
      </c>
      <c r="E40" s="80" t="n">
        <v>45433</v>
      </c>
      <c r="F40" s="81" t="s">
        <v>12</v>
      </c>
      <c r="G40" s="5" t="n">
        <v>45434</v>
      </c>
      <c r="H40" s="82" t="s">
        <v>29</v>
      </c>
      <c r="I40" s="83"/>
      <c r="J40" s="84"/>
      <c r="K40" s="84"/>
      <c r="L40" s="84"/>
      <c r="M40" s="84" t="n">
        <v>3180.9</v>
      </c>
      <c r="N40" s="83"/>
      <c r="O40" s="84"/>
      <c r="P40" s="83"/>
      <c r="Q40" s="6"/>
      <c r="R40" s="85"/>
      <c r="S40" s="83"/>
      <c r="T40" s="85"/>
      <c r="U40" s="86"/>
      <c r="V40" s="87" t="n">
        <f aca="false">SUM(I40:U40)</f>
        <v>3180.9</v>
      </c>
      <c r="W40" s="88" t="s">
        <v>96</v>
      </c>
      <c r="X40" s="9" t="s">
        <v>46</v>
      </c>
      <c r="Y40" s="89" t="s">
        <v>32</v>
      </c>
      <c r="Z40" s="90" t="s">
        <v>101</v>
      </c>
      <c r="AA40" s="49"/>
    </row>
    <row r="41" s="9" customFormat="true" ht="14.1" hidden="false" customHeight="true" outlineLevel="0" collapsed="false">
      <c r="A41" s="78" t="s">
        <v>26</v>
      </c>
      <c r="B41" s="2" t="s">
        <v>106</v>
      </c>
      <c r="C41" s="3"/>
      <c r="D41" s="79" t="n">
        <v>4034101</v>
      </c>
      <c r="E41" s="80" t="n">
        <v>45385</v>
      </c>
      <c r="F41" s="81" t="s">
        <v>28</v>
      </c>
      <c r="G41" s="5" t="n">
        <v>45414</v>
      </c>
      <c r="H41" s="82" t="s">
        <v>29</v>
      </c>
      <c r="I41" s="83"/>
      <c r="J41" s="84"/>
      <c r="K41" s="84"/>
      <c r="L41" s="84"/>
      <c r="M41" s="84"/>
      <c r="N41" s="83"/>
      <c r="O41" s="84"/>
      <c r="P41" s="83"/>
      <c r="Q41" s="6"/>
      <c r="R41" s="85"/>
      <c r="S41" s="83" t="n">
        <v>19.5</v>
      </c>
      <c r="T41" s="85"/>
      <c r="U41" s="86" t="n">
        <v>1.8</v>
      </c>
      <c r="V41" s="87" t="n">
        <f aca="false">SUM(I41:U41)</f>
        <v>21.3</v>
      </c>
      <c r="W41" s="88" t="s">
        <v>30</v>
      </c>
      <c r="X41" s="9" t="s">
        <v>107</v>
      </c>
      <c r="Y41" s="89" t="s">
        <v>108</v>
      </c>
      <c r="Z41" s="90"/>
      <c r="AA41" s="49"/>
    </row>
    <row r="42" s="9" customFormat="true" ht="14.1" hidden="false" customHeight="true" outlineLevel="0" collapsed="false">
      <c r="A42" s="78" t="s">
        <v>26</v>
      </c>
      <c r="B42" s="2" t="s">
        <v>109</v>
      </c>
      <c r="C42" s="3"/>
      <c r="D42" s="79" t="n">
        <v>4234102</v>
      </c>
      <c r="E42" s="80" t="n">
        <v>45405</v>
      </c>
      <c r="F42" s="81" t="s">
        <v>110</v>
      </c>
      <c r="G42" s="5" t="n">
        <v>45420</v>
      </c>
      <c r="H42" s="82" t="s">
        <v>37</v>
      </c>
      <c r="I42" s="83"/>
      <c r="J42" s="84"/>
      <c r="K42" s="84"/>
      <c r="L42" s="84"/>
      <c r="M42" s="84"/>
      <c r="N42" s="83"/>
      <c r="O42" s="84"/>
      <c r="P42" s="83"/>
      <c r="Q42" s="6"/>
      <c r="R42" s="85"/>
      <c r="S42" s="83" t="n">
        <v>45</v>
      </c>
      <c r="T42" s="85" t="n">
        <v>12.5</v>
      </c>
      <c r="U42" s="86" t="n">
        <v>3.88</v>
      </c>
      <c r="V42" s="87" t="n">
        <f aca="false">SUM(I42:U42)</f>
        <v>61.38</v>
      </c>
      <c r="W42" s="88" t="s">
        <v>38</v>
      </c>
      <c r="X42" s="9" t="s">
        <v>46</v>
      </c>
      <c r="Y42" s="89" t="s">
        <v>108</v>
      </c>
      <c r="Z42" s="90"/>
      <c r="AA42" s="49"/>
    </row>
    <row r="43" s="9" customFormat="true" ht="14.1" hidden="false" customHeight="true" outlineLevel="0" collapsed="false">
      <c r="A43" s="78" t="s">
        <v>26</v>
      </c>
      <c r="B43" s="2" t="s">
        <v>111</v>
      </c>
      <c r="C43" s="3"/>
      <c r="D43" s="79" t="n">
        <v>4304101</v>
      </c>
      <c r="E43" s="80" t="n">
        <v>45412</v>
      </c>
      <c r="F43" s="81" t="s">
        <v>28</v>
      </c>
      <c r="G43" s="5" t="n">
        <v>45413</v>
      </c>
      <c r="H43" s="82" t="s">
        <v>29</v>
      </c>
      <c r="I43" s="83"/>
      <c r="J43" s="84"/>
      <c r="K43" s="84"/>
      <c r="L43" s="84"/>
      <c r="M43" s="84"/>
      <c r="N43" s="83"/>
      <c r="O43" s="84"/>
      <c r="P43" s="83"/>
      <c r="Q43" s="6"/>
      <c r="R43" s="85"/>
      <c r="S43" s="83" t="n">
        <v>279</v>
      </c>
      <c r="T43" s="85"/>
      <c r="U43" s="86" t="n">
        <v>23.02</v>
      </c>
      <c r="V43" s="87" t="n">
        <f aca="false">SUM(I43:U43)</f>
        <v>302.02</v>
      </c>
      <c r="W43" s="88" t="s">
        <v>30</v>
      </c>
      <c r="X43" s="9" t="s">
        <v>112</v>
      </c>
      <c r="Y43" s="89" t="s">
        <v>108</v>
      </c>
      <c r="Z43" s="90"/>
      <c r="AA43" s="49"/>
    </row>
    <row r="44" s="9" customFormat="true" ht="14.1" hidden="false" customHeight="true" outlineLevel="0" collapsed="false">
      <c r="A44" s="78" t="s">
        <v>99</v>
      </c>
      <c r="B44" s="2" t="s">
        <v>113</v>
      </c>
      <c r="C44" s="3"/>
      <c r="D44" s="79" t="n">
        <v>5014052</v>
      </c>
      <c r="E44" s="80" t="n">
        <v>45413</v>
      </c>
      <c r="F44" s="81" t="s">
        <v>13</v>
      </c>
      <c r="G44" s="5" t="n">
        <v>45413</v>
      </c>
      <c r="H44" s="82" t="s">
        <v>29</v>
      </c>
      <c r="I44" s="83"/>
      <c r="J44" s="84"/>
      <c r="K44" s="84"/>
      <c r="L44" s="84"/>
      <c r="M44" s="84"/>
      <c r="N44" s="83" t="n">
        <v>49</v>
      </c>
      <c r="O44" s="84"/>
      <c r="P44" s="83"/>
      <c r="Q44" s="6"/>
      <c r="R44" s="85"/>
      <c r="S44" s="83"/>
      <c r="T44" s="85"/>
      <c r="U44" s="86"/>
      <c r="V44" s="87" t="n">
        <f aca="false">SUM(I44:U44)</f>
        <v>49</v>
      </c>
      <c r="W44" s="88" t="s">
        <v>96</v>
      </c>
      <c r="X44" s="9" t="s">
        <v>99</v>
      </c>
      <c r="Y44" s="89" t="s">
        <v>108</v>
      </c>
      <c r="Z44" s="90"/>
      <c r="AA44" s="49"/>
    </row>
    <row r="45" s="9" customFormat="true" ht="14.1" hidden="false" customHeight="true" outlineLevel="0" collapsed="false">
      <c r="A45" s="78" t="s">
        <v>114</v>
      </c>
      <c r="B45" s="2" t="s">
        <v>115</v>
      </c>
      <c r="C45" s="3"/>
      <c r="D45" s="79" t="n">
        <v>5014101</v>
      </c>
      <c r="E45" s="80" t="n">
        <v>45413</v>
      </c>
      <c r="F45" s="81" t="s">
        <v>28</v>
      </c>
      <c r="G45" s="5" t="n">
        <v>45413</v>
      </c>
      <c r="H45" s="82" t="s">
        <v>29</v>
      </c>
      <c r="I45" s="83"/>
      <c r="J45" s="84"/>
      <c r="K45" s="84"/>
      <c r="L45" s="84"/>
      <c r="M45" s="84"/>
      <c r="N45" s="83"/>
      <c r="O45" s="84"/>
      <c r="P45" s="83"/>
      <c r="Q45" s="6"/>
      <c r="R45" s="85"/>
      <c r="S45" s="83" t="n">
        <v>188</v>
      </c>
      <c r="T45" s="85" t="n">
        <v>50</v>
      </c>
      <c r="U45" s="86" t="n">
        <v>17.39</v>
      </c>
      <c r="V45" s="87" t="n">
        <f aca="false">SUM(I45:U45)</f>
        <v>255.39</v>
      </c>
      <c r="W45" s="88" t="s">
        <v>38</v>
      </c>
      <c r="X45" s="9" t="s">
        <v>26</v>
      </c>
      <c r="Y45" s="89" t="s">
        <v>108</v>
      </c>
      <c r="Z45" s="90"/>
      <c r="AA45" s="49"/>
    </row>
    <row r="46" s="9" customFormat="true" ht="14.1" hidden="false" customHeight="true" outlineLevel="0" collapsed="false">
      <c r="A46" s="78" t="s">
        <v>26</v>
      </c>
      <c r="B46" s="2" t="s">
        <v>116</v>
      </c>
      <c r="C46" s="3"/>
      <c r="D46" s="79" t="n">
        <v>5014102</v>
      </c>
      <c r="E46" s="80" t="n">
        <v>45413</v>
      </c>
      <c r="F46" s="81" t="s">
        <v>28</v>
      </c>
      <c r="G46" s="5" t="n">
        <v>45413</v>
      </c>
      <c r="H46" s="82" t="s">
        <v>117</v>
      </c>
      <c r="I46" s="83"/>
      <c r="J46" s="84"/>
      <c r="K46" s="84"/>
      <c r="L46" s="84"/>
      <c r="M46" s="84"/>
      <c r="N46" s="83"/>
      <c r="O46" s="84"/>
      <c r="P46" s="83"/>
      <c r="Q46" s="6"/>
      <c r="R46" s="85"/>
      <c r="S46" s="83" t="n">
        <v>149</v>
      </c>
      <c r="T46" s="85" t="n">
        <v>37.5</v>
      </c>
      <c r="U46" s="86" t="n">
        <v>12.67</v>
      </c>
      <c r="V46" s="87" t="n">
        <f aca="false">SUM(I46:U46)</f>
        <v>199.17</v>
      </c>
      <c r="W46" s="88" t="s">
        <v>38</v>
      </c>
      <c r="X46" s="9" t="s">
        <v>26</v>
      </c>
      <c r="Y46" s="89" t="s">
        <v>108</v>
      </c>
      <c r="Z46" s="90"/>
      <c r="AA46" s="49"/>
    </row>
    <row r="47" s="9" customFormat="true" ht="14.1" hidden="false" customHeight="true" outlineLevel="0" collapsed="false">
      <c r="A47" s="78" t="s">
        <v>26</v>
      </c>
      <c r="B47" s="2" t="s">
        <v>118</v>
      </c>
      <c r="C47" s="3"/>
      <c r="D47" s="79" t="n">
        <v>5024101</v>
      </c>
      <c r="E47" s="80" t="n">
        <v>45414</v>
      </c>
      <c r="F47" s="81" t="s">
        <v>28</v>
      </c>
      <c r="G47" s="5" t="n">
        <v>45414</v>
      </c>
      <c r="H47" s="82" t="s">
        <v>89</v>
      </c>
      <c r="I47" s="83"/>
      <c r="J47" s="84"/>
      <c r="K47" s="84"/>
      <c r="L47" s="84"/>
      <c r="M47" s="84"/>
      <c r="N47" s="83"/>
      <c r="O47" s="84"/>
      <c r="P47" s="83"/>
      <c r="Q47" s="6"/>
      <c r="R47" s="85"/>
      <c r="S47" s="83" t="n">
        <v>130</v>
      </c>
      <c r="T47" s="85" t="n">
        <v>25</v>
      </c>
      <c r="U47" s="86" t="n">
        <v>10.73</v>
      </c>
      <c r="V47" s="87" t="n">
        <f aca="false">SUM(I47:U47)</f>
        <v>165.73</v>
      </c>
      <c r="W47" s="88" t="s">
        <v>38</v>
      </c>
      <c r="X47" s="9" t="s">
        <v>26</v>
      </c>
      <c r="Y47" s="89" t="s">
        <v>108</v>
      </c>
      <c r="Z47" s="90"/>
      <c r="AA47" s="49"/>
    </row>
    <row r="48" s="9" customFormat="true" ht="14.1" hidden="false" customHeight="true" outlineLevel="0" collapsed="false">
      <c r="A48" s="78" t="s">
        <v>26</v>
      </c>
      <c r="B48" s="2" t="s">
        <v>119</v>
      </c>
      <c r="C48" s="3" t="s">
        <v>120</v>
      </c>
      <c r="D48" s="79" t="n">
        <v>5024103</v>
      </c>
      <c r="E48" s="80" t="n">
        <v>45414</v>
      </c>
      <c r="F48" s="81" t="s">
        <v>28</v>
      </c>
      <c r="G48" s="5" t="n">
        <v>45414</v>
      </c>
      <c r="H48" s="82" t="s">
        <v>29</v>
      </c>
      <c r="I48" s="83"/>
      <c r="J48" s="84"/>
      <c r="K48" s="84"/>
      <c r="L48" s="84"/>
      <c r="M48" s="84"/>
      <c r="N48" s="83"/>
      <c r="O48" s="84"/>
      <c r="P48" s="83"/>
      <c r="Q48" s="6"/>
      <c r="R48" s="85"/>
      <c r="S48" s="83" t="n">
        <v>130</v>
      </c>
      <c r="T48" s="85"/>
      <c r="U48" s="86" t="n">
        <v>10.73</v>
      </c>
      <c r="V48" s="87" t="n">
        <f aca="false">SUM(I48:U48)</f>
        <v>140.73</v>
      </c>
      <c r="W48" s="88" t="s">
        <v>30</v>
      </c>
      <c r="X48" s="9" t="s">
        <v>83</v>
      </c>
      <c r="Y48" s="89" t="s">
        <v>108</v>
      </c>
      <c r="Z48" s="90"/>
      <c r="AA48" s="49"/>
    </row>
    <row r="49" s="9" customFormat="true" ht="14.1" hidden="false" customHeight="true" outlineLevel="0" collapsed="false">
      <c r="A49" s="78" t="s">
        <v>26</v>
      </c>
      <c r="B49" s="2" t="s">
        <v>121</v>
      </c>
      <c r="C49" s="3"/>
      <c r="D49" s="79" t="n">
        <v>5024104</v>
      </c>
      <c r="E49" s="80" t="n">
        <v>45414</v>
      </c>
      <c r="F49" s="81" t="s">
        <v>28</v>
      </c>
      <c r="G49" s="5" t="n">
        <v>45414</v>
      </c>
      <c r="H49" s="82" t="s">
        <v>122</v>
      </c>
      <c r="I49" s="83"/>
      <c r="J49" s="84"/>
      <c r="K49" s="84"/>
      <c r="L49" s="84"/>
      <c r="M49" s="84"/>
      <c r="N49" s="83"/>
      <c r="O49" s="84"/>
      <c r="P49" s="83"/>
      <c r="Q49" s="6"/>
      <c r="R49" s="85"/>
      <c r="S49" s="83" t="n">
        <v>120</v>
      </c>
      <c r="T49" s="85" t="n">
        <v>25</v>
      </c>
      <c r="U49" s="86" t="n">
        <v>9.3</v>
      </c>
      <c r="V49" s="87" t="n">
        <f aca="false">SUM(I49:U49)</f>
        <v>154.3</v>
      </c>
      <c r="W49" s="88" t="s">
        <v>38</v>
      </c>
      <c r="X49" s="9" t="s">
        <v>26</v>
      </c>
      <c r="Y49" s="89" t="s">
        <v>108</v>
      </c>
      <c r="Z49" s="90"/>
      <c r="AA49" s="49"/>
    </row>
    <row r="50" s="9" customFormat="true" ht="14.1" hidden="false" customHeight="true" outlineLevel="0" collapsed="false">
      <c r="A50" s="78" t="s">
        <v>46</v>
      </c>
      <c r="B50" s="2" t="s">
        <v>123</v>
      </c>
      <c r="C50" s="3" t="n">
        <v>429685</v>
      </c>
      <c r="D50" s="79" t="n">
        <v>5064062</v>
      </c>
      <c r="E50" s="80" t="n">
        <v>45418</v>
      </c>
      <c r="F50" s="81" t="s">
        <v>28</v>
      </c>
      <c r="G50" s="5" t="n">
        <v>45418</v>
      </c>
      <c r="H50" s="82" t="s">
        <v>124</v>
      </c>
      <c r="I50" s="83"/>
      <c r="J50" s="84"/>
      <c r="K50" s="84"/>
      <c r="L50" s="84"/>
      <c r="M50" s="84"/>
      <c r="N50" s="83"/>
      <c r="O50" s="84"/>
      <c r="P50" s="83"/>
      <c r="Q50" s="6"/>
      <c r="R50" s="85"/>
      <c r="S50" s="83" t="n">
        <v>207</v>
      </c>
      <c r="T50" s="85"/>
      <c r="U50" s="86"/>
      <c r="V50" s="87" t="n">
        <f aca="false">SUM(I50:U50)</f>
        <v>207</v>
      </c>
      <c r="W50" s="88" t="s">
        <v>38</v>
      </c>
      <c r="X50" s="9" t="s">
        <v>46</v>
      </c>
      <c r="Y50" s="89" t="s">
        <v>108</v>
      </c>
      <c r="Z50" s="90"/>
      <c r="AA50" s="49"/>
    </row>
    <row r="51" s="9" customFormat="true" ht="14.1" hidden="false" customHeight="true" outlineLevel="0" collapsed="false">
      <c r="A51" s="78" t="s">
        <v>46</v>
      </c>
      <c r="B51" s="2" t="s">
        <v>123</v>
      </c>
      <c r="C51" s="3" t="n">
        <v>429684</v>
      </c>
      <c r="D51" s="79" t="n">
        <v>5064063</v>
      </c>
      <c r="E51" s="80" t="n">
        <v>45418</v>
      </c>
      <c r="F51" s="81" t="s">
        <v>28</v>
      </c>
      <c r="G51" s="5" t="n">
        <v>45418</v>
      </c>
      <c r="H51" s="82" t="s">
        <v>124</v>
      </c>
      <c r="I51" s="83"/>
      <c r="J51" s="84"/>
      <c r="K51" s="84"/>
      <c r="L51" s="84"/>
      <c r="M51" s="84"/>
      <c r="N51" s="83"/>
      <c r="O51" s="84"/>
      <c r="P51" s="83"/>
      <c r="Q51" s="6"/>
      <c r="R51" s="85"/>
      <c r="S51" s="83" t="n">
        <v>316</v>
      </c>
      <c r="T51" s="85"/>
      <c r="U51" s="86"/>
      <c r="V51" s="87" t="n">
        <f aca="false">SUM(I51:U51)</f>
        <v>316</v>
      </c>
      <c r="W51" s="88" t="s">
        <v>38</v>
      </c>
      <c r="X51" s="9" t="s">
        <v>46</v>
      </c>
      <c r="Y51" s="89" t="s">
        <v>108</v>
      </c>
      <c r="Z51" s="90"/>
      <c r="AA51" s="49"/>
    </row>
    <row r="52" s="9" customFormat="true" ht="14.1" hidden="false" customHeight="true" outlineLevel="0" collapsed="false">
      <c r="A52" s="78" t="s">
        <v>26</v>
      </c>
      <c r="B52" s="2" t="s">
        <v>125</v>
      </c>
      <c r="C52" s="3"/>
      <c r="D52" s="79" t="n">
        <v>5064102</v>
      </c>
      <c r="E52" s="80" t="n">
        <v>45418</v>
      </c>
      <c r="F52" s="81" t="s">
        <v>28</v>
      </c>
      <c r="G52" s="5" t="n">
        <v>45418</v>
      </c>
      <c r="H52" s="82" t="s">
        <v>126</v>
      </c>
      <c r="I52" s="83"/>
      <c r="J52" s="84"/>
      <c r="K52" s="84"/>
      <c r="L52" s="84"/>
      <c r="M52" s="84"/>
      <c r="N52" s="83"/>
      <c r="O52" s="84"/>
      <c r="P52" s="83"/>
      <c r="Q52" s="6"/>
      <c r="R52" s="85"/>
      <c r="S52" s="83" t="n">
        <v>55</v>
      </c>
      <c r="T52" s="85" t="n">
        <v>12.5</v>
      </c>
      <c r="U52" s="86" t="n">
        <v>4.81</v>
      </c>
      <c r="V52" s="87" t="n">
        <f aca="false">SUM(I52:U52)</f>
        <v>72.31</v>
      </c>
      <c r="W52" s="88" t="s">
        <v>38</v>
      </c>
      <c r="X52" s="9" t="s">
        <v>46</v>
      </c>
      <c r="Y52" s="89" t="s">
        <v>108</v>
      </c>
      <c r="Z52" s="90"/>
      <c r="AA52" s="49"/>
    </row>
    <row r="53" s="9" customFormat="true" ht="14.1" hidden="false" customHeight="true" outlineLevel="0" collapsed="false">
      <c r="A53" s="78" t="s">
        <v>26</v>
      </c>
      <c r="B53" s="2" t="s">
        <v>127</v>
      </c>
      <c r="C53" s="3" t="s">
        <v>128</v>
      </c>
      <c r="D53" s="79" t="n">
        <v>5064103</v>
      </c>
      <c r="E53" s="80" t="n">
        <v>45418</v>
      </c>
      <c r="F53" s="81" t="s">
        <v>28</v>
      </c>
      <c r="G53" s="5" t="n">
        <v>45418</v>
      </c>
      <c r="H53" s="82" t="s">
        <v>55</v>
      </c>
      <c r="I53" s="83"/>
      <c r="J53" s="84"/>
      <c r="K53" s="84"/>
      <c r="L53" s="84"/>
      <c r="M53" s="84"/>
      <c r="N53" s="83"/>
      <c r="O53" s="84"/>
      <c r="P53" s="83"/>
      <c r="Q53" s="6"/>
      <c r="R53" s="85"/>
      <c r="S53" s="83" t="n">
        <v>129</v>
      </c>
      <c r="T53" s="85" t="n">
        <v>37.5</v>
      </c>
      <c r="U53" s="86" t="n">
        <v>13.87</v>
      </c>
      <c r="V53" s="87" t="n">
        <f aca="false">SUM(I53:U53)</f>
        <v>180.37</v>
      </c>
      <c r="W53" s="88" t="s">
        <v>38</v>
      </c>
      <c r="X53" s="9" t="s">
        <v>46</v>
      </c>
      <c r="Y53" s="89" t="s">
        <v>108</v>
      </c>
      <c r="Z53" s="90"/>
      <c r="AA53" s="49"/>
    </row>
    <row r="54" s="9" customFormat="true" ht="14.1" hidden="false" customHeight="true" outlineLevel="0" collapsed="false">
      <c r="A54" s="78" t="s">
        <v>26</v>
      </c>
      <c r="B54" s="2" t="s">
        <v>127</v>
      </c>
      <c r="C54" s="3" t="s">
        <v>129</v>
      </c>
      <c r="D54" s="79" t="n">
        <v>5064104</v>
      </c>
      <c r="E54" s="80" t="n">
        <v>45418</v>
      </c>
      <c r="F54" s="81" t="s">
        <v>28</v>
      </c>
      <c r="G54" s="5" t="n">
        <v>45418</v>
      </c>
      <c r="H54" s="82" t="s">
        <v>130</v>
      </c>
      <c r="I54" s="83"/>
      <c r="J54" s="84"/>
      <c r="K54" s="84"/>
      <c r="L54" s="84"/>
      <c r="M54" s="84"/>
      <c r="N54" s="83"/>
      <c r="O54" s="84"/>
      <c r="P54" s="83"/>
      <c r="Q54" s="6"/>
      <c r="R54" s="85"/>
      <c r="S54" s="83" t="n">
        <v>149</v>
      </c>
      <c r="T54" s="85" t="n">
        <v>37.5</v>
      </c>
      <c r="U54" s="86" t="n">
        <v>13.6</v>
      </c>
      <c r="V54" s="87" t="n">
        <f aca="false">SUM(I54:U54)</f>
        <v>200.1</v>
      </c>
      <c r="W54" s="88" t="s">
        <v>38</v>
      </c>
      <c r="X54" s="9" t="s">
        <v>46</v>
      </c>
      <c r="Y54" s="89" t="s">
        <v>108</v>
      </c>
      <c r="Z54" s="90"/>
      <c r="AA54" s="49"/>
    </row>
    <row r="55" s="9" customFormat="true" ht="14.1" hidden="false" customHeight="true" outlineLevel="0" collapsed="false">
      <c r="A55" s="78" t="s">
        <v>26</v>
      </c>
      <c r="B55" s="2" t="s">
        <v>131</v>
      </c>
      <c r="C55" s="3"/>
      <c r="D55" s="79" t="n">
        <v>5064105</v>
      </c>
      <c r="E55" s="80" t="n">
        <v>45418</v>
      </c>
      <c r="F55" s="81" t="s">
        <v>28</v>
      </c>
      <c r="G55" s="5" t="n">
        <v>45418</v>
      </c>
      <c r="H55" s="82" t="s">
        <v>59</v>
      </c>
      <c r="I55" s="83"/>
      <c r="J55" s="84"/>
      <c r="K55" s="84"/>
      <c r="L55" s="84"/>
      <c r="M55" s="84"/>
      <c r="N55" s="83"/>
      <c r="O55" s="84"/>
      <c r="P55" s="83"/>
      <c r="Q55" s="6"/>
      <c r="R55" s="85"/>
      <c r="S55" s="83" t="n">
        <v>166</v>
      </c>
      <c r="T55" s="85" t="n">
        <v>25</v>
      </c>
      <c r="U55" s="86" t="n">
        <v>15.36</v>
      </c>
      <c r="V55" s="87" t="n">
        <f aca="false">SUM(I55:U55)</f>
        <v>206.36</v>
      </c>
      <c r="W55" s="88" t="s">
        <v>38</v>
      </c>
      <c r="X55" s="9" t="s">
        <v>46</v>
      </c>
      <c r="Y55" s="89" t="s">
        <v>108</v>
      </c>
      <c r="Z55" s="90"/>
      <c r="AA55" s="49"/>
    </row>
    <row r="56" s="9" customFormat="true" ht="14.1" hidden="false" customHeight="true" outlineLevel="0" collapsed="false">
      <c r="A56" s="78" t="s">
        <v>26</v>
      </c>
      <c r="B56" s="2" t="s">
        <v>116</v>
      </c>
      <c r="C56" s="3"/>
      <c r="D56" s="79" t="n">
        <v>5064106</v>
      </c>
      <c r="E56" s="80" t="n">
        <v>45418</v>
      </c>
      <c r="F56" s="81" t="s">
        <v>28</v>
      </c>
      <c r="G56" s="5" t="n">
        <v>45420</v>
      </c>
      <c r="H56" s="82" t="s">
        <v>29</v>
      </c>
      <c r="I56" s="83"/>
      <c r="J56" s="84"/>
      <c r="K56" s="84"/>
      <c r="L56" s="84"/>
      <c r="M56" s="84"/>
      <c r="N56" s="83"/>
      <c r="O56" s="84"/>
      <c r="P56" s="83"/>
      <c r="Q56" s="6"/>
      <c r="R56" s="85"/>
      <c r="S56" s="83" t="n">
        <v>45</v>
      </c>
      <c r="T56" s="85" t="n">
        <v>12.5</v>
      </c>
      <c r="U56" s="86" t="n">
        <v>3.83</v>
      </c>
      <c r="V56" s="87" t="n">
        <f aca="false">SUM(I56:U56)</f>
        <v>61.33</v>
      </c>
      <c r="W56" s="88" t="s">
        <v>30</v>
      </c>
      <c r="X56" s="9" t="s">
        <v>132</v>
      </c>
      <c r="Y56" s="89" t="s">
        <v>108</v>
      </c>
      <c r="Z56" s="90"/>
      <c r="AA56" s="49"/>
    </row>
    <row r="57" s="9" customFormat="true" ht="14.1" hidden="false" customHeight="true" outlineLevel="0" collapsed="false">
      <c r="A57" s="78" t="s">
        <v>26</v>
      </c>
      <c r="B57" s="2" t="s">
        <v>133</v>
      </c>
      <c r="C57" s="3"/>
      <c r="D57" s="79" t="n">
        <v>5064108</v>
      </c>
      <c r="E57" s="80" t="n">
        <v>45418</v>
      </c>
      <c r="F57" s="81" t="s">
        <v>28</v>
      </c>
      <c r="G57" s="5" t="n">
        <v>45418</v>
      </c>
      <c r="H57" s="82" t="s">
        <v>59</v>
      </c>
      <c r="I57" s="83"/>
      <c r="J57" s="84"/>
      <c r="K57" s="84"/>
      <c r="L57" s="84"/>
      <c r="M57" s="84"/>
      <c r="N57" s="83"/>
      <c r="O57" s="84"/>
      <c r="P57" s="83"/>
      <c r="Q57" s="6"/>
      <c r="R57" s="85"/>
      <c r="S57" s="83" t="n">
        <v>187</v>
      </c>
      <c r="T57" s="85" t="n">
        <v>37.5</v>
      </c>
      <c r="U57" s="86" t="n">
        <v>17.3</v>
      </c>
      <c r="V57" s="87" t="n">
        <f aca="false">SUM(I57:U57)</f>
        <v>241.8</v>
      </c>
      <c r="W57" s="88" t="s">
        <v>38</v>
      </c>
      <c r="X57" s="9" t="s">
        <v>46</v>
      </c>
      <c r="Y57" s="89" t="s">
        <v>108</v>
      </c>
      <c r="Z57" s="90"/>
      <c r="AA57" s="49"/>
    </row>
    <row r="58" s="9" customFormat="true" ht="14.1" hidden="false" customHeight="true" outlineLevel="0" collapsed="false">
      <c r="A58" s="78" t="s">
        <v>26</v>
      </c>
      <c r="B58" s="2" t="s">
        <v>134</v>
      </c>
      <c r="C58" s="3"/>
      <c r="D58" s="79" t="n">
        <v>5074101</v>
      </c>
      <c r="E58" s="80" t="n">
        <v>45419</v>
      </c>
      <c r="F58" s="81" t="s">
        <v>28</v>
      </c>
      <c r="G58" s="5" t="n">
        <v>45419</v>
      </c>
      <c r="H58" s="82" t="s">
        <v>39</v>
      </c>
      <c r="I58" s="83"/>
      <c r="J58" s="84"/>
      <c r="K58" s="84"/>
      <c r="L58" s="84"/>
      <c r="M58" s="84"/>
      <c r="N58" s="83"/>
      <c r="O58" s="84"/>
      <c r="P58" s="83"/>
      <c r="Q58" s="6"/>
      <c r="R58" s="85"/>
      <c r="S58" s="83" t="n">
        <v>315</v>
      </c>
      <c r="T58" s="85"/>
      <c r="U58" s="86" t="n">
        <v>27.56</v>
      </c>
      <c r="V58" s="87" t="n">
        <f aca="false">SUM(I58:U58)</f>
        <v>342.56</v>
      </c>
      <c r="W58" s="88" t="s">
        <v>30</v>
      </c>
      <c r="X58" s="9" t="s">
        <v>135</v>
      </c>
      <c r="Y58" s="89" t="s">
        <v>108</v>
      </c>
      <c r="Z58" s="90"/>
      <c r="AA58" s="49"/>
    </row>
    <row r="59" s="9" customFormat="true" ht="14.1" hidden="false" customHeight="true" outlineLevel="0" collapsed="false">
      <c r="A59" s="78" t="s">
        <v>26</v>
      </c>
      <c r="B59" s="2" t="s">
        <v>136</v>
      </c>
      <c r="C59" s="3"/>
      <c r="D59" s="79" t="n">
        <v>5084103</v>
      </c>
      <c r="E59" s="80" t="n">
        <v>45420</v>
      </c>
      <c r="F59" s="81" t="s">
        <v>28</v>
      </c>
      <c r="G59" s="5" t="n">
        <v>45418</v>
      </c>
      <c r="H59" s="82" t="s">
        <v>37</v>
      </c>
      <c r="I59" s="83"/>
      <c r="J59" s="84"/>
      <c r="K59" s="84"/>
      <c r="L59" s="84"/>
      <c r="M59" s="84"/>
      <c r="N59" s="83"/>
      <c r="O59" s="84"/>
      <c r="P59" s="83"/>
      <c r="Q59" s="6"/>
      <c r="R59" s="85"/>
      <c r="S59" s="83" t="n">
        <v>138</v>
      </c>
      <c r="T59" s="85" t="n">
        <v>25</v>
      </c>
      <c r="U59" s="86" t="n">
        <v>11.9</v>
      </c>
      <c r="V59" s="87" t="n">
        <f aca="false">SUM(I59:U59)</f>
        <v>174.9</v>
      </c>
      <c r="W59" s="88" t="s">
        <v>38</v>
      </c>
      <c r="X59" s="9" t="s">
        <v>46</v>
      </c>
      <c r="Y59" s="89" t="s">
        <v>108</v>
      </c>
      <c r="Z59" s="90"/>
      <c r="AA59" s="49"/>
    </row>
    <row r="60" s="9" customFormat="true" ht="14.1" hidden="false" customHeight="true" outlineLevel="0" collapsed="false">
      <c r="A60" s="78" t="s">
        <v>26</v>
      </c>
      <c r="B60" s="2" t="s">
        <v>137</v>
      </c>
      <c r="C60" s="3"/>
      <c r="D60" s="79" t="n">
        <v>5084104</v>
      </c>
      <c r="E60" s="80" t="n">
        <v>45420</v>
      </c>
      <c r="F60" s="81" t="s">
        <v>28</v>
      </c>
      <c r="G60" s="5" t="n">
        <v>45421</v>
      </c>
      <c r="H60" s="82" t="s">
        <v>138</v>
      </c>
      <c r="I60" s="83"/>
      <c r="J60" s="84"/>
      <c r="K60" s="84"/>
      <c r="L60" s="84"/>
      <c r="M60" s="84"/>
      <c r="N60" s="83"/>
      <c r="O60" s="84"/>
      <c r="P60" s="83"/>
      <c r="Q60" s="6"/>
      <c r="R60" s="85"/>
      <c r="S60" s="83" t="n">
        <v>236</v>
      </c>
      <c r="T60" s="85" t="n">
        <v>50</v>
      </c>
      <c r="U60" s="86" t="n">
        <v>21.83</v>
      </c>
      <c r="V60" s="87" t="n">
        <f aca="false">SUM(I60:U60)</f>
        <v>307.83</v>
      </c>
      <c r="W60" s="88" t="s">
        <v>38</v>
      </c>
      <c r="X60" s="9" t="s">
        <v>46</v>
      </c>
      <c r="Y60" s="89" t="s">
        <v>108</v>
      </c>
      <c r="Z60" s="90"/>
      <c r="AA60" s="49"/>
    </row>
    <row r="61" s="9" customFormat="true" ht="14.1" hidden="false" customHeight="true" outlineLevel="0" collapsed="false">
      <c r="A61" s="78" t="s">
        <v>26</v>
      </c>
      <c r="B61" s="2" t="s">
        <v>139</v>
      </c>
      <c r="C61" s="3" t="s">
        <v>140</v>
      </c>
      <c r="D61" s="79" t="n">
        <v>5094102</v>
      </c>
      <c r="E61" s="80" t="n">
        <v>45421</v>
      </c>
      <c r="F61" s="81" t="s">
        <v>28</v>
      </c>
      <c r="G61" s="5" t="n">
        <v>45421</v>
      </c>
      <c r="H61" s="82" t="s">
        <v>117</v>
      </c>
      <c r="I61" s="83"/>
      <c r="J61" s="84"/>
      <c r="K61" s="84"/>
      <c r="L61" s="84"/>
      <c r="M61" s="84"/>
      <c r="N61" s="83"/>
      <c r="O61" s="84"/>
      <c r="P61" s="83"/>
      <c r="Q61" s="6"/>
      <c r="R61" s="85"/>
      <c r="S61" s="83" t="n">
        <v>463</v>
      </c>
      <c r="T61" s="85" t="n">
        <v>87.5</v>
      </c>
      <c r="U61" s="86" t="n">
        <v>39.36</v>
      </c>
      <c r="V61" s="87" t="n">
        <f aca="false">SUM(I61:U61)</f>
        <v>589.86</v>
      </c>
      <c r="W61" s="88" t="s">
        <v>38</v>
      </c>
      <c r="X61" s="9" t="s">
        <v>26</v>
      </c>
      <c r="Y61" s="89" t="s">
        <v>108</v>
      </c>
      <c r="Z61" s="90"/>
      <c r="AA61" s="49"/>
    </row>
    <row r="62" s="9" customFormat="true" ht="14.1" hidden="false" customHeight="true" outlineLevel="0" collapsed="false">
      <c r="A62" s="78" t="s">
        <v>99</v>
      </c>
      <c r="B62" s="2" t="s">
        <v>141</v>
      </c>
      <c r="C62" s="3" t="s">
        <v>73</v>
      </c>
      <c r="D62" s="79" t="n">
        <v>5104102</v>
      </c>
      <c r="E62" s="80" t="n">
        <v>45422</v>
      </c>
      <c r="F62" s="81" t="s">
        <v>42</v>
      </c>
      <c r="G62" s="5" t="n">
        <v>45428</v>
      </c>
      <c r="H62" s="82" t="s">
        <v>73</v>
      </c>
      <c r="I62" s="83"/>
      <c r="J62" s="84"/>
      <c r="K62" s="84"/>
      <c r="L62" s="84"/>
      <c r="M62" s="84"/>
      <c r="N62" s="83"/>
      <c r="O62" s="84"/>
      <c r="P62" s="83"/>
      <c r="Q62" s="6" t="n">
        <v>180</v>
      </c>
      <c r="R62" s="85" t="n">
        <v>45</v>
      </c>
      <c r="S62" s="83"/>
      <c r="T62" s="85"/>
      <c r="U62" s="86"/>
      <c r="V62" s="87" t="n">
        <f aca="false">SUM(I62:U62)</f>
        <v>225</v>
      </c>
      <c r="W62" s="88" t="s">
        <v>43</v>
      </c>
      <c r="X62" s="9" t="s">
        <v>99</v>
      </c>
      <c r="Y62" s="89" t="s">
        <v>108</v>
      </c>
      <c r="Z62" s="90"/>
      <c r="AA62" s="49"/>
    </row>
    <row r="63" s="9" customFormat="true" ht="14.1" hidden="false" customHeight="true" outlineLevel="0" collapsed="false">
      <c r="A63" s="78" t="s">
        <v>26</v>
      </c>
      <c r="B63" s="2" t="s">
        <v>142</v>
      </c>
      <c r="C63" s="3"/>
      <c r="D63" s="79" t="n">
        <v>5104103</v>
      </c>
      <c r="E63" s="80" t="n">
        <v>45422</v>
      </c>
      <c r="F63" s="81" t="s">
        <v>28</v>
      </c>
      <c r="G63" s="5" t="n">
        <v>45422</v>
      </c>
      <c r="H63" s="82" t="s">
        <v>130</v>
      </c>
      <c r="I63" s="83"/>
      <c r="J63" s="84"/>
      <c r="K63" s="84"/>
      <c r="L63" s="84"/>
      <c r="M63" s="84"/>
      <c r="N63" s="83"/>
      <c r="O63" s="84"/>
      <c r="P63" s="83"/>
      <c r="Q63" s="6"/>
      <c r="R63" s="85"/>
      <c r="S63" s="83" t="n">
        <v>187</v>
      </c>
      <c r="T63" s="85" t="n">
        <v>37.5</v>
      </c>
      <c r="U63" s="86" t="n">
        <v>17.06</v>
      </c>
      <c r="V63" s="87" t="n">
        <f aca="false">SUM(I63:U63)</f>
        <v>241.56</v>
      </c>
      <c r="W63" s="88" t="s">
        <v>38</v>
      </c>
      <c r="X63" s="9" t="s">
        <v>26</v>
      </c>
      <c r="Y63" s="89" t="s">
        <v>108</v>
      </c>
      <c r="Z63" s="90"/>
      <c r="AA63" s="49"/>
    </row>
    <row r="64" s="9" customFormat="true" ht="14.1" hidden="false" customHeight="true" outlineLevel="0" collapsed="false">
      <c r="A64" s="78" t="s">
        <v>26</v>
      </c>
      <c r="B64" s="2" t="s">
        <v>143</v>
      </c>
      <c r="C64" s="3"/>
      <c r="D64" s="79" t="n">
        <v>5104104</v>
      </c>
      <c r="E64" s="80" t="n">
        <v>45422</v>
      </c>
      <c r="F64" s="81" t="s">
        <v>28</v>
      </c>
      <c r="G64" s="5" t="n">
        <v>45422</v>
      </c>
      <c r="H64" s="82" t="s">
        <v>59</v>
      </c>
      <c r="I64" s="83"/>
      <c r="J64" s="84"/>
      <c r="K64" s="84"/>
      <c r="L64" s="84"/>
      <c r="M64" s="84"/>
      <c r="N64" s="83"/>
      <c r="O64" s="84"/>
      <c r="P64" s="83"/>
      <c r="Q64" s="6"/>
      <c r="R64" s="85"/>
      <c r="S64" s="83" t="n">
        <v>118</v>
      </c>
      <c r="T64" s="85" t="n">
        <v>25</v>
      </c>
      <c r="U64" s="86" t="n">
        <v>10.86</v>
      </c>
      <c r="V64" s="87" t="n">
        <f aca="false">SUM(I64:U64)</f>
        <v>153.86</v>
      </c>
      <c r="W64" s="88" t="s">
        <v>38</v>
      </c>
      <c r="X64" s="9" t="s">
        <v>26</v>
      </c>
      <c r="Y64" s="89" t="s">
        <v>108</v>
      </c>
      <c r="Z64" s="90"/>
      <c r="AA64" s="49"/>
    </row>
    <row r="65" s="9" customFormat="true" ht="14.1" hidden="false" customHeight="true" outlineLevel="0" collapsed="false">
      <c r="A65" s="78" t="s">
        <v>26</v>
      </c>
      <c r="B65" s="2" t="s">
        <v>144</v>
      </c>
      <c r="C65" s="3"/>
      <c r="D65" s="79" t="n">
        <v>5134101</v>
      </c>
      <c r="E65" s="80" t="n">
        <v>45425</v>
      </c>
      <c r="F65" s="81" t="s">
        <v>28</v>
      </c>
      <c r="G65" s="5" t="n">
        <v>45425</v>
      </c>
      <c r="H65" s="82" t="s">
        <v>145</v>
      </c>
      <c r="I65" s="83"/>
      <c r="J65" s="84"/>
      <c r="K65" s="84"/>
      <c r="L65" s="84"/>
      <c r="M65" s="84"/>
      <c r="N65" s="83"/>
      <c r="O65" s="84"/>
      <c r="P65" s="83"/>
      <c r="Q65" s="6"/>
      <c r="R65" s="85"/>
      <c r="S65" s="83" t="n">
        <v>98</v>
      </c>
      <c r="T65" s="85" t="n">
        <v>25</v>
      </c>
      <c r="U65" s="86" t="n">
        <v>7.6</v>
      </c>
      <c r="V65" s="87" t="n">
        <f aca="false">SUM(I65:U65)</f>
        <v>130.6</v>
      </c>
      <c r="W65" s="88" t="s">
        <v>38</v>
      </c>
      <c r="X65" s="9" t="s">
        <v>46</v>
      </c>
      <c r="Y65" s="89" t="s">
        <v>108</v>
      </c>
      <c r="Z65" s="90"/>
      <c r="AA65" s="49"/>
    </row>
    <row r="66" s="9" customFormat="true" ht="14.1" hidden="false" customHeight="true" outlineLevel="0" collapsed="false">
      <c r="A66" s="78" t="s">
        <v>26</v>
      </c>
      <c r="B66" s="2" t="s">
        <v>146</v>
      </c>
      <c r="C66" s="3" t="s">
        <v>147</v>
      </c>
      <c r="D66" s="79" t="n">
        <v>5134102</v>
      </c>
      <c r="E66" s="80" t="n">
        <v>45425</v>
      </c>
      <c r="F66" s="81" t="s">
        <v>28</v>
      </c>
      <c r="G66" s="5" t="n">
        <v>45425</v>
      </c>
      <c r="H66" s="82" t="s">
        <v>55</v>
      </c>
      <c r="I66" s="83"/>
      <c r="J66" s="84"/>
      <c r="K66" s="84"/>
      <c r="L66" s="84"/>
      <c r="M66" s="84"/>
      <c r="N66" s="83"/>
      <c r="O66" s="84"/>
      <c r="P66" s="83"/>
      <c r="Q66" s="6"/>
      <c r="R66" s="85"/>
      <c r="S66" s="83" t="n">
        <v>157</v>
      </c>
      <c r="T66" s="85" t="n">
        <v>37.5</v>
      </c>
      <c r="U66" s="86" t="n">
        <v>16.09</v>
      </c>
      <c r="V66" s="87" t="n">
        <f aca="false">SUM(I66:U66)</f>
        <v>210.59</v>
      </c>
      <c r="W66" s="88" t="s">
        <v>38</v>
      </c>
      <c r="X66" s="9" t="s">
        <v>46</v>
      </c>
      <c r="Y66" s="89" t="s">
        <v>108</v>
      </c>
      <c r="Z66" s="90"/>
      <c r="AA66" s="49"/>
    </row>
    <row r="67" s="9" customFormat="true" ht="14.1" hidden="false" customHeight="true" outlineLevel="0" collapsed="false">
      <c r="A67" s="78" t="s">
        <v>26</v>
      </c>
      <c r="B67" s="2" t="s">
        <v>88</v>
      </c>
      <c r="C67" s="3"/>
      <c r="D67" s="79" t="n">
        <v>5134103</v>
      </c>
      <c r="E67" s="80" t="n">
        <v>45425</v>
      </c>
      <c r="F67" s="81" t="s">
        <v>28</v>
      </c>
      <c r="G67" s="5" t="n">
        <v>45425</v>
      </c>
      <c r="H67" s="82" t="s">
        <v>89</v>
      </c>
      <c r="I67" s="83"/>
      <c r="J67" s="84"/>
      <c r="K67" s="84"/>
      <c r="L67" s="84"/>
      <c r="M67" s="84"/>
      <c r="N67" s="83"/>
      <c r="O67" s="84"/>
      <c r="P67" s="83"/>
      <c r="Q67" s="6"/>
      <c r="R67" s="85"/>
      <c r="S67" s="83" t="n">
        <v>234</v>
      </c>
      <c r="T67" s="85" t="n">
        <v>12.5</v>
      </c>
      <c r="U67" s="86" t="n">
        <v>19.31</v>
      </c>
      <c r="V67" s="87" t="n">
        <f aca="false">SUM(I67:U67)</f>
        <v>265.81</v>
      </c>
      <c r="W67" s="88" t="s">
        <v>38</v>
      </c>
      <c r="X67" s="9" t="s">
        <v>46</v>
      </c>
      <c r="Y67" s="89" t="s">
        <v>108</v>
      </c>
      <c r="Z67" s="90"/>
      <c r="AA67" s="49"/>
    </row>
    <row r="68" s="9" customFormat="true" ht="14.1" hidden="false" customHeight="true" outlineLevel="0" collapsed="false">
      <c r="A68" s="78" t="s">
        <v>26</v>
      </c>
      <c r="B68" s="2" t="s">
        <v>139</v>
      </c>
      <c r="C68" s="3" t="s">
        <v>148</v>
      </c>
      <c r="D68" s="79" t="n">
        <v>5144101</v>
      </c>
      <c r="E68" s="80" t="n">
        <v>45426</v>
      </c>
      <c r="F68" s="81" t="s">
        <v>28</v>
      </c>
      <c r="G68" s="5" t="n">
        <v>45426</v>
      </c>
      <c r="H68" s="82" t="s">
        <v>148</v>
      </c>
      <c r="I68" s="83"/>
      <c r="J68" s="84"/>
      <c r="K68" s="84"/>
      <c r="L68" s="84"/>
      <c r="M68" s="84"/>
      <c r="N68" s="83"/>
      <c r="O68" s="84"/>
      <c r="P68" s="83"/>
      <c r="Q68" s="6"/>
      <c r="R68" s="85"/>
      <c r="S68" s="83" t="n">
        <v>128</v>
      </c>
      <c r="T68" s="85" t="n">
        <v>25</v>
      </c>
      <c r="U68" s="86" t="n">
        <v>11.52</v>
      </c>
      <c r="V68" s="87" t="n">
        <f aca="false">SUM(I68:U68)</f>
        <v>164.52</v>
      </c>
      <c r="W68" s="88" t="s">
        <v>38</v>
      </c>
      <c r="X68" s="9" t="s">
        <v>46</v>
      </c>
      <c r="Y68" s="89" t="s">
        <v>108</v>
      </c>
      <c r="Z68" s="90"/>
      <c r="AA68" s="49"/>
    </row>
    <row r="69" s="9" customFormat="true" ht="14.1" hidden="false" customHeight="true" outlineLevel="0" collapsed="false">
      <c r="A69" s="78" t="s">
        <v>26</v>
      </c>
      <c r="B69" s="2" t="s">
        <v>149</v>
      </c>
      <c r="C69" s="3"/>
      <c r="D69" s="79" t="n">
        <v>5144105</v>
      </c>
      <c r="E69" s="80" t="n">
        <v>45426</v>
      </c>
      <c r="F69" s="81" t="s">
        <v>28</v>
      </c>
      <c r="G69" s="5" t="n">
        <v>45426</v>
      </c>
      <c r="H69" s="82" t="s">
        <v>66</v>
      </c>
      <c r="I69" s="83"/>
      <c r="J69" s="84"/>
      <c r="K69" s="84"/>
      <c r="L69" s="84"/>
      <c r="M69" s="84"/>
      <c r="N69" s="83"/>
      <c r="O69" s="84"/>
      <c r="P69" s="83"/>
      <c r="Q69" s="6"/>
      <c r="R69" s="85"/>
      <c r="S69" s="83" t="n">
        <v>432</v>
      </c>
      <c r="T69" s="85" t="n">
        <v>87.5</v>
      </c>
      <c r="U69" s="86" t="n">
        <v>39.96</v>
      </c>
      <c r="V69" s="87" t="n">
        <f aca="false">SUM(I69:U69)</f>
        <v>559.46</v>
      </c>
      <c r="W69" s="88" t="s">
        <v>38</v>
      </c>
      <c r="X69" s="9" t="s">
        <v>26</v>
      </c>
      <c r="Y69" s="89" t="s">
        <v>108</v>
      </c>
      <c r="Z69" s="90"/>
      <c r="AA69" s="49"/>
    </row>
    <row r="70" s="9" customFormat="true" ht="14.1" hidden="false" customHeight="true" outlineLevel="0" collapsed="false">
      <c r="A70" s="78" t="s">
        <v>26</v>
      </c>
      <c r="B70" s="2" t="s">
        <v>141</v>
      </c>
      <c r="C70" s="3" t="s">
        <v>73</v>
      </c>
      <c r="D70" s="79" t="n">
        <v>5154051</v>
      </c>
      <c r="E70" s="80" t="n">
        <v>45427</v>
      </c>
      <c r="F70" s="81" t="s">
        <v>13</v>
      </c>
      <c r="G70" s="5" t="n">
        <v>45427</v>
      </c>
      <c r="H70" s="82" t="s">
        <v>29</v>
      </c>
      <c r="I70" s="83"/>
      <c r="J70" s="84"/>
      <c r="K70" s="84"/>
      <c r="L70" s="84"/>
      <c r="M70" s="84"/>
      <c r="N70" s="83" t="n">
        <v>69</v>
      </c>
      <c r="O70" s="84" t="n">
        <v>39</v>
      </c>
      <c r="P70" s="83"/>
      <c r="Q70" s="6"/>
      <c r="R70" s="85"/>
      <c r="S70" s="83"/>
      <c r="T70" s="85"/>
      <c r="U70" s="86"/>
      <c r="V70" s="87" t="n">
        <f aca="false">SUM(I70:U70)</f>
        <v>108</v>
      </c>
      <c r="W70" s="88" t="s">
        <v>96</v>
      </c>
      <c r="X70" s="9" t="s">
        <v>99</v>
      </c>
      <c r="Y70" s="89" t="s">
        <v>108</v>
      </c>
      <c r="Z70" s="90"/>
      <c r="AA70" s="49"/>
    </row>
    <row r="71" s="9" customFormat="true" ht="14.1" hidden="false" customHeight="true" outlineLevel="0" collapsed="false">
      <c r="A71" s="78" t="s">
        <v>26</v>
      </c>
      <c r="B71" s="2" t="s">
        <v>141</v>
      </c>
      <c r="C71" s="3" t="s">
        <v>150</v>
      </c>
      <c r="D71" s="79" t="n">
        <v>5154052</v>
      </c>
      <c r="E71" s="80" t="n">
        <v>45427</v>
      </c>
      <c r="F71" s="81" t="s">
        <v>13</v>
      </c>
      <c r="G71" s="5" t="n">
        <v>45427</v>
      </c>
      <c r="H71" s="82" t="s">
        <v>29</v>
      </c>
      <c r="I71" s="83"/>
      <c r="J71" s="84"/>
      <c r="K71" s="84"/>
      <c r="L71" s="84"/>
      <c r="M71" s="84"/>
      <c r="N71" s="83" t="n">
        <v>69</v>
      </c>
      <c r="O71" s="84" t="n">
        <v>39</v>
      </c>
      <c r="P71" s="83"/>
      <c r="Q71" s="6"/>
      <c r="R71" s="85"/>
      <c r="S71" s="83"/>
      <c r="T71" s="85"/>
      <c r="U71" s="86"/>
      <c r="V71" s="87" t="n">
        <f aca="false">SUM(I71:U71)</f>
        <v>108</v>
      </c>
      <c r="W71" s="88" t="s">
        <v>96</v>
      </c>
      <c r="X71" s="9" t="s">
        <v>99</v>
      </c>
      <c r="Y71" s="89" t="s">
        <v>108</v>
      </c>
      <c r="Z71" s="90"/>
      <c r="AA71" s="49"/>
    </row>
    <row r="72" s="9" customFormat="true" ht="14.1" hidden="false" customHeight="true" outlineLevel="0" collapsed="false">
      <c r="A72" s="78" t="s">
        <v>26</v>
      </c>
      <c r="B72" s="2" t="s">
        <v>151</v>
      </c>
      <c r="C72" s="3"/>
      <c r="D72" s="79" t="n">
        <v>5154053</v>
      </c>
      <c r="E72" s="80" t="n">
        <v>45427</v>
      </c>
      <c r="F72" s="81" t="s">
        <v>13</v>
      </c>
      <c r="G72" s="5" t="n">
        <v>45427</v>
      </c>
      <c r="H72" s="82" t="s">
        <v>29</v>
      </c>
      <c r="I72" s="83"/>
      <c r="J72" s="84"/>
      <c r="K72" s="84"/>
      <c r="L72" s="84"/>
      <c r="M72" s="84"/>
      <c r="N72" s="83" t="n">
        <v>150</v>
      </c>
      <c r="O72" s="84"/>
      <c r="P72" s="83"/>
      <c r="Q72" s="6"/>
      <c r="R72" s="85"/>
      <c r="S72" s="83"/>
      <c r="T72" s="85"/>
      <c r="U72" s="86"/>
      <c r="V72" s="87" t="n">
        <f aca="false">SUM(I72:U72)</f>
        <v>150</v>
      </c>
      <c r="W72" s="88" t="s">
        <v>96</v>
      </c>
      <c r="X72" s="9" t="s">
        <v>99</v>
      </c>
      <c r="Y72" s="89" t="s">
        <v>108</v>
      </c>
      <c r="Z72" s="90"/>
      <c r="AA72" s="49"/>
    </row>
    <row r="73" s="9" customFormat="true" ht="14.1" hidden="false" customHeight="true" outlineLevel="0" collapsed="false">
      <c r="A73" s="78" t="s">
        <v>152</v>
      </c>
      <c r="B73" s="2" t="s">
        <v>153</v>
      </c>
      <c r="C73" s="3" t="s">
        <v>154</v>
      </c>
      <c r="D73" s="79" t="n">
        <v>5154054</v>
      </c>
      <c r="E73" s="80" t="n">
        <v>45427</v>
      </c>
      <c r="F73" s="81" t="s">
        <v>155</v>
      </c>
      <c r="G73" s="5" t="n">
        <v>45427</v>
      </c>
      <c r="H73" s="82" t="s">
        <v>29</v>
      </c>
      <c r="I73" s="83"/>
      <c r="J73" s="84" t="n">
        <v>249</v>
      </c>
      <c r="K73" s="84"/>
      <c r="L73" s="84"/>
      <c r="M73" s="84"/>
      <c r="N73" s="83"/>
      <c r="O73" s="84"/>
      <c r="P73" s="83"/>
      <c r="Q73" s="6"/>
      <c r="R73" s="85"/>
      <c r="S73" s="83"/>
      <c r="T73" s="85"/>
      <c r="U73" s="86" t="n">
        <v>20.7</v>
      </c>
      <c r="V73" s="87" t="n">
        <f aca="false">SUM(I73:U73)</f>
        <v>269.7</v>
      </c>
      <c r="W73" s="88" t="s">
        <v>96</v>
      </c>
      <c r="X73" s="9" t="s">
        <v>156</v>
      </c>
      <c r="Y73" s="89" t="s">
        <v>108</v>
      </c>
      <c r="Z73" s="90"/>
      <c r="AA73" s="49"/>
    </row>
    <row r="74" s="9" customFormat="true" ht="14.1" hidden="false" customHeight="true" outlineLevel="0" collapsed="false">
      <c r="A74" s="78" t="s">
        <v>26</v>
      </c>
      <c r="B74" s="2" t="s">
        <v>157</v>
      </c>
      <c r="C74" s="3"/>
      <c r="D74" s="79" t="n">
        <v>5154101</v>
      </c>
      <c r="E74" s="80" t="n">
        <v>45427</v>
      </c>
      <c r="F74" s="81" t="s">
        <v>28</v>
      </c>
      <c r="G74" s="5" t="n">
        <v>45427</v>
      </c>
      <c r="H74" s="82" t="s">
        <v>59</v>
      </c>
      <c r="I74" s="83"/>
      <c r="J74" s="84"/>
      <c r="K74" s="84"/>
      <c r="L74" s="84"/>
      <c r="M74" s="84"/>
      <c r="N74" s="83"/>
      <c r="O74" s="84"/>
      <c r="P74" s="83"/>
      <c r="Q74" s="6"/>
      <c r="R74" s="85"/>
      <c r="S74" s="83" t="n">
        <v>49</v>
      </c>
      <c r="T74" s="85" t="n">
        <v>12.5</v>
      </c>
      <c r="U74" s="86" t="n">
        <v>4.41</v>
      </c>
      <c r="V74" s="87" t="n">
        <f aca="false">SUM(I74:U74)</f>
        <v>65.91</v>
      </c>
      <c r="W74" s="88" t="s">
        <v>38</v>
      </c>
      <c r="X74" s="9" t="s">
        <v>26</v>
      </c>
      <c r="Y74" s="89" t="s">
        <v>108</v>
      </c>
      <c r="Z74" s="90"/>
      <c r="AA74" s="49"/>
    </row>
    <row r="75" s="9" customFormat="true" ht="14.1" hidden="false" customHeight="true" outlineLevel="0" collapsed="false">
      <c r="A75" s="78" t="s">
        <v>26</v>
      </c>
      <c r="B75" s="2" t="s">
        <v>158</v>
      </c>
      <c r="C75" s="3"/>
      <c r="D75" s="79" t="n">
        <v>5164062</v>
      </c>
      <c r="E75" s="80" t="n">
        <v>45428</v>
      </c>
      <c r="F75" s="81" t="s">
        <v>28</v>
      </c>
      <c r="G75" s="5" t="n">
        <v>45428</v>
      </c>
      <c r="H75" s="82" t="s">
        <v>117</v>
      </c>
      <c r="I75" s="83"/>
      <c r="J75" s="84"/>
      <c r="K75" s="84"/>
      <c r="L75" s="84"/>
      <c r="M75" s="84"/>
      <c r="N75" s="83"/>
      <c r="O75" s="84"/>
      <c r="P75" s="83"/>
      <c r="Q75" s="6"/>
      <c r="R75" s="85"/>
      <c r="S75" s="83" t="n">
        <v>69</v>
      </c>
      <c r="T75" s="85"/>
      <c r="U75" s="86" t="n">
        <v>5.87</v>
      </c>
      <c r="V75" s="87" t="n">
        <f aca="false">SUM(I75:U75)</f>
        <v>74.87</v>
      </c>
      <c r="W75" s="88" t="s">
        <v>30</v>
      </c>
      <c r="X75" s="9" t="s">
        <v>159</v>
      </c>
      <c r="Y75" s="89" t="s">
        <v>108</v>
      </c>
      <c r="Z75" s="90"/>
      <c r="AA75" s="49"/>
    </row>
    <row r="76" s="9" customFormat="true" ht="14.1" hidden="false" customHeight="true" outlineLevel="0" collapsed="false">
      <c r="A76" s="78" t="s">
        <v>26</v>
      </c>
      <c r="B76" s="2" t="s">
        <v>160</v>
      </c>
      <c r="C76" s="3"/>
      <c r="D76" s="79" t="n">
        <v>5164064</v>
      </c>
      <c r="E76" s="80" t="n">
        <v>45428</v>
      </c>
      <c r="F76" s="81" t="s">
        <v>28</v>
      </c>
      <c r="G76" s="5" t="n">
        <v>45429</v>
      </c>
      <c r="H76" s="82" t="s">
        <v>55</v>
      </c>
      <c r="I76" s="83"/>
      <c r="J76" s="84"/>
      <c r="K76" s="84"/>
      <c r="L76" s="84"/>
      <c r="M76" s="84"/>
      <c r="N76" s="83"/>
      <c r="O76" s="84"/>
      <c r="P76" s="83"/>
      <c r="Q76" s="6"/>
      <c r="R76" s="85"/>
      <c r="S76" s="83" t="n">
        <v>88</v>
      </c>
      <c r="T76" s="85" t="n">
        <v>25</v>
      </c>
      <c r="U76" s="86" t="n">
        <v>9.02</v>
      </c>
      <c r="V76" s="87" t="n">
        <f aca="false">SUM(I76:U76)</f>
        <v>122.02</v>
      </c>
      <c r="W76" s="88" t="s">
        <v>38</v>
      </c>
      <c r="X76" s="9" t="s">
        <v>92</v>
      </c>
      <c r="Y76" s="89" t="s">
        <v>108</v>
      </c>
      <c r="Z76" s="90"/>
      <c r="AA76" s="49"/>
    </row>
    <row r="77" s="9" customFormat="true" ht="14.1" hidden="false" customHeight="true" outlineLevel="0" collapsed="false">
      <c r="A77" s="78" t="s">
        <v>26</v>
      </c>
      <c r="B77" s="2" t="s">
        <v>161</v>
      </c>
      <c r="C77" s="3"/>
      <c r="D77" s="79" t="n">
        <v>5174062</v>
      </c>
      <c r="E77" s="80" t="n">
        <v>45429</v>
      </c>
      <c r="F77" s="81" t="s">
        <v>28</v>
      </c>
      <c r="G77" s="5" t="n">
        <v>45429</v>
      </c>
      <c r="H77" s="82" t="s">
        <v>50</v>
      </c>
      <c r="I77" s="83"/>
      <c r="J77" s="84"/>
      <c r="K77" s="84"/>
      <c r="L77" s="84"/>
      <c r="M77" s="84"/>
      <c r="N77" s="83"/>
      <c r="O77" s="84"/>
      <c r="P77" s="83"/>
      <c r="Q77" s="6"/>
      <c r="R77" s="85"/>
      <c r="S77" s="83" t="n">
        <v>471</v>
      </c>
      <c r="T77" s="85" t="n">
        <v>87</v>
      </c>
      <c r="U77" s="86" t="n">
        <v>41.8</v>
      </c>
      <c r="V77" s="87" t="n">
        <f aca="false">SUM(I77:U77)</f>
        <v>599.8</v>
      </c>
      <c r="W77" s="88" t="s">
        <v>38</v>
      </c>
      <c r="X77" s="9" t="s">
        <v>46</v>
      </c>
      <c r="Y77" s="89" t="s">
        <v>108</v>
      </c>
      <c r="Z77" s="90"/>
      <c r="AA77" s="49"/>
    </row>
    <row r="78" s="9" customFormat="true" ht="14.1" hidden="false" customHeight="true" outlineLevel="0" collapsed="false">
      <c r="A78" s="78" t="s">
        <v>26</v>
      </c>
      <c r="B78" s="2" t="s">
        <v>162</v>
      </c>
      <c r="C78" s="3" t="s">
        <v>163</v>
      </c>
      <c r="D78" s="79" t="n">
        <v>5174065</v>
      </c>
      <c r="E78" s="80" t="n">
        <v>45429</v>
      </c>
      <c r="F78" s="81" t="s">
        <v>28</v>
      </c>
      <c r="G78" s="5" t="n">
        <v>45429</v>
      </c>
      <c r="H78" s="82" t="s">
        <v>164</v>
      </c>
      <c r="I78" s="83"/>
      <c r="J78" s="84"/>
      <c r="K78" s="84"/>
      <c r="L78" s="84"/>
      <c r="M78" s="84"/>
      <c r="N78" s="83"/>
      <c r="O78" s="84"/>
      <c r="P78" s="83"/>
      <c r="Q78" s="6"/>
      <c r="R78" s="85"/>
      <c r="S78" s="83" t="n">
        <v>138</v>
      </c>
      <c r="T78" s="85" t="n">
        <v>30</v>
      </c>
      <c r="U78" s="86"/>
      <c r="V78" s="87" t="n">
        <f aca="false">SUM(I78:U78)</f>
        <v>168</v>
      </c>
      <c r="W78" s="88" t="s">
        <v>38</v>
      </c>
      <c r="X78" s="9" t="s">
        <v>46</v>
      </c>
      <c r="Y78" s="89" t="s">
        <v>108</v>
      </c>
      <c r="Z78" s="90"/>
      <c r="AA78" s="49"/>
    </row>
    <row r="79" s="9" customFormat="true" ht="14.1" hidden="false" customHeight="true" outlineLevel="0" collapsed="false">
      <c r="A79" s="78" t="s">
        <v>26</v>
      </c>
      <c r="B79" s="2" t="s">
        <v>165</v>
      </c>
      <c r="C79" s="3"/>
      <c r="D79" s="79" t="n">
        <v>5204063</v>
      </c>
      <c r="E79" s="80" t="n">
        <v>45432</v>
      </c>
      <c r="F79" s="81" t="s">
        <v>28</v>
      </c>
      <c r="G79" s="5" t="n">
        <v>45432</v>
      </c>
      <c r="H79" s="82" t="s">
        <v>37</v>
      </c>
      <c r="I79" s="83"/>
      <c r="J79" s="84"/>
      <c r="K79" s="84"/>
      <c r="L79" s="84"/>
      <c r="M79" s="84"/>
      <c r="N79" s="83"/>
      <c r="O79" s="84"/>
      <c r="P79" s="83"/>
      <c r="Q79" s="6"/>
      <c r="R79" s="85"/>
      <c r="S79" s="83" t="n">
        <v>118</v>
      </c>
      <c r="T79" s="85" t="n">
        <v>25</v>
      </c>
      <c r="U79" s="86" t="n">
        <v>10.18</v>
      </c>
      <c r="V79" s="87" t="n">
        <f aca="false">SUM(I79:U79)</f>
        <v>153.18</v>
      </c>
      <c r="W79" s="88" t="s">
        <v>38</v>
      </c>
      <c r="X79" s="9" t="s">
        <v>46</v>
      </c>
      <c r="Y79" s="89" t="s">
        <v>108</v>
      </c>
      <c r="Z79" s="90"/>
      <c r="AA79" s="49"/>
    </row>
    <row r="80" s="9" customFormat="true" ht="14.1" hidden="false" customHeight="true" outlineLevel="0" collapsed="false">
      <c r="A80" s="78" t="s">
        <v>26</v>
      </c>
      <c r="B80" s="2" t="s">
        <v>166</v>
      </c>
      <c r="C80" s="3"/>
      <c r="D80" s="79" t="n">
        <v>5204101</v>
      </c>
      <c r="E80" s="80" t="n">
        <v>45432</v>
      </c>
      <c r="F80" s="81" t="s">
        <v>28</v>
      </c>
      <c r="G80" s="5" t="n">
        <v>45432</v>
      </c>
      <c r="H80" s="82" t="s">
        <v>91</v>
      </c>
      <c r="I80" s="83"/>
      <c r="J80" s="84"/>
      <c r="K80" s="84"/>
      <c r="L80" s="84"/>
      <c r="M80" s="84"/>
      <c r="N80" s="83"/>
      <c r="O80" s="84"/>
      <c r="P80" s="83"/>
      <c r="Q80" s="6"/>
      <c r="R80" s="85"/>
      <c r="S80" s="83" t="n">
        <v>69</v>
      </c>
      <c r="T80" s="85" t="n">
        <v>12.5</v>
      </c>
      <c r="U80" s="86" t="n">
        <v>5.69</v>
      </c>
      <c r="V80" s="87" t="n">
        <f aca="false">SUM(I80:U80)</f>
        <v>87.19</v>
      </c>
      <c r="W80" s="88" t="s">
        <v>38</v>
      </c>
      <c r="X80" s="9" t="s">
        <v>46</v>
      </c>
      <c r="Y80" s="89" t="s">
        <v>108</v>
      </c>
      <c r="Z80" s="90"/>
      <c r="AA80" s="49"/>
    </row>
    <row r="81" s="9" customFormat="true" ht="14.1" hidden="false" customHeight="true" outlineLevel="0" collapsed="false">
      <c r="A81" s="78" t="s">
        <v>26</v>
      </c>
      <c r="B81" s="2" t="s">
        <v>167</v>
      </c>
      <c r="C81" s="3"/>
      <c r="D81" s="79" t="n">
        <v>5204102</v>
      </c>
      <c r="E81" s="80" t="n">
        <v>45432</v>
      </c>
      <c r="F81" s="81" t="s">
        <v>28</v>
      </c>
      <c r="G81" s="5" t="n">
        <v>45432</v>
      </c>
      <c r="H81" s="82" t="s">
        <v>37</v>
      </c>
      <c r="I81" s="83"/>
      <c r="J81" s="84"/>
      <c r="K81" s="84"/>
      <c r="L81" s="84"/>
      <c r="M81" s="84"/>
      <c r="N81" s="83"/>
      <c r="O81" s="84"/>
      <c r="P81" s="83"/>
      <c r="Q81" s="6"/>
      <c r="R81" s="85"/>
      <c r="S81" s="83" t="n">
        <v>825</v>
      </c>
      <c r="T81" s="85" t="n">
        <v>90</v>
      </c>
      <c r="U81" s="86" t="n">
        <v>71.16</v>
      </c>
      <c r="V81" s="87" t="n">
        <f aca="false">SUM(I81:U81)</f>
        <v>986.16</v>
      </c>
      <c r="W81" s="88" t="s">
        <v>38</v>
      </c>
      <c r="X81" s="9" t="s">
        <v>46</v>
      </c>
      <c r="Y81" s="89" t="s">
        <v>108</v>
      </c>
      <c r="Z81" s="90"/>
      <c r="AA81" s="49"/>
    </row>
    <row r="82" s="9" customFormat="true" ht="14.1" hidden="false" customHeight="true" outlineLevel="0" collapsed="false">
      <c r="A82" s="78" t="s">
        <v>26</v>
      </c>
      <c r="B82" s="2" t="s">
        <v>168</v>
      </c>
      <c r="C82" s="3" t="s">
        <v>169</v>
      </c>
      <c r="D82" s="79" t="n">
        <v>5204105</v>
      </c>
      <c r="E82" s="80" t="n">
        <v>45432</v>
      </c>
      <c r="F82" s="81" t="s">
        <v>28</v>
      </c>
      <c r="G82" s="5" t="n">
        <v>45432</v>
      </c>
      <c r="H82" s="82" t="s">
        <v>170</v>
      </c>
      <c r="I82" s="83"/>
      <c r="J82" s="84"/>
      <c r="K82" s="84"/>
      <c r="L82" s="84"/>
      <c r="M82" s="84"/>
      <c r="N82" s="83"/>
      <c r="O82" s="84"/>
      <c r="P82" s="83"/>
      <c r="Q82" s="6"/>
      <c r="R82" s="85"/>
      <c r="S82" s="83" t="n">
        <v>207</v>
      </c>
      <c r="T82" s="85" t="n">
        <v>37.5</v>
      </c>
      <c r="U82" s="86" t="n">
        <v>19.15</v>
      </c>
      <c r="V82" s="87" t="n">
        <f aca="false">SUM(I82:U82)</f>
        <v>263.65</v>
      </c>
      <c r="W82" s="88" t="s">
        <v>38</v>
      </c>
      <c r="X82" s="9" t="s">
        <v>46</v>
      </c>
      <c r="Y82" s="89" t="s">
        <v>108</v>
      </c>
      <c r="Z82" s="90"/>
      <c r="AA82" s="49"/>
    </row>
    <row r="83" s="9" customFormat="true" ht="14.1" hidden="false" customHeight="true" outlineLevel="0" collapsed="false">
      <c r="A83" s="78" t="s">
        <v>26</v>
      </c>
      <c r="B83" s="2" t="s">
        <v>171</v>
      </c>
      <c r="C83" s="3"/>
      <c r="D83" s="79" t="n">
        <v>5204106</v>
      </c>
      <c r="E83" s="80" t="n">
        <v>45432</v>
      </c>
      <c r="F83" s="81" t="s">
        <v>28</v>
      </c>
      <c r="G83" s="5" t="n">
        <v>45432</v>
      </c>
      <c r="H83" s="82" t="s">
        <v>172</v>
      </c>
      <c r="I83" s="83"/>
      <c r="J83" s="84"/>
      <c r="K83" s="84"/>
      <c r="L83" s="84"/>
      <c r="M83" s="84"/>
      <c r="N83" s="83"/>
      <c r="O83" s="84"/>
      <c r="P83" s="83"/>
      <c r="Q83" s="6"/>
      <c r="R83" s="85"/>
      <c r="S83" s="83" t="n">
        <v>295</v>
      </c>
      <c r="T83" s="85" t="n">
        <v>62.5</v>
      </c>
      <c r="U83" s="86" t="n">
        <v>26.18</v>
      </c>
      <c r="V83" s="87" t="n">
        <f aca="false">SUM(I83:U83)</f>
        <v>383.68</v>
      </c>
      <c r="W83" s="88" t="s">
        <v>38</v>
      </c>
      <c r="X83" s="9" t="s">
        <v>46</v>
      </c>
      <c r="Y83" s="89" t="s">
        <v>108</v>
      </c>
      <c r="Z83" s="90"/>
      <c r="AA83" s="49"/>
    </row>
    <row r="84" s="9" customFormat="true" ht="14.1" hidden="false" customHeight="true" outlineLevel="0" collapsed="false">
      <c r="A84" s="78" t="s">
        <v>26</v>
      </c>
      <c r="B84" s="2" t="s">
        <v>173</v>
      </c>
      <c r="C84" s="3"/>
      <c r="D84" s="79" t="n">
        <v>5214062</v>
      </c>
      <c r="E84" s="80" t="n">
        <v>45433</v>
      </c>
      <c r="F84" s="81" t="s">
        <v>28</v>
      </c>
      <c r="G84" s="5" t="n">
        <v>45434</v>
      </c>
      <c r="H84" s="82" t="s">
        <v>124</v>
      </c>
      <c r="I84" s="83"/>
      <c r="J84" s="84"/>
      <c r="K84" s="84"/>
      <c r="L84" s="84"/>
      <c r="M84" s="84"/>
      <c r="N84" s="83"/>
      <c r="O84" s="84"/>
      <c r="P84" s="83"/>
      <c r="Q84" s="6"/>
      <c r="R84" s="85"/>
      <c r="S84" s="83" t="n">
        <v>483</v>
      </c>
      <c r="T84" s="85"/>
      <c r="U84" s="86"/>
      <c r="V84" s="87" t="n">
        <f aca="false">SUM(I84:U84)</f>
        <v>483</v>
      </c>
      <c r="W84" s="88" t="s">
        <v>30</v>
      </c>
      <c r="X84" s="9" t="s">
        <v>174</v>
      </c>
      <c r="Y84" s="89" t="s">
        <v>108</v>
      </c>
      <c r="Z84" s="90"/>
      <c r="AA84" s="49"/>
    </row>
    <row r="85" s="9" customFormat="true" ht="14.1" hidden="false" customHeight="true" outlineLevel="0" collapsed="false">
      <c r="A85" s="78" t="s">
        <v>26</v>
      </c>
      <c r="B85" s="2" t="s">
        <v>162</v>
      </c>
      <c r="C85" s="3" t="s">
        <v>175</v>
      </c>
      <c r="D85" s="79" t="n">
        <v>5214101</v>
      </c>
      <c r="E85" s="80" t="n">
        <v>45433</v>
      </c>
      <c r="F85" s="81" t="s">
        <v>28</v>
      </c>
      <c r="G85" s="5" t="n">
        <v>45433</v>
      </c>
      <c r="H85" s="82" t="s">
        <v>164</v>
      </c>
      <c r="I85" s="83"/>
      <c r="J85" s="84"/>
      <c r="K85" s="84"/>
      <c r="L85" s="84"/>
      <c r="M85" s="84"/>
      <c r="N85" s="83"/>
      <c r="O85" s="84"/>
      <c r="P85" s="83"/>
      <c r="Q85" s="6"/>
      <c r="R85" s="85"/>
      <c r="S85" s="83" t="n">
        <v>69</v>
      </c>
      <c r="T85" s="85" t="n">
        <v>12.5</v>
      </c>
      <c r="U85" s="86"/>
      <c r="V85" s="87" t="n">
        <f aca="false">SUM(I85:U85)</f>
        <v>81.5</v>
      </c>
      <c r="W85" s="88" t="s">
        <v>38</v>
      </c>
      <c r="X85" s="9" t="s">
        <v>46</v>
      </c>
      <c r="Y85" s="89" t="s">
        <v>108</v>
      </c>
      <c r="Z85" s="90"/>
      <c r="AA85" s="49"/>
    </row>
    <row r="86" s="9" customFormat="true" ht="14.1" hidden="false" customHeight="true" outlineLevel="0" collapsed="false">
      <c r="A86" s="78" t="s">
        <v>26</v>
      </c>
      <c r="B86" s="2" t="s">
        <v>162</v>
      </c>
      <c r="C86" s="3" t="s">
        <v>176</v>
      </c>
      <c r="D86" s="79" t="n">
        <v>5214102</v>
      </c>
      <c r="E86" s="80" t="n">
        <v>45433</v>
      </c>
      <c r="F86" s="81" t="s">
        <v>28</v>
      </c>
      <c r="G86" s="5" t="n">
        <v>45433</v>
      </c>
      <c r="H86" s="82" t="s">
        <v>164</v>
      </c>
      <c r="I86" s="83"/>
      <c r="J86" s="84"/>
      <c r="K86" s="84"/>
      <c r="L86" s="84"/>
      <c r="M86" s="84"/>
      <c r="N86" s="83"/>
      <c r="O86" s="84"/>
      <c r="P86" s="83"/>
      <c r="Q86" s="6"/>
      <c r="R86" s="85"/>
      <c r="S86" s="83" t="n">
        <v>69</v>
      </c>
      <c r="T86" s="85" t="n">
        <v>12.5</v>
      </c>
      <c r="U86" s="86"/>
      <c r="V86" s="87" t="n">
        <f aca="false">SUM(I86:U86)</f>
        <v>81.5</v>
      </c>
      <c r="W86" s="88" t="s">
        <v>38</v>
      </c>
      <c r="X86" s="9" t="s">
        <v>46</v>
      </c>
      <c r="Y86" s="89" t="s">
        <v>108</v>
      </c>
      <c r="Z86" s="90"/>
      <c r="AA86" s="49"/>
    </row>
    <row r="87" s="9" customFormat="true" ht="14.1" hidden="false" customHeight="true" outlineLevel="0" collapsed="false">
      <c r="A87" s="78" t="s">
        <v>26</v>
      </c>
      <c r="B87" s="2" t="s">
        <v>177</v>
      </c>
      <c r="C87" s="3"/>
      <c r="D87" s="79" t="n">
        <v>5214104</v>
      </c>
      <c r="E87" s="80" t="n">
        <v>45433</v>
      </c>
      <c r="F87" s="81" t="s">
        <v>28</v>
      </c>
      <c r="G87" s="5" t="n">
        <v>45433</v>
      </c>
      <c r="H87" s="82" t="s">
        <v>178</v>
      </c>
      <c r="I87" s="83"/>
      <c r="J87" s="84"/>
      <c r="K87" s="84"/>
      <c r="L87" s="84"/>
      <c r="M87" s="84"/>
      <c r="N87" s="83"/>
      <c r="O87" s="84"/>
      <c r="P87" s="83"/>
      <c r="Q87" s="6"/>
      <c r="R87" s="85"/>
      <c r="S87" s="83" t="n">
        <v>69</v>
      </c>
      <c r="T87" s="85" t="n">
        <v>12.5</v>
      </c>
      <c r="U87" s="86" t="n">
        <v>6.64</v>
      </c>
      <c r="V87" s="87" t="n">
        <f aca="false">SUM(I87:U87)</f>
        <v>88.14</v>
      </c>
      <c r="W87" s="88" t="s">
        <v>38</v>
      </c>
      <c r="X87" s="9" t="s">
        <v>26</v>
      </c>
      <c r="Y87" s="89" t="s">
        <v>108</v>
      </c>
      <c r="Z87" s="90"/>
      <c r="AA87" s="49"/>
    </row>
    <row r="88" s="9" customFormat="true" ht="14.1" hidden="false" customHeight="true" outlineLevel="0" collapsed="false">
      <c r="A88" s="78" t="s">
        <v>26</v>
      </c>
      <c r="B88" s="2" t="s">
        <v>64</v>
      </c>
      <c r="C88" s="3"/>
      <c r="D88" s="79" t="n">
        <v>5214106</v>
      </c>
      <c r="E88" s="80" t="n">
        <v>45433</v>
      </c>
      <c r="F88" s="81" t="s">
        <v>28</v>
      </c>
      <c r="G88" s="5" t="n">
        <v>45433</v>
      </c>
      <c r="H88" s="82" t="s">
        <v>66</v>
      </c>
      <c r="I88" s="83"/>
      <c r="J88" s="84"/>
      <c r="K88" s="84"/>
      <c r="L88" s="84"/>
      <c r="M88" s="84"/>
      <c r="N88" s="83"/>
      <c r="O88" s="84"/>
      <c r="P88" s="83"/>
      <c r="Q88" s="6"/>
      <c r="R88" s="85"/>
      <c r="S88" s="83" t="n">
        <v>315</v>
      </c>
      <c r="T88" s="85" t="n">
        <v>62.5</v>
      </c>
      <c r="U88" s="86" t="n">
        <v>29.14</v>
      </c>
      <c r="V88" s="87" t="n">
        <f aca="false">SUM(I88:U88)</f>
        <v>406.64</v>
      </c>
      <c r="W88" s="88" t="s">
        <v>38</v>
      </c>
      <c r="X88" s="9" t="s">
        <v>26</v>
      </c>
      <c r="Y88" s="89" t="s">
        <v>108</v>
      </c>
      <c r="Z88" s="90"/>
      <c r="AA88" s="49"/>
    </row>
    <row r="89" s="9" customFormat="true" ht="14.1" hidden="false" customHeight="true" outlineLevel="0" collapsed="false">
      <c r="A89" s="78" t="s">
        <v>26</v>
      </c>
      <c r="B89" s="2" t="s">
        <v>179</v>
      </c>
      <c r="C89" s="3"/>
      <c r="D89" s="79" t="n">
        <v>5224102</v>
      </c>
      <c r="E89" s="80" t="n">
        <v>45434</v>
      </c>
      <c r="F89" s="81" t="s">
        <v>28</v>
      </c>
      <c r="G89" s="5" t="n">
        <v>45434</v>
      </c>
      <c r="H89" s="82" t="s">
        <v>37</v>
      </c>
      <c r="I89" s="83"/>
      <c r="J89" s="84"/>
      <c r="K89" s="84"/>
      <c r="L89" s="84"/>
      <c r="M89" s="84"/>
      <c r="N89" s="83"/>
      <c r="O89" s="84"/>
      <c r="P89" s="83"/>
      <c r="Q89" s="6"/>
      <c r="R89" s="85"/>
      <c r="S89" s="83" t="n">
        <v>325</v>
      </c>
      <c r="T89" s="85" t="n">
        <v>62.5</v>
      </c>
      <c r="U89" s="86" t="n">
        <v>28.03</v>
      </c>
      <c r="V89" s="87" t="n">
        <f aca="false">SUM(I89:U89)</f>
        <v>415.53</v>
      </c>
      <c r="W89" s="88" t="s">
        <v>38</v>
      </c>
      <c r="X89" s="9" t="s">
        <v>26</v>
      </c>
      <c r="Y89" s="89" t="s">
        <v>108</v>
      </c>
      <c r="Z89" s="90"/>
      <c r="AA89" s="49"/>
    </row>
    <row r="90" s="9" customFormat="true" ht="14.1" hidden="false" customHeight="true" outlineLevel="0" collapsed="false">
      <c r="A90" s="78" t="s">
        <v>46</v>
      </c>
      <c r="B90" s="2" t="s">
        <v>180</v>
      </c>
      <c r="C90" s="3"/>
      <c r="D90" s="79" t="n">
        <v>5234062</v>
      </c>
      <c r="E90" s="80" t="n">
        <v>45435</v>
      </c>
      <c r="F90" s="81" t="s">
        <v>181</v>
      </c>
      <c r="G90" s="5" t="n">
        <v>45435</v>
      </c>
      <c r="H90" s="82" t="s">
        <v>182</v>
      </c>
      <c r="I90" s="83" t="n">
        <v>295</v>
      </c>
      <c r="J90" s="84"/>
      <c r="K90" s="84"/>
      <c r="L90" s="84"/>
      <c r="M90" s="84"/>
      <c r="N90" s="83"/>
      <c r="O90" s="84"/>
      <c r="P90" s="83"/>
      <c r="Q90" s="6"/>
      <c r="R90" s="85"/>
      <c r="S90" s="83"/>
      <c r="T90" s="85"/>
      <c r="U90" s="86" t="n">
        <v>30.24</v>
      </c>
      <c r="V90" s="87" t="n">
        <f aca="false">SUM(I90:U90)</f>
        <v>325.24</v>
      </c>
      <c r="W90" s="88" t="s">
        <v>30</v>
      </c>
      <c r="X90" s="9" t="s">
        <v>183</v>
      </c>
      <c r="Y90" s="89" t="s">
        <v>108</v>
      </c>
      <c r="Z90" s="90"/>
      <c r="AA90" s="49"/>
    </row>
    <row r="91" s="9" customFormat="true" ht="14.1" hidden="false" customHeight="true" outlineLevel="0" collapsed="false">
      <c r="A91" s="78" t="s">
        <v>26</v>
      </c>
      <c r="B91" s="2" t="s">
        <v>184</v>
      </c>
      <c r="C91" s="3" t="s">
        <v>73</v>
      </c>
      <c r="D91" s="79" t="n">
        <v>5234101</v>
      </c>
      <c r="E91" s="80" t="n">
        <v>45435</v>
      </c>
      <c r="F91" s="81" t="s">
        <v>28</v>
      </c>
      <c r="G91" s="5" t="n">
        <v>45435</v>
      </c>
      <c r="H91" s="82" t="s">
        <v>73</v>
      </c>
      <c r="I91" s="83"/>
      <c r="J91" s="84"/>
      <c r="K91" s="84"/>
      <c r="L91" s="84"/>
      <c r="M91" s="84"/>
      <c r="N91" s="83"/>
      <c r="O91" s="84"/>
      <c r="P91" s="83"/>
      <c r="Q91" s="6"/>
      <c r="R91" s="85"/>
      <c r="S91" s="83" t="n">
        <v>39</v>
      </c>
      <c r="T91" s="85" t="n">
        <v>12.5</v>
      </c>
      <c r="U91" s="86" t="n">
        <v>3.51</v>
      </c>
      <c r="V91" s="87" t="n">
        <f aca="false">SUM(I91:U91)</f>
        <v>55.01</v>
      </c>
      <c r="W91" s="88" t="s">
        <v>38</v>
      </c>
      <c r="X91" s="9" t="s">
        <v>26</v>
      </c>
      <c r="Y91" s="89" t="s">
        <v>108</v>
      </c>
      <c r="Z91" s="90"/>
      <c r="AA91" s="49"/>
    </row>
    <row r="92" s="9" customFormat="true" ht="14.1" hidden="false" customHeight="true" outlineLevel="0" collapsed="false">
      <c r="A92" s="78" t="s">
        <v>26</v>
      </c>
      <c r="B92" s="2" t="s">
        <v>54</v>
      </c>
      <c r="C92" s="3"/>
      <c r="D92" s="79" t="n">
        <v>5234102</v>
      </c>
      <c r="E92" s="80" t="n">
        <v>45435</v>
      </c>
      <c r="F92" s="81" t="s">
        <v>28</v>
      </c>
      <c r="G92" s="5" t="n">
        <v>45435</v>
      </c>
      <c r="H92" s="82" t="s">
        <v>55</v>
      </c>
      <c r="I92" s="83"/>
      <c r="J92" s="84"/>
      <c r="K92" s="84"/>
      <c r="L92" s="84"/>
      <c r="M92" s="84"/>
      <c r="N92" s="83"/>
      <c r="O92" s="84"/>
      <c r="P92" s="83"/>
      <c r="Q92" s="6"/>
      <c r="R92" s="85"/>
      <c r="S92" s="83" t="n">
        <v>650</v>
      </c>
      <c r="T92" s="85" t="n">
        <v>112.5</v>
      </c>
      <c r="U92" s="86" t="n">
        <v>66.63</v>
      </c>
      <c r="V92" s="87" t="n">
        <f aca="false">SUM(I92:U92)</f>
        <v>829.13</v>
      </c>
      <c r="W92" s="88" t="s">
        <v>80</v>
      </c>
      <c r="X92" s="9" t="s">
        <v>185</v>
      </c>
      <c r="Y92" s="89" t="s">
        <v>108</v>
      </c>
      <c r="Z92" s="90"/>
      <c r="AA92" s="49"/>
    </row>
    <row r="93" s="9" customFormat="true" ht="14.1" hidden="false" customHeight="true" outlineLevel="0" collapsed="false">
      <c r="A93" s="78" t="s">
        <v>26</v>
      </c>
      <c r="B93" s="2" t="s">
        <v>121</v>
      </c>
      <c r="C93" s="3"/>
      <c r="D93" s="79" t="n">
        <v>5234103</v>
      </c>
      <c r="E93" s="80" t="n">
        <v>45435</v>
      </c>
      <c r="F93" s="81" t="s">
        <v>28</v>
      </c>
      <c r="G93" s="5" t="n">
        <v>45435</v>
      </c>
      <c r="H93" s="82" t="s">
        <v>122</v>
      </c>
      <c r="I93" s="83"/>
      <c r="J93" s="84"/>
      <c r="K93" s="84"/>
      <c r="L93" s="84"/>
      <c r="M93" s="84"/>
      <c r="N93" s="83"/>
      <c r="O93" s="84"/>
      <c r="P93" s="83"/>
      <c r="Q93" s="6"/>
      <c r="R93" s="85"/>
      <c r="S93" s="83" t="n">
        <v>128</v>
      </c>
      <c r="T93" s="85" t="n">
        <v>25</v>
      </c>
      <c r="U93" s="86" t="n">
        <v>9.92</v>
      </c>
      <c r="V93" s="87" t="n">
        <f aca="false">SUM(I93:U93)</f>
        <v>162.92</v>
      </c>
      <c r="W93" s="88" t="s">
        <v>38</v>
      </c>
      <c r="X93" s="9" t="s">
        <v>26</v>
      </c>
      <c r="Y93" s="89" t="s">
        <v>108</v>
      </c>
      <c r="Z93" s="90"/>
      <c r="AA93" s="49"/>
    </row>
    <row r="94" s="9" customFormat="true" ht="14.1" hidden="false" customHeight="true" outlineLevel="0" collapsed="false">
      <c r="A94" s="78" t="s">
        <v>26</v>
      </c>
      <c r="B94" s="2" t="s">
        <v>127</v>
      </c>
      <c r="C94" s="3" t="s">
        <v>186</v>
      </c>
      <c r="D94" s="79" t="n">
        <v>5244101</v>
      </c>
      <c r="E94" s="80" t="n">
        <v>45436</v>
      </c>
      <c r="F94" s="81" t="s">
        <v>28</v>
      </c>
      <c r="G94" s="5" t="n">
        <v>45436</v>
      </c>
      <c r="H94" s="82" t="s">
        <v>75</v>
      </c>
      <c r="I94" s="83"/>
      <c r="J94" s="84"/>
      <c r="K94" s="84"/>
      <c r="L94" s="84"/>
      <c r="M94" s="84"/>
      <c r="N94" s="83"/>
      <c r="O94" s="84"/>
      <c r="P94" s="83"/>
      <c r="Q94" s="6"/>
      <c r="R94" s="85"/>
      <c r="S94" s="83" t="n">
        <v>187</v>
      </c>
      <c r="T94" s="85" t="n">
        <v>37.5</v>
      </c>
      <c r="U94" s="86" t="n">
        <v>17.53</v>
      </c>
      <c r="V94" s="87" t="n">
        <f aca="false">SUM(I94:U94)</f>
        <v>242.03</v>
      </c>
      <c r="W94" s="88" t="s">
        <v>38</v>
      </c>
      <c r="X94" s="9" t="s">
        <v>26</v>
      </c>
      <c r="Y94" s="89" t="s">
        <v>108</v>
      </c>
      <c r="Z94" s="90"/>
      <c r="AA94" s="49"/>
    </row>
    <row r="95" s="9" customFormat="true" ht="14.1" hidden="false" customHeight="true" outlineLevel="0" collapsed="false">
      <c r="A95" s="78" t="s">
        <v>26</v>
      </c>
      <c r="B95" s="2" t="s">
        <v>127</v>
      </c>
      <c r="C95" s="3" t="s">
        <v>187</v>
      </c>
      <c r="D95" s="79" t="n">
        <v>5244102</v>
      </c>
      <c r="E95" s="80" t="n">
        <v>45436</v>
      </c>
      <c r="F95" s="81" t="s">
        <v>28</v>
      </c>
      <c r="G95" s="5" t="n">
        <v>45436</v>
      </c>
      <c r="H95" s="82" t="s">
        <v>39</v>
      </c>
      <c r="I95" s="83"/>
      <c r="J95" s="84"/>
      <c r="K95" s="84"/>
      <c r="L95" s="84"/>
      <c r="M95" s="84"/>
      <c r="N95" s="83"/>
      <c r="O95" s="84"/>
      <c r="P95" s="83"/>
      <c r="Q95" s="6"/>
      <c r="R95" s="85"/>
      <c r="S95" s="83" t="n">
        <v>118</v>
      </c>
      <c r="T95" s="85" t="n">
        <v>25</v>
      </c>
      <c r="U95" s="86" t="n">
        <v>10.92</v>
      </c>
      <c r="V95" s="87" t="n">
        <f aca="false">SUM(I95:U95)</f>
        <v>153.92</v>
      </c>
      <c r="W95" s="88" t="s">
        <v>38</v>
      </c>
      <c r="X95" s="9" t="s">
        <v>26</v>
      </c>
      <c r="Y95" s="89" t="s">
        <v>108</v>
      </c>
      <c r="Z95" s="90"/>
      <c r="AA95" s="49"/>
    </row>
    <row r="96" s="9" customFormat="true" ht="14.1" hidden="false" customHeight="true" outlineLevel="0" collapsed="false">
      <c r="A96" s="78" t="s">
        <v>26</v>
      </c>
      <c r="B96" s="2" t="s">
        <v>127</v>
      </c>
      <c r="C96" s="3" t="s">
        <v>66</v>
      </c>
      <c r="D96" s="79" t="n">
        <v>5244103</v>
      </c>
      <c r="E96" s="80" t="n">
        <v>45436</v>
      </c>
      <c r="F96" s="81" t="s">
        <v>188</v>
      </c>
      <c r="G96" s="5" t="n">
        <v>45436</v>
      </c>
      <c r="H96" s="82" t="s">
        <v>66</v>
      </c>
      <c r="I96" s="83"/>
      <c r="J96" s="84"/>
      <c r="K96" s="84"/>
      <c r="L96" s="84"/>
      <c r="M96" s="84"/>
      <c r="N96" s="83"/>
      <c r="O96" s="84"/>
      <c r="P96" s="83"/>
      <c r="Q96" s="6"/>
      <c r="R96" s="85"/>
      <c r="S96" s="83" t="n">
        <v>69</v>
      </c>
      <c r="T96" s="85" t="n">
        <v>12.5</v>
      </c>
      <c r="U96" s="86" t="n">
        <v>6.38</v>
      </c>
      <c r="V96" s="87" t="n">
        <f aca="false">SUM(I96:U96)</f>
        <v>87.88</v>
      </c>
      <c r="W96" s="88" t="s">
        <v>38</v>
      </c>
      <c r="X96" s="9" t="s">
        <v>26</v>
      </c>
      <c r="Y96" s="89" t="s">
        <v>108</v>
      </c>
      <c r="Z96" s="90"/>
      <c r="AA96" s="49"/>
    </row>
    <row r="97" s="9" customFormat="true" ht="14.1" hidden="false" customHeight="true" outlineLevel="0" collapsed="false">
      <c r="A97" s="78" t="s">
        <v>26</v>
      </c>
      <c r="B97" s="2" t="s">
        <v>189</v>
      </c>
      <c r="C97" s="3"/>
      <c r="D97" s="79" t="n">
        <v>5264051</v>
      </c>
      <c r="E97" s="80" t="n">
        <v>45438</v>
      </c>
      <c r="F97" s="81" t="s">
        <v>13</v>
      </c>
      <c r="G97" s="5" t="n">
        <v>45438</v>
      </c>
      <c r="H97" s="82" t="s">
        <v>29</v>
      </c>
      <c r="I97" s="83"/>
      <c r="J97" s="84"/>
      <c r="K97" s="84"/>
      <c r="L97" s="84"/>
      <c r="M97" s="84"/>
      <c r="N97" s="83" t="n">
        <v>49</v>
      </c>
      <c r="O97" s="84"/>
      <c r="P97" s="83"/>
      <c r="Q97" s="6"/>
      <c r="R97" s="85"/>
      <c r="S97" s="83"/>
      <c r="T97" s="85"/>
      <c r="U97" s="86"/>
      <c r="V97" s="87" t="n">
        <f aca="false">SUM(I97:U97)</f>
        <v>49</v>
      </c>
      <c r="W97" s="88" t="s">
        <v>96</v>
      </c>
      <c r="X97" s="9" t="s">
        <v>99</v>
      </c>
      <c r="Y97" s="89" t="s">
        <v>108</v>
      </c>
      <c r="Z97" s="90"/>
      <c r="AA97" s="49"/>
    </row>
    <row r="98" s="9" customFormat="true" ht="14.1" hidden="false" customHeight="true" outlineLevel="0" collapsed="false">
      <c r="A98" s="78"/>
      <c r="B98" s="2"/>
      <c r="C98" s="3"/>
      <c r="D98" s="79"/>
      <c r="E98" s="80"/>
      <c r="F98" s="81"/>
      <c r="G98" s="5"/>
      <c r="H98" s="82"/>
      <c r="I98" s="83"/>
      <c r="J98" s="84"/>
      <c r="K98" s="84"/>
      <c r="L98" s="84"/>
      <c r="M98" s="84"/>
      <c r="N98" s="83"/>
      <c r="O98" s="84"/>
      <c r="P98" s="83"/>
      <c r="Q98" s="6"/>
      <c r="R98" s="85"/>
      <c r="S98" s="83"/>
      <c r="T98" s="85"/>
      <c r="U98" s="86"/>
      <c r="V98" s="87" t="n">
        <f aca="false">SUM(I98:U98)</f>
        <v>0</v>
      </c>
      <c r="W98" s="88"/>
      <c r="Y98" s="89"/>
      <c r="Z98" s="90"/>
      <c r="AA98" s="49"/>
    </row>
    <row r="99" s="9" customFormat="true" ht="14.1" hidden="false" customHeight="true" outlineLevel="0" collapsed="false">
      <c r="A99" s="78"/>
      <c r="B99" s="2"/>
      <c r="C99" s="3"/>
      <c r="D99" s="79"/>
      <c r="E99" s="80"/>
      <c r="F99" s="81"/>
      <c r="G99" s="5"/>
      <c r="H99" s="82"/>
      <c r="I99" s="83"/>
      <c r="J99" s="84"/>
      <c r="K99" s="84"/>
      <c r="L99" s="84"/>
      <c r="M99" s="84"/>
      <c r="N99" s="83"/>
      <c r="O99" s="84"/>
      <c r="P99" s="83"/>
      <c r="Q99" s="6"/>
      <c r="R99" s="85"/>
      <c r="S99" s="83"/>
      <c r="T99" s="85"/>
      <c r="U99" s="86"/>
      <c r="V99" s="87" t="n">
        <f aca="false">SUM(I99:U99)</f>
        <v>0</v>
      </c>
      <c r="W99" s="88"/>
      <c r="Y99" s="89"/>
      <c r="Z99" s="90"/>
      <c r="AA99" s="49"/>
    </row>
    <row r="100" s="9" customFormat="true" ht="14.1" hidden="false" customHeight="true" outlineLevel="0" collapsed="false">
      <c r="A100" s="78"/>
      <c r="B100" s="2"/>
      <c r="C100" s="3"/>
      <c r="D100" s="79"/>
      <c r="E100" s="80"/>
      <c r="F100" s="81"/>
      <c r="G100" s="5"/>
      <c r="H100" s="82"/>
      <c r="I100" s="83"/>
      <c r="J100" s="84"/>
      <c r="K100" s="84"/>
      <c r="L100" s="84"/>
      <c r="M100" s="84"/>
      <c r="N100" s="83"/>
      <c r="O100" s="84"/>
      <c r="P100" s="83"/>
      <c r="Q100" s="6"/>
      <c r="R100" s="85"/>
      <c r="S100" s="83"/>
      <c r="T100" s="85"/>
      <c r="U100" s="86"/>
      <c r="V100" s="87" t="n">
        <f aca="false">SUM(I100:U100)</f>
        <v>0</v>
      </c>
      <c r="W100" s="88"/>
      <c r="Y100" s="89"/>
      <c r="Z100" s="90"/>
      <c r="AA100" s="49"/>
    </row>
    <row r="101" s="9" customFormat="true" ht="14.1" hidden="false" customHeight="true" outlineLevel="0" collapsed="false">
      <c r="A101" s="78"/>
      <c r="B101" s="2"/>
      <c r="C101" s="3"/>
      <c r="D101" s="79"/>
      <c r="E101" s="80"/>
      <c r="F101" s="81"/>
      <c r="G101" s="5"/>
      <c r="H101" s="82"/>
      <c r="I101" s="83"/>
      <c r="J101" s="84"/>
      <c r="K101" s="84"/>
      <c r="L101" s="84"/>
      <c r="M101" s="84"/>
      <c r="N101" s="83"/>
      <c r="O101" s="84"/>
      <c r="P101" s="83"/>
      <c r="Q101" s="6"/>
      <c r="R101" s="85"/>
      <c r="S101" s="83"/>
      <c r="T101" s="85"/>
      <c r="U101" s="86"/>
      <c r="V101" s="87" t="n">
        <f aca="false">SUM(I101:U101)</f>
        <v>0</v>
      </c>
      <c r="W101" s="88"/>
      <c r="Y101" s="89"/>
      <c r="Z101" s="90"/>
      <c r="AA101" s="49"/>
    </row>
    <row r="102" s="9" customFormat="true" ht="14.1" hidden="false" customHeight="true" outlineLevel="0" collapsed="false">
      <c r="A102" s="78"/>
      <c r="B102" s="2"/>
      <c r="C102" s="3"/>
      <c r="D102" s="79"/>
      <c r="E102" s="80"/>
      <c r="F102" s="81"/>
      <c r="G102" s="5"/>
      <c r="H102" s="82"/>
      <c r="I102" s="83"/>
      <c r="J102" s="84"/>
      <c r="K102" s="84"/>
      <c r="L102" s="84"/>
      <c r="M102" s="84"/>
      <c r="N102" s="83"/>
      <c r="O102" s="84"/>
      <c r="P102" s="83"/>
      <c r="Q102" s="6"/>
      <c r="R102" s="85"/>
      <c r="S102" s="83"/>
      <c r="T102" s="85"/>
      <c r="U102" s="86"/>
      <c r="V102" s="87" t="n">
        <f aca="false">SUM(I102:U102)</f>
        <v>0</v>
      </c>
      <c r="W102" s="88"/>
      <c r="Y102" s="89"/>
      <c r="Z102" s="90"/>
      <c r="AA102" s="49"/>
    </row>
    <row r="103" s="9" customFormat="true" ht="14.1" hidden="false" customHeight="true" outlineLevel="0" collapsed="false">
      <c r="A103" s="78"/>
      <c r="B103" s="2"/>
      <c r="C103" s="3"/>
      <c r="D103" s="79"/>
      <c r="E103" s="80"/>
      <c r="F103" s="81"/>
      <c r="G103" s="5"/>
      <c r="H103" s="82"/>
      <c r="I103" s="83"/>
      <c r="J103" s="84"/>
      <c r="K103" s="84"/>
      <c r="L103" s="84"/>
      <c r="M103" s="84"/>
      <c r="N103" s="83"/>
      <c r="O103" s="84"/>
      <c r="P103" s="83"/>
      <c r="Q103" s="6"/>
      <c r="R103" s="85"/>
      <c r="S103" s="83"/>
      <c r="T103" s="85"/>
      <c r="U103" s="86"/>
      <c r="V103" s="87" t="n">
        <f aca="false">SUM(I103:U103)</f>
        <v>0</v>
      </c>
      <c r="W103" s="88"/>
      <c r="Y103" s="89"/>
      <c r="Z103" s="90"/>
      <c r="AA103" s="49"/>
    </row>
    <row r="104" s="9" customFormat="true" ht="14.1" hidden="false" customHeight="true" outlineLevel="0" collapsed="false">
      <c r="A104" s="78"/>
      <c r="B104" s="2"/>
      <c r="C104" s="3"/>
      <c r="D104" s="79"/>
      <c r="E104" s="80"/>
      <c r="F104" s="81"/>
      <c r="G104" s="5"/>
      <c r="H104" s="82"/>
      <c r="I104" s="83"/>
      <c r="J104" s="84"/>
      <c r="K104" s="84"/>
      <c r="L104" s="84"/>
      <c r="M104" s="84"/>
      <c r="N104" s="83"/>
      <c r="O104" s="84"/>
      <c r="P104" s="83"/>
      <c r="Q104" s="6"/>
      <c r="R104" s="85"/>
      <c r="S104" s="83"/>
      <c r="T104" s="85"/>
      <c r="U104" s="86"/>
      <c r="V104" s="87" t="n">
        <f aca="false">SUM(I104:U104)</f>
        <v>0</v>
      </c>
      <c r="W104" s="88"/>
      <c r="Y104" s="89"/>
      <c r="Z104" s="90"/>
      <c r="AA104" s="49"/>
    </row>
    <row r="105" s="9" customFormat="true" ht="14.1" hidden="false" customHeight="true" outlineLevel="0" collapsed="false">
      <c r="A105" s="78"/>
      <c r="B105" s="2"/>
      <c r="C105" s="3"/>
      <c r="D105" s="79"/>
      <c r="E105" s="80"/>
      <c r="F105" s="81"/>
      <c r="G105" s="5"/>
      <c r="H105" s="82"/>
      <c r="I105" s="83"/>
      <c r="J105" s="84"/>
      <c r="K105" s="84"/>
      <c r="L105" s="84"/>
      <c r="M105" s="84"/>
      <c r="N105" s="83"/>
      <c r="O105" s="84"/>
      <c r="P105" s="83"/>
      <c r="Q105" s="6"/>
      <c r="R105" s="85"/>
      <c r="S105" s="83"/>
      <c r="T105" s="85"/>
      <c r="U105" s="86"/>
      <c r="V105" s="87" t="n">
        <f aca="false">SUM(I105:U105)</f>
        <v>0</v>
      </c>
      <c r="W105" s="88"/>
      <c r="Y105" s="89"/>
      <c r="Z105" s="90"/>
      <c r="AA105" s="49"/>
    </row>
    <row r="106" s="9" customFormat="true" ht="14.1" hidden="false" customHeight="true" outlineLevel="0" collapsed="false">
      <c r="A106" s="78"/>
      <c r="B106" s="2"/>
      <c r="C106" s="3"/>
      <c r="D106" s="79"/>
      <c r="E106" s="80"/>
      <c r="F106" s="81"/>
      <c r="G106" s="5"/>
      <c r="H106" s="82"/>
      <c r="I106" s="83"/>
      <c r="J106" s="84"/>
      <c r="K106" s="84"/>
      <c r="L106" s="84"/>
      <c r="M106" s="84"/>
      <c r="N106" s="83"/>
      <c r="O106" s="84"/>
      <c r="P106" s="83"/>
      <c r="Q106" s="6"/>
      <c r="R106" s="85"/>
      <c r="S106" s="83"/>
      <c r="T106" s="85"/>
      <c r="U106" s="86"/>
      <c r="V106" s="87" t="n">
        <f aca="false">SUM(I106:U106)</f>
        <v>0</v>
      </c>
      <c r="W106" s="88"/>
      <c r="Y106" s="89"/>
      <c r="Z106" s="90"/>
      <c r="AA106" s="49"/>
    </row>
    <row r="107" s="9" customFormat="true" ht="14.1" hidden="false" customHeight="true" outlineLevel="0" collapsed="false">
      <c r="A107" s="78"/>
      <c r="B107" s="2"/>
      <c r="C107" s="3"/>
      <c r="D107" s="79"/>
      <c r="E107" s="80"/>
      <c r="F107" s="81"/>
      <c r="G107" s="5"/>
      <c r="H107" s="82"/>
      <c r="I107" s="83"/>
      <c r="J107" s="84"/>
      <c r="K107" s="84"/>
      <c r="L107" s="84"/>
      <c r="M107" s="84"/>
      <c r="N107" s="83"/>
      <c r="O107" s="84"/>
      <c r="P107" s="83"/>
      <c r="Q107" s="6"/>
      <c r="R107" s="85"/>
      <c r="S107" s="83"/>
      <c r="T107" s="85"/>
      <c r="U107" s="86"/>
      <c r="V107" s="87" t="n">
        <f aca="false">SUM(I107:U107)</f>
        <v>0</v>
      </c>
      <c r="W107" s="88"/>
      <c r="Y107" s="89"/>
      <c r="Z107" s="90"/>
      <c r="AA107" s="49"/>
    </row>
    <row r="108" s="9" customFormat="true" ht="14.1" hidden="false" customHeight="true" outlineLevel="0" collapsed="false">
      <c r="A108" s="78"/>
      <c r="B108" s="2"/>
      <c r="C108" s="3"/>
      <c r="D108" s="79"/>
      <c r="E108" s="80"/>
      <c r="F108" s="81"/>
      <c r="G108" s="5"/>
      <c r="H108" s="82"/>
      <c r="I108" s="83"/>
      <c r="J108" s="84"/>
      <c r="K108" s="84"/>
      <c r="L108" s="84"/>
      <c r="M108" s="84"/>
      <c r="N108" s="83"/>
      <c r="O108" s="84"/>
      <c r="P108" s="83"/>
      <c r="Q108" s="6"/>
      <c r="R108" s="85"/>
      <c r="S108" s="83"/>
      <c r="T108" s="85"/>
      <c r="U108" s="86"/>
      <c r="V108" s="87" t="n">
        <f aca="false">SUM(I108:U108)</f>
        <v>0</v>
      </c>
      <c r="W108" s="88"/>
      <c r="Y108" s="89"/>
      <c r="Z108" s="90"/>
      <c r="AA108" s="49"/>
    </row>
    <row r="109" s="9" customFormat="true" ht="14.1" hidden="false" customHeight="true" outlineLevel="0" collapsed="false">
      <c r="A109" s="78"/>
      <c r="B109" s="2"/>
      <c r="C109" s="3"/>
      <c r="D109" s="79"/>
      <c r="E109" s="80"/>
      <c r="F109" s="81"/>
      <c r="G109" s="5"/>
      <c r="H109" s="82"/>
      <c r="I109" s="83"/>
      <c r="J109" s="84"/>
      <c r="K109" s="84"/>
      <c r="L109" s="84"/>
      <c r="M109" s="84"/>
      <c r="N109" s="83"/>
      <c r="O109" s="84"/>
      <c r="P109" s="83"/>
      <c r="Q109" s="6"/>
      <c r="R109" s="85"/>
      <c r="S109" s="83"/>
      <c r="T109" s="85"/>
      <c r="U109" s="86"/>
      <c r="V109" s="87" t="n">
        <f aca="false">SUM(I109:U109)</f>
        <v>0</v>
      </c>
      <c r="W109" s="88"/>
      <c r="Y109" s="89"/>
      <c r="Z109" s="90"/>
      <c r="AA109" s="49"/>
    </row>
    <row r="110" s="9" customFormat="true" ht="14.1" hidden="false" customHeight="true" outlineLevel="0" collapsed="false">
      <c r="A110" s="91"/>
      <c r="B110" s="92" t="s">
        <v>21</v>
      </c>
      <c r="C110" s="93"/>
      <c r="D110" s="94"/>
      <c r="E110" s="95"/>
      <c r="F110" s="93"/>
      <c r="G110" s="96"/>
      <c r="H110" s="96"/>
      <c r="I110" s="97" t="n">
        <f aca="false">SUM(I5:I109)</f>
        <v>1190</v>
      </c>
      <c r="J110" s="97" t="n">
        <f aca="false">SUM(J5:J109)</f>
        <v>249</v>
      </c>
      <c r="K110" s="97" t="n">
        <f aca="false">SUM(K5:K109)</f>
        <v>0</v>
      </c>
      <c r="L110" s="98" t="n">
        <f aca="false">SUM(L5:L109)</f>
        <v>727.99</v>
      </c>
      <c r="M110" s="99" t="n">
        <f aca="false">SUM(M5:M109)</f>
        <v>15155.44</v>
      </c>
      <c r="N110" s="100" t="n">
        <f aca="false">SUM(N5:O109)</f>
        <v>552</v>
      </c>
      <c r="O110" s="100"/>
      <c r="P110" s="101" t="n">
        <f aca="false">SUM(P5:P109)</f>
        <v>0</v>
      </c>
      <c r="Q110" s="101" t="n">
        <f aca="false">SUM(Q5:Q109)</f>
        <v>540</v>
      </c>
      <c r="R110" s="101" t="n">
        <f aca="false">SUM(R5:R109)</f>
        <v>180</v>
      </c>
      <c r="S110" s="102" t="n">
        <f aca="false">SUM(S5:S109)</f>
        <v>15206.5</v>
      </c>
      <c r="T110" s="102" t="n">
        <f aca="false">SUM(T5:T109)</f>
        <v>2319.5</v>
      </c>
      <c r="U110" s="103" t="n">
        <f aca="false">SUM(U5:U109)</f>
        <v>1395.23</v>
      </c>
      <c r="V110" s="104" t="n">
        <f aca="false">SUM(V5:V109)</f>
        <v>37515.66</v>
      </c>
      <c r="W110" s="105"/>
      <c r="X110" s="106"/>
      <c r="Y110" s="107"/>
      <c r="Z110" s="108"/>
      <c r="AA110" s="103" t="n">
        <f aca="false">SUM(AA5:AA109)</f>
        <v>0</v>
      </c>
    </row>
    <row r="111" s="7" customFormat="true" ht="12.75" hidden="false" customHeight="true" outlineLevel="0" collapsed="false">
      <c r="A111" s="1"/>
      <c r="C111" s="109"/>
      <c r="D111" s="109"/>
      <c r="F111" s="109"/>
      <c r="G111" s="110"/>
      <c r="H111" s="110"/>
      <c r="X111" s="8"/>
      <c r="Y111" s="8"/>
      <c r="Z111" s="111"/>
    </row>
    <row r="112" customFormat="false" ht="14.25" hidden="false" customHeight="true" outlineLevel="0" collapsed="false">
      <c r="S112" s="7"/>
      <c r="V112" s="8" t="n">
        <f aca="false">SUM(I110:U110)</f>
        <v>37515.66</v>
      </c>
    </row>
    <row r="113" customFormat="false" ht="9" hidden="false" customHeight="true" outlineLevel="0" collapsed="false">
      <c r="S113" s="7"/>
    </row>
  </sheetData>
  <mergeCells count="2">
    <mergeCell ref="A1:B1"/>
    <mergeCell ref="N110:O110"/>
  </mergeCells>
  <printOptions headings="false" gridLines="true" gridLinesSet="true" horizontalCentered="false" verticalCentered="false"/>
  <pageMargins left="0" right="0" top="0.5" bottom="0" header="0.2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&amp;C&amp;"Arial,Bold"Page &amp;P of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J24" activeCellId="0" sqref="J24"/>
    </sheetView>
  </sheetViews>
  <sheetFormatPr defaultColWidth="6.8671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12" width="9.14"/>
    <col collapsed="false" customWidth="true" hidden="false" outlineLevel="0" max="5" min="5" style="4" width="5.01"/>
    <col collapsed="false" customWidth="true" hidden="false" outlineLevel="0" max="6" min="6" style="113" width="10.29"/>
    <col collapsed="false" customWidth="true" hidden="false" outlineLevel="0" max="7" min="7" style="114" width="5.57"/>
    <col collapsed="false" customWidth="true" hidden="false" outlineLevel="0" max="8" min="8" style="6" width="9.29"/>
    <col collapsed="false" customWidth="true" hidden="false" outlineLevel="0" max="9" min="9" style="6" width="5.14"/>
    <col collapsed="false" customWidth="true" hidden="false" outlineLevel="0" max="10" min="10" style="6" width="5.57"/>
    <col collapsed="false" customWidth="true" hidden="false" outlineLevel="0" max="11" min="11" style="6" width="7"/>
    <col collapsed="false" customWidth="true" hidden="false" outlineLevel="0" max="12" min="12" style="6" width="7.15"/>
    <col collapsed="false" customWidth="true" hidden="false" outlineLevel="0" max="13" min="13" style="6" width="6.15"/>
    <col collapsed="false" customWidth="true" hidden="false" outlineLevel="0" max="14" min="14" style="6" width="5.43"/>
    <col collapsed="false" customWidth="true" hidden="false" outlineLevel="0" max="15" min="15" style="6" width="6.28"/>
    <col collapsed="false" customWidth="true" hidden="false" outlineLevel="0" max="16" min="16" style="6" width="6.71"/>
    <col collapsed="false" customWidth="true" hidden="false" outlineLevel="0" max="17" min="17" style="7" width="5.7"/>
    <col collapsed="false" customWidth="true" hidden="false" outlineLevel="0" max="18" min="18" style="2" width="7"/>
    <col collapsed="false" customWidth="true" hidden="false" outlineLevel="0" max="19" min="19" style="9" width="7"/>
    <col collapsed="false" customWidth="true" hidden="false" outlineLevel="0" max="20" min="20" style="115" width="6.28"/>
    <col collapsed="false" customWidth="true" hidden="false" outlineLevel="0" max="21" min="21" style="116" width="9.14"/>
    <col collapsed="false" customWidth="true" hidden="false" outlineLevel="0" max="22" min="22" style="10" width="9"/>
    <col collapsed="false" customWidth="true" hidden="false" outlineLevel="0" max="23" min="23" style="9" width="6.71"/>
    <col collapsed="false" customWidth="true" hidden="false" outlineLevel="0" max="24" min="24" style="9" width="3.57"/>
    <col collapsed="false" customWidth="true" hidden="false" outlineLevel="0" max="25" min="25" style="3" width="8.86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17"/>
      <c r="B1" s="118" t="n">
        <v>45440</v>
      </c>
      <c r="C1" s="119"/>
      <c r="D1" s="120"/>
      <c r="E1" s="121" t="s">
        <v>190</v>
      </c>
      <c r="F1" s="122"/>
      <c r="G1" s="122"/>
      <c r="H1" s="123" t="s">
        <v>191</v>
      </c>
      <c r="I1" s="124"/>
      <c r="K1" s="125" t="s">
        <v>192</v>
      </c>
      <c r="L1" s="125"/>
      <c r="M1" s="126"/>
      <c r="N1" s="125"/>
      <c r="O1" s="127" t="s">
        <v>193</v>
      </c>
      <c r="P1" s="128"/>
      <c r="Q1" s="129"/>
      <c r="R1" s="130"/>
      <c r="S1" s="131"/>
      <c r="T1" s="132"/>
      <c r="U1" s="133"/>
      <c r="V1" s="134"/>
      <c r="W1" s="10"/>
      <c r="X1" s="10"/>
    </row>
    <row r="2" s="9" customFormat="true" ht="12.75" hidden="false" customHeight="true" outlineLevel="0" collapsed="false">
      <c r="A2" s="27" t="s">
        <v>194</v>
      </c>
      <c r="B2" s="135" t="s">
        <v>1</v>
      </c>
      <c r="C2" s="135"/>
      <c r="D2" s="136" t="s">
        <v>3</v>
      </c>
      <c r="E2" s="137" t="s">
        <v>195</v>
      </c>
      <c r="F2" s="138" t="s">
        <v>5</v>
      </c>
      <c r="G2" s="139" t="s">
        <v>196</v>
      </c>
      <c r="H2" s="140" t="s">
        <v>197</v>
      </c>
      <c r="I2" s="140" t="s">
        <v>198</v>
      </c>
      <c r="J2" s="140" t="s">
        <v>199</v>
      </c>
      <c r="K2" s="140" t="s">
        <v>200</v>
      </c>
      <c r="L2" s="106" t="s">
        <v>12</v>
      </c>
      <c r="M2" s="141" t="s">
        <v>201</v>
      </c>
      <c r="N2" s="106" t="s">
        <v>202</v>
      </c>
      <c r="O2" s="140" t="s">
        <v>203</v>
      </c>
      <c r="P2" s="140" t="s">
        <v>204</v>
      </c>
      <c r="Q2" s="106" t="s">
        <v>205</v>
      </c>
      <c r="R2" s="140" t="s">
        <v>206</v>
      </c>
      <c r="S2" s="140" t="s">
        <v>19</v>
      </c>
      <c r="T2" s="142" t="s">
        <v>20</v>
      </c>
      <c r="U2" s="135" t="s">
        <v>21</v>
      </c>
      <c r="V2" s="116"/>
      <c r="W2" s="143"/>
      <c r="X2" s="143"/>
      <c r="Y2" s="144"/>
      <c r="Z2" s="2"/>
    </row>
    <row r="3" customFormat="false" ht="4.5" hidden="false" customHeight="true" outlineLevel="0" collapsed="false">
      <c r="D3" s="2"/>
      <c r="F3" s="3"/>
      <c r="G3" s="5"/>
      <c r="I3" s="145"/>
      <c r="M3" s="85"/>
      <c r="Q3" s="6"/>
      <c r="R3" s="6"/>
      <c r="S3" s="6"/>
      <c r="T3" s="7"/>
      <c r="U3" s="8"/>
      <c r="V3" s="88"/>
      <c r="W3" s="146"/>
      <c r="X3" s="146"/>
      <c r="Y3" s="147"/>
      <c r="Z3" s="148"/>
    </row>
    <row r="4" s="9" customFormat="true" ht="14.1" hidden="false" customHeight="true" outlineLevel="0" collapsed="false">
      <c r="A4" s="149" t="s">
        <v>26</v>
      </c>
      <c r="B4" s="150" t="s">
        <v>207</v>
      </c>
      <c r="C4" s="151"/>
      <c r="D4" s="152" t="n">
        <v>6263103</v>
      </c>
      <c r="E4" s="153" t="n">
        <v>45103</v>
      </c>
      <c r="F4" s="154" t="s">
        <v>28</v>
      </c>
      <c r="G4" s="155" t="n">
        <v>45103</v>
      </c>
      <c r="H4" s="156"/>
      <c r="I4" s="157"/>
      <c r="J4" s="157"/>
      <c r="K4" s="157"/>
      <c r="L4" s="157"/>
      <c r="M4" s="156"/>
      <c r="N4" s="157"/>
      <c r="O4" s="156"/>
      <c r="P4" s="158"/>
      <c r="Q4" s="159"/>
      <c r="R4" s="156" t="n">
        <v>204</v>
      </c>
      <c r="S4" s="159" t="n">
        <v>50</v>
      </c>
      <c r="T4" s="160" t="n">
        <v>18.36</v>
      </c>
      <c r="U4" s="161" t="n">
        <f aca="false">SUM(H4:T4)</f>
        <v>272.36</v>
      </c>
      <c r="V4" s="162" t="s">
        <v>38</v>
      </c>
      <c r="W4" s="163" t="s">
        <v>46</v>
      </c>
      <c r="X4" s="89" t="s">
        <v>108</v>
      </c>
      <c r="Y4" s="164"/>
      <c r="Z4" s="49"/>
    </row>
    <row r="5" s="9" customFormat="true" ht="14.1" hidden="false" customHeight="true" outlineLevel="0" collapsed="false">
      <c r="A5" s="149" t="s">
        <v>26</v>
      </c>
      <c r="B5" s="150" t="s">
        <v>208</v>
      </c>
      <c r="C5" s="151"/>
      <c r="D5" s="152" t="n">
        <v>7273103</v>
      </c>
      <c r="E5" s="153" t="n">
        <v>45134</v>
      </c>
      <c r="F5" s="154" t="s">
        <v>28</v>
      </c>
      <c r="G5" s="155" t="n">
        <v>45135</v>
      </c>
      <c r="H5" s="156"/>
      <c r="I5" s="157"/>
      <c r="J5" s="157"/>
      <c r="K5" s="157"/>
      <c r="L5" s="157"/>
      <c r="M5" s="156"/>
      <c r="N5" s="157"/>
      <c r="O5" s="156"/>
      <c r="P5" s="158"/>
      <c r="Q5" s="159"/>
      <c r="R5" s="156" t="n">
        <v>39</v>
      </c>
      <c r="S5" s="159" t="n">
        <v>12.5</v>
      </c>
      <c r="T5" s="160" t="n">
        <v>3.36</v>
      </c>
      <c r="U5" s="161" t="n">
        <f aca="false">SUM(H5:T5)</f>
        <v>54.86</v>
      </c>
      <c r="V5" s="162" t="s">
        <v>38</v>
      </c>
      <c r="W5" s="163" t="s">
        <v>92</v>
      </c>
      <c r="X5" s="89" t="s">
        <v>108</v>
      </c>
      <c r="Y5" s="164"/>
      <c r="Z5" s="49"/>
    </row>
    <row r="6" s="9" customFormat="true" ht="14.1" hidden="false" customHeight="true" outlineLevel="0" collapsed="false">
      <c r="A6" s="149" t="s">
        <v>26</v>
      </c>
      <c r="B6" s="150" t="s">
        <v>209</v>
      </c>
      <c r="C6" s="151"/>
      <c r="D6" s="152" t="n">
        <v>9013106</v>
      </c>
      <c r="E6" s="153" t="n">
        <v>45170</v>
      </c>
      <c r="F6" s="154" t="s">
        <v>28</v>
      </c>
      <c r="G6" s="155" t="n">
        <v>45174</v>
      </c>
      <c r="H6" s="156"/>
      <c r="I6" s="157"/>
      <c r="J6" s="157"/>
      <c r="K6" s="157"/>
      <c r="L6" s="157"/>
      <c r="M6" s="156"/>
      <c r="N6" s="157"/>
      <c r="O6" s="156"/>
      <c r="P6" s="158"/>
      <c r="Q6" s="159"/>
      <c r="R6" s="156" t="n">
        <v>135</v>
      </c>
      <c r="S6" s="159" t="n">
        <v>25</v>
      </c>
      <c r="T6" s="160" t="n">
        <v>12.99</v>
      </c>
      <c r="U6" s="161" t="n">
        <f aca="false">SUM(H6:T6)</f>
        <v>172.99</v>
      </c>
      <c r="V6" s="162" t="s">
        <v>43</v>
      </c>
      <c r="W6" s="163" t="s">
        <v>210</v>
      </c>
      <c r="X6" s="89" t="s">
        <v>108</v>
      </c>
      <c r="Y6" s="164"/>
      <c r="Z6" s="49"/>
    </row>
    <row r="7" s="9" customFormat="true" ht="14.1" hidden="false" customHeight="true" outlineLevel="0" collapsed="false">
      <c r="A7" s="149" t="s">
        <v>26</v>
      </c>
      <c r="B7" s="150" t="s">
        <v>211</v>
      </c>
      <c r="C7" s="151"/>
      <c r="D7" s="152" t="n">
        <v>10033111</v>
      </c>
      <c r="E7" s="153" t="n">
        <v>45202</v>
      </c>
      <c r="F7" s="154" t="s">
        <v>28</v>
      </c>
      <c r="G7" s="155" t="n">
        <v>45203</v>
      </c>
      <c r="H7" s="156"/>
      <c r="I7" s="157"/>
      <c r="J7" s="157"/>
      <c r="K7" s="157"/>
      <c r="L7" s="157"/>
      <c r="M7" s="156"/>
      <c r="N7" s="157"/>
      <c r="O7" s="156"/>
      <c r="P7" s="158"/>
      <c r="Q7" s="159"/>
      <c r="R7" s="156" t="n">
        <v>149</v>
      </c>
      <c r="S7" s="159" t="n">
        <v>37.5</v>
      </c>
      <c r="T7" s="160" t="n">
        <v>12.29</v>
      </c>
      <c r="U7" s="161" t="n">
        <f aca="false">SUM(H7:T7)</f>
        <v>198.79</v>
      </c>
      <c r="V7" s="162" t="s">
        <v>38</v>
      </c>
      <c r="W7" s="163" t="s">
        <v>26</v>
      </c>
      <c r="X7" s="89" t="s">
        <v>108</v>
      </c>
      <c r="Y7" s="49"/>
    </row>
    <row r="8" s="9" customFormat="true" ht="14.1" hidden="false" customHeight="true" outlineLevel="0" collapsed="false">
      <c r="A8" s="149" t="s">
        <v>26</v>
      </c>
      <c r="B8" s="150" t="s">
        <v>212</v>
      </c>
      <c r="C8" s="151" t="s">
        <v>213</v>
      </c>
      <c r="D8" s="152" t="n">
        <v>10053103</v>
      </c>
      <c r="E8" s="153" t="n">
        <v>45204</v>
      </c>
      <c r="F8" s="154" t="s">
        <v>28</v>
      </c>
      <c r="G8" s="155" t="n">
        <v>45204</v>
      </c>
      <c r="H8" s="156"/>
      <c r="I8" s="157"/>
      <c r="J8" s="157"/>
      <c r="K8" s="157"/>
      <c r="L8" s="157"/>
      <c r="M8" s="156"/>
      <c r="N8" s="157"/>
      <c r="O8" s="156"/>
      <c r="P8" s="158"/>
      <c r="Q8" s="159"/>
      <c r="R8" s="156" t="n">
        <v>155</v>
      </c>
      <c r="S8" s="159" t="n">
        <v>25</v>
      </c>
      <c r="T8" s="160"/>
      <c r="U8" s="161" t="n">
        <f aca="false">SUM(H8:T8)</f>
        <v>180</v>
      </c>
      <c r="V8" s="162" t="s">
        <v>38</v>
      </c>
      <c r="W8" s="163" t="s">
        <v>214</v>
      </c>
      <c r="X8" s="89" t="s">
        <v>108</v>
      </c>
      <c r="Y8" s="49"/>
    </row>
    <row r="9" s="9" customFormat="true" ht="14.1" hidden="false" customHeight="true" outlineLevel="0" collapsed="false">
      <c r="A9" s="149" t="s">
        <v>26</v>
      </c>
      <c r="B9" s="150" t="s">
        <v>215</v>
      </c>
      <c r="C9" s="151"/>
      <c r="D9" s="152" t="n">
        <v>10243102</v>
      </c>
      <c r="E9" s="153" t="n">
        <v>45223</v>
      </c>
      <c r="F9" s="154" t="s">
        <v>28</v>
      </c>
      <c r="G9" s="155" t="n">
        <v>45223</v>
      </c>
      <c r="H9" s="156"/>
      <c r="I9" s="157"/>
      <c r="J9" s="157"/>
      <c r="K9" s="157"/>
      <c r="L9" s="157"/>
      <c r="M9" s="156"/>
      <c r="N9" s="157"/>
      <c r="O9" s="156"/>
      <c r="P9" s="158"/>
      <c r="Q9" s="159"/>
      <c r="R9" s="156" t="n">
        <v>110</v>
      </c>
      <c r="S9" s="159" t="n">
        <v>25</v>
      </c>
      <c r="T9" s="160" t="n">
        <v>9.08</v>
      </c>
      <c r="U9" s="161" t="n">
        <f aca="false">SUM(H9:T9)</f>
        <v>144.08</v>
      </c>
      <c r="V9" s="162" t="s">
        <v>38</v>
      </c>
      <c r="W9" s="163" t="s">
        <v>214</v>
      </c>
      <c r="X9" s="89" t="s">
        <v>108</v>
      </c>
      <c r="Y9" s="49"/>
    </row>
    <row r="10" s="9" customFormat="true" ht="14.1" hidden="false" customHeight="true" outlineLevel="0" collapsed="false">
      <c r="A10" s="149" t="s">
        <v>26</v>
      </c>
      <c r="B10" s="150" t="s">
        <v>216</v>
      </c>
      <c r="C10" s="151"/>
      <c r="D10" s="152" t="n">
        <v>11023102</v>
      </c>
      <c r="E10" s="153" t="n">
        <v>45232</v>
      </c>
      <c r="F10" s="154" t="s">
        <v>28</v>
      </c>
      <c r="G10" s="155" t="n">
        <v>45232</v>
      </c>
      <c r="H10" s="156"/>
      <c r="I10" s="157"/>
      <c r="J10" s="157"/>
      <c r="K10" s="157"/>
      <c r="L10" s="157"/>
      <c r="M10" s="156"/>
      <c r="N10" s="157"/>
      <c r="O10" s="156"/>
      <c r="P10" s="158"/>
      <c r="Q10" s="159"/>
      <c r="R10" s="156" t="n">
        <v>110</v>
      </c>
      <c r="S10" s="159" t="n">
        <v>25</v>
      </c>
      <c r="T10" s="160" t="n">
        <v>9.49</v>
      </c>
      <c r="U10" s="161" t="n">
        <f aca="false">SUM(H10:T10)</f>
        <v>144.49</v>
      </c>
      <c r="V10" s="162" t="s">
        <v>38</v>
      </c>
      <c r="W10" s="163" t="s">
        <v>92</v>
      </c>
      <c r="X10" s="89" t="s">
        <v>108</v>
      </c>
      <c r="Y10" s="164"/>
      <c r="Z10" s="49"/>
    </row>
    <row r="11" s="9" customFormat="true" ht="14.1" hidden="false" customHeight="true" outlineLevel="0" collapsed="false">
      <c r="A11" s="149" t="s">
        <v>26</v>
      </c>
      <c r="B11" s="150" t="s">
        <v>217</v>
      </c>
      <c r="C11" s="151"/>
      <c r="D11" s="152" t="n">
        <v>11143102</v>
      </c>
      <c r="E11" s="153" t="n">
        <v>45244</v>
      </c>
      <c r="F11" s="154" t="s">
        <v>28</v>
      </c>
      <c r="G11" s="155" t="n">
        <v>45247</v>
      </c>
      <c r="H11" s="156"/>
      <c r="I11" s="157"/>
      <c r="J11" s="157"/>
      <c r="K11" s="157"/>
      <c r="L11" s="157"/>
      <c r="M11" s="156"/>
      <c r="N11" s="157"/>
      <c r="O11" s="156"/>
      <c r="P11" s="158"/>
      <c r="Q11" s="159"/>
      <c r="R11" s="156" t="n">
        <v>900</v>
      </c>
      <c r="S11" s="159" t="n">
        <v>250</v>
      </c>
      <c r="T11" s="160" t="n">
        <v>83.25</v>
      </c>
      <c r="U11" s="161" t="n">
        <f aca="false">SUM(H11:T11)</f>
        <v>1233.25</v>
      </c>
      <c r="V11" s="162" t="s">
        <v>43</v>
      </c>
      <c r="W11" s="163" t="s">
        <v>214</v>
      </c>
      <c r="X11" s="89" t="s">
        <v>108</v>
      </c>
      <c r="Y11" s="164"/>
      <c r="Z11" s="49"/>
    </row>
    <row r="12" s="9" customFormat="true" ht="14.1" hidden="false" customHeight="true" outlineLevel="0" collapsed="false">
      <c r="A12" s="149" t="s">
        <v>26</v>
      </c>
      <c r="B12" s="150" t="s">
        <v>218</v>
      </c>
      <c r="C12" s="151" t="s">
        <v>219</v>
      </c>
      <c r="D12" s="152" t="n">
        <v>12123106</v>
      </c>
      <c r="E12" s="153" t="n">
        <v>45272</v>
      </c>
      <c r="F12" s="154" t="s">
        <v>28</v>
      </c>
      <c r="G12" s="155" t="n">
        <v>45272</v>
      </c>
      <c r="H12" s="156"/>
      <c r="I12" s="157"/>
      <c r="J12" s="157"/>
      <c r="K12" s="157"/>
      <c r="L12" s="157"/>
      <c r="M12" s="156"/>
      <c r="N12" s="157"/>
      <c r="O12" s="156"/>
      <c r="P12" s="158"/>
      <c r="Q12" s="159"/>
      <c r="R12" s="156" t="n">
        <v>188</v>
      </c>
      <c r="S12" s="159" t="n">
        <v>37.5</v>
      </c>
      <c r="T12" s="160" t="n">
        <v>15.75</v>
      </c>
      <c r="U12" s="161" t="n">
        <f aca="false">SUM(H12:T12)</f>
        <v>241.25</v>
      </c>
      <c r="V12" s="162" t="s">
        <v>38</v>
      </c>
      <c r="W12" s="163" t="s">
        <v>26</v>
      </c>
      <c r="X12" s="89" t="s">
        <v>108</v>
      </c>
      <c r="Y12" s="164"/>
      <c r="Z12" s="49"/>
    </row>
    <row r="13" s="9" customFormat="true" ht="14.1" hidden="false" customHeight="true" outlineLevel="0" collapsed="false">
      <c r="A13" s="149" t="s">
        <v>26</v>
      </c>
      <c r="B13" s="150" t="s">
        <v>127</v>
      </c>
      <c r="C13" s="151" t="s">
        <v>128</v>
      </c>
      <c r="D13" s="152" t="n">
        <v>1044108</v>
      </c>
      <c r="E13" s="153" t="n">
        <v>45295</v>
      </c>
      <c r="F13" s="154" t="s">
        <v>28</v>
      </c>
      <c r="G13" s="155" t="n">
        <v>45296</v>
      </c>
      <c r="H13" s="156"/>
      <c r="I13" s="157"/>
      <c r="J13" s="157"/>
      <c r="K13" s="157"/>
      <c r="L13" s="157"/>
      <c r="M13" s="156"/>
      <c r="N13" s="157"/>
      <c r="O13" s="156"/>
      <c r="P13" s="158"/>
      <c r="Q13" s="159"/>
      <c r="R13" s="156" t="n">
        <v>162</v>
      </c>
      <c r="S13" s="159" t="n">
        <v>25</v>
      </c>
      <c r="T13" s="160" t="n">
        <v>17.42</v>
      </c>
      <c r="U13" s="161" t="n">
        <f aca="false">SUM(H13:T13)</f>
        <v>204.42</v>
      </c>
      <c r="V13" s="162" t="s">
        <v>38</v>
      </c>
      <c r="W13" s="163" t="s">
        <v>92</v>
      </c>
      <c r="X13" s="89" t="s">
        <v>108</v>
      </c>
      <c r="Y13" s="164"/>
      <c r="Z13" s="49"/>
    </row>
    <row r="14" s="9" customFormat="true" ht="14.1" hidden="false" customHeight="true" outlineLevel="0" collapsed="false">
      <c r="A14" s="149" t="s">
        <v>26</v>
      </c>
      <c r="B14" s="150" t="s">
        <v>220</v>
      </c>
      <c r="C14" s="151"/>
      <c r="D14" s="152" t="n">
        <v>1054102</v>
      </c>
      <c r="E14" s="153" t="n">
        <v>45296</v>
      </c>
      <c r="F14" s="154" t="s">
        <v>28</v>
      </c>
      <c r="G14" s="155" t="n">
        <v>45299</v>
      </c>
      <c r="H14" s="156"/>
      <c r="I14" s="157"/>
      <c r="J14" s="157"/>
      <c r="K14" s="157"/>
      <c r="L14" s="157"/>
      <c r="M14" s="156"/>
      <c r="N14" s="157"/>
      <c r="O14" s="156"/>
      <c r="P14" s="158"/>
      <c r="Q14" s="159"/>
      <c r="R14" s="156" t="n">
        <v>65</v>
      </c>
      <c r="S14" s="159" t="n">
        <v>12.5</v>
      </c>
      <c r="T14" s="160" t="n">
        <v>5.61</v>
      </c>
      <c r="U14" s="161" t="n">
        <f aca="false">SUM(H14:T14)</f>
        <v>83.11</v>
      </c>
      <c r="V14" s="162" t="s">
        <v>38</v>
      </c>
      <c r="W14" s="163" t="s">
        <v>26</v>
      </c>
      <c r="X14" s="89" t="s">
        <v>108</v>
      </c>
      <c r="Y14" s="164"/>
      <c r="Z14" s="49"/>
    </row>
    <row r="15" s="9" customFormat="true" ht="14.1" hidden="false" customHeight="true" outlineLevel="0" collapsed="false">
      <c r="A15" s="149" t="s">
        <v>40</v>
      </c>
      <c r="B15" s="150" t="s">
        <v>221</v>
      </c>
      <c r="C15" s="151"/>
      <c r="D15" s="152" t="n">
        <v>1184071</v>
      </c>
      <c r="E15" s="153" t="n">
        <v>45309</v>
      </c>
      <c r="F15" s="154" t="s">
        <v>222</v>
      </c>
      <c r="G15" s="155" t="n">
        <v>45309</v>
      </c>
      <c r="H15" s="156"/>
      <c r="I15" s="157"/>
      <c r="J15" s="157"/>
      <c r="K15" s="157"/>
      <c r="L15" s="157"/>
      <c r="M15" s="156"/>
      <c r="N15" s="157"/>
      <c r="O15" s="156" t="n">
        <v>380</v>
      </c>
      <c r="P15" s="158" t="n">
        <v>90</v>
      </c>
      <c r="Q15" s="159" t="n">
        <v>90</v>
      </c>
      <c r="R15" s="156"/>
      <c r="S15" s="159"/>
      <c r="T15" s="160" t="n">
        <v>38.95</v>
      </c>
      <c r="U15" s="161" t="n">
        <f aca="false">SUM(H15:T15)</f>
        <v>598.95</v>
      </c>
      <c r="V15" s="162" t="s">
        <v>43</v>
      </c>
      <c r="W15" s="163" t="s">
        <v>40</v>
      </c>
      <c r="X15" s="89" t="s">
        <v>108</v>
      </c>
      <c r="Y15" s="164"/>
      <c r="Z15" s="49"/>
    </row>
    <row r="16" s="9" customFormat="true" ht="14.1" hidden="false" customHeight="true" outlineLevel="0" collapsed="false">
      <c r="A16" s="165"/>
      <c r="B16" s="166"/>
      <c r="C16" s="167"/>
      <c r="D16" s="167"/>
      <c r="E16" s="168"/>
      <c r="F16" s="169"/>
      <c r="G16" s="170"/>
      <c r="H16" s="171"/>
      <c r="I16" s="171"/>
      <c r="J16" s="172"/>
      <c r="K16" s="172"/>
      <c r="L16" s="172"/>
      <c r="M16" s="171"/>
      <c r="N16" s="171"/>
      <c r="O16" s="171"/>
      <c r="P16" s="105"/>
      <c r="Q16" s="173"/>
      <c r="R16" s="171"/>
      <c r="S16" s="173"/>
      <c r="T16" s="174"/>
      <c r="U16" s="175"/>
      <c r="V16" s="176"/>
      <c r="W16" s="27"/>
      <c r="X16" s="27"/>
      <c r="Y16" s="177" t="n">
        <f aca="false">SUM(U4:U15)</f>
        <v>3528.55</v>
      </c>
      <c r="Z16" s="178" t="n">
        <f aca="false">Y16/V53</f>
        <v>0.328975031442612</v>
      </c>
      <c r="AA16" s="49"/>
    </row>
    <row r="17" s="9" customFormat="true" ht="14.1" hidden="false" customHeight="true" outlineLevel="0" collapsed="false">
      <c r="A17" s="149" t="s">
        <v>26</v>
      </c>
      <c r="B17" s="150" t="s">
        <v>223</v>
      </c>
      <c r="C17" s="151" t="s">
        <v>224</v>
      </c>
      <c r="D17" s="152" t="n">
        <v>2024101</v>
      </c>
      <c r="E17" s="153" t="n">
        <v>45324</v>
      </c>
      <c r="F17" s="154" t="s">
        <v>225</v>
      </c>
      <c r="G17" s="155" t="n">
        <v>45324</v>
      </c>
      <c r="H17" s="156"/>
      <c r="I17" s="157"/>
      <c r="J17" s="157"/>
      <c r="K17" s="157"/>
      <c r="L17" s="157"/>
      <c r="M17" s="156"/>
      <c r="N17" s="157"/>
      <c r="O17" s="156"/>
      <c r="P17" s="158" t="n">
        <v>180</v>
      </c>
      <c r="Q17" s="159" t="n">
        <v>90</v>
      </c>
      <c r="R17" s="156"/>
      <c r="S17" s="159"/>
      <c r="T17" s="160"/>
      <c r="U17" s="161" t="n">
        <f aca="false">SUM(H17:T17)</f>
        <v>270</v>
      </c>
      <c r="V17" s="162" t="s">
        <v>225</v>
      </c>
      <c r="W17" s="163" t="s">
        <v>210</v>
      </c>
      <c r="X17" s="89" t="s">
        <v>108</v>
      </c>
      <c r="Y17" s="164"/>
      <c r="Z17" s="49"/>
    </row>
    <row r="18" s="9" customFormat="true" ht="14.1" hidden="false" customHeight="true" outlineLevel="0" collapsed="false">
      <c r="A18" s="149" t="s">
        <v>26</v>
      </c>
      <c r="B18" s="150" t="s">
        <v>226</v>
      </c>
      <c r="C18" s="151"/>
      <c r="D18" s="152" t="n">
        <v>2124104</v>
      </c>
      <c r="E18" s="153" t="n">
        <v>45334</v>
      </c>
      <c r="F18" s="154" t="s">
        <v>28</v>
      </c>
      <c r="G18" s="155" t="n">
        <v>45334</v>
      </c>
      <c r="H18" s="156"/>
      <c r="I18" s="157"/>
      <c r="J18" s="157"/>
      <c r="K18" s="157"/>
      <c r="L18" s="157"/>
      <c r="M18" s="156"/>
      <c r="N18" s="157"/>
      <c r="O18" s="156"/>
      <c r="P18" s="158"/>
      <c r="Q18" s="159"/>
      <c r="R18" s="156" t="n">
        <v>55</v>
      </c>
      <c r="S18" s="159" t="n">
        <v>12.5</v>
      </c>
      <c r="T18" s="160" t="n">
        <v>4.75</v>
      </c>
      <c r="U18" s="161" t="n">
        <f aca="false">SUM(H18:T18)</f>
        <v>72.25</v>
      </c>
      <c r="V18" s="162" t="s">
        <v>38</v>
      </c>
      <c r="W18" s="163" t="s">
        <v>26</v>
      </c>
      <c r="X18" s="89" t="s">
        <v>108</v>
      </c>
      <c r="Y18" s="164"/>
      <c r="Z18" s="49"/>
    </row>
    <row r="19" s="9" customFormat="true" ht="14.1" hidden="false" customHeight="true" outlineLevel="0" collapsed="false">
      <c r="A19" s="149" t="s">
        <v>26</v>
      </c>
      <c r="B19" s="150" t="s">
        <v>116</v>
      </c>
      <c r="C19" s="151"/>
      <c r="D19" s="152" t="n">
        <v>2154102</v>
      </c>
      <c r="E19" s="153" t="n">
        <v>45337</v>
      </c>
      <c r="F19" s="154" t="s">
        <v>28</v>
      </c>
      <c r="G19" s="155" t="n">
        <v>45338</v>
      </c>
      <c r="H19" s="156"/>
      <c r="I19" s="157"/>
      <c r="J19" s="157"/>
      <c r="K19" s="157"/>
      <c r="L19" s="157"/>
      <c r="M19" s="156"/>
      <c r="N19" s="157"/>
      <c r="O19" s="156"/>
      <c r="P19" s="158"/>
      <c r="Q19" s="159"/>
      <c r="R19" s="156" t="n">
        <v>65</v>
      </c>
      <c r="S19" s="159" t="n">
        <v>12.5</v>
      </c>
      <c r="T19" s="160" t="n">
        <v>5.53</v>
      </c>
      <c r="U19" s="161" t="n">
        <f aca="false">SUM(H19:T19)</f>
        <v>83.03</v>
      </c>
      <c r="V19" s="162" t="s">
        <v>38</v>
      </c>
      <c r="W19" s="163" t="s">
        <v>26</v>
      </c>
      <c r="X19" s="89" t="s">
        <v>108</v>
      </c>
      <c r="Y19" s="164"/>
      <c r="Z19" s="49"/>
    </row>
    <row r="20" s="9" customFormat="true" ht="14.1" hidden="false" customHeight="true" outlineLevel="0" collapsed="false">
      <c r="A20" s="149" t="s">
        <v>26</v>
      </c>
      <c r="B20" s="150" t="s">
        <v>221</v>
      </c>
      <c r="C20" s="151"/>
      <c r="D20" s="152" t="n">
        <v>2164101</v>
      </c>
      <c r="E20" s="153" t="n">
        <v>45338</v>
      </c>
      <c r="F20" s="154" t="s">
        <v>28</v>
      </c>
      <c r="G20" s="155" t="n">
        <v>45338</v>
      </c>
      <c r="H20" s="156"/>
      <c r="I20" s="157"/>
      <c r="J20" s="157"/>
      <c r="K20" s="157"/>
      <c r="L20" s="157"/>
      <c r="M20" s="156"/>
      <c r="N20" s="157"/>
      <c r="O20" s="156"/>
      <c r="P20" s="158"/>
      <c r="Q20" s="159"/>
      <c r="R20" s="156" t="n">
        <v>165</v>
      </c>
      <c r="S20" s="159" t="n">
        <v>37.5</v>
      </c>
      <c r="T20" s="160" t="n">
        <v>16.91</v>
      </c>
      <c r="U20" s="161" t="n">
        <f aca="false">SUM(H20:T20)</f>
        <v>219.41</v>
      </c>
      <c r="V20" s="162" t="s">
        <v>38</v>
      </c>
      <c r="W20" s="163" t="s">
        <v>26</v>
      </c>
      <c r="X20" s="89" t="s">
        <v>108</v>
      </c>
      <c r="Y20" s="164"/>
      <c r="Z20" s="49"/>
    </row>
    <row r="21" s="9" customFormat="true" ht="14.1" hidden="false" customHeight="true" outlineLevel="0" collapsed="false">
      <c r="A21" s="179" t="s">
        <v>26</v>
      </c>
      <c r="B21" s="180" t="s">
        <v>227</v>
      </c>
      <c r="C21" s="181"/>
      <c r="D21" s="182" t="n">
        <v>2294102</v>
      </c>
      <c r="E21" s="183" t="n">
        <v>45351</v>
      </c>
      <c r="F21" s="184" t="s">
        <v>28</v>
      </c>
      <c r="G21" s="185" t="n">
        <v>45351</v>
      </c>
      <c r="H21" s="186"/>
      <c r="I21" s="187"/>
      <c r="J21" s="187"/>
      <c r="K21" s="187"/>
      <c r="L21" s="187"/>
      <c r="M21" s="186"/>
      <c r="N21" s="187"/>
      <c r="O21" s="186"/>
      <c r="P21" s="188"/>
      <c r="Q21" s="189"/>
      <c r="R21" s="186" t="n">
        <v>105</v>
      </c>
      <c r="S21" s="189" t="n">
        <v>12.5</v>
      </c>
      <c r="T21" s="190" t="n">
        <v>9.71</v>
      </c>
      <c r="U21" s="191" t="n">
        <f aca="false">SUM(H21:T21)</f>
        <v>127.21</v>
      </c>
      <c r="V21" s="192" t="s">
        <v>38</v>
      </c>
      <c r="W21" s="193" t="s">
        <v>26</v>
      </c>
      <c r="X21" s="89" t="s">
        <v>108</v>
      </c>
      <c r="Y21" s="164"/>
      <c r="Z21" s="49"/>
    </row>
    <row r="22" s="9" customFormat="true" ht="14.1" hidden="false" customHeight="true" outlineLevel="0" collapsed="false">
      <c r="A22" s="165"/>
      <c r="B22" s="166"/>
      <c r="C22" s="167"/>
      <c r="D22" s="167"/>
      <c r="E22" s="168"/>
      <c r="F22" s="169"/>
      <c r="G22" s="170"/>
      <c r="H22" s="171"/>
      <c r="I22" s="171"/>
      <c r="J22" s="172"/>
      <c r="K22" s="172"/>
      <c r="L22" s="172"/>
      <c r="M22" s="171"/>
      <c r="N22" s="171"/>
      <c r="O22" s="171"/>
      <c r="P22" s="105"/>
      <c r="Q22" s="173"/>
      <c r="R22" s="171"/>
      <c r="S22" s="173"/>
      <c r="T22" s="174"/>
      <c r="U22" s="175"/>
      <c r="V22" s="176"/>
      <c r="W22" s="27"/>
      <c r="X22" s="27"/>
      <c r="Y22" s="194" t="n">
        <f aca="false">SUM(U17:U21)</f>
        <v>771.9</v>
      </c>
      <c r="Z22" s="178" t="n">
        <f aca="false">Y22/V53</f>
        <v>0.0719660559636543</v>
      </c>
      <c r="AA22" s="49"/>
    </row>
    <row r="23" s="9" customFormat="true" ht="14.1" hidden="false" customHeight="true" outlineLevel="0" collapsed="false">
      <c r="A23" s="179" t="s">
        <v>26</v>
      </c>
      <c r="B23" s="180" t="s">
        <v>228</v>
      </c>
      <c r="C23" s="181"/>
      <c r="D23" s="182" t="n">
        <v>3114102</v>
      </c>
      <c r="E23" s="183" t="n">
        <v>45362</v>
      </c>
      <c r="F23" s="184" t="s">
        <v>28</v>
      </c>
      <c r="G23" s="185" t="n">
        <v>45362</v>
      </c>
      <c r="H23" s="186"/>
      <c r="I23" s="187"/>
      <c r="J23" s="187"/>
      <c r="K23" s="187"/>
      <c r="L23" s="187"/>
      <c r="M23" s="186"/>
      <c r="N23" s="187"/>
      <c r="O23" s="186"/>
      <c r="P23" s="188"/>
      <c r="Q23" s="189"/>
      <c r="R23" s="186" t="n">
        <v>130</v>
      </c>
      <c r="S23" s="189" t="n">
        <v>25</v>
      </c>
      <c r="T23" s="190" t="n">
        <v>11.21</v>
      </c>
      <c r="U23" s="191" t="n">
        <f aca="false">SUM(H23:T23)</f>
        <v>166.21</v>
      </c>
      <c r="V23" s="192" t="s">
        <v>38</v>
      </c>
      <c r="W23" s="193" t="s">
        <v>26</v>
      </c>
      <c r="X23" s="89" t="s">
        <v>108</v>
      </c>
      <c r="Y23" s="164"/>
      <c r="Z23" s="49"/>
    </row>
    <row r="24" s="9" customFormat="true" ht="14.1" hidden="false" customHeight="true" outlineLevel="0" collapsed="false">
      <c r="A24" s="179" t="s">
        <v>26</v>
      </c>
      <c r="B24" s="180" t="s">
        <v>229</v>
      </c>
      <c r="C24" s="181"/>
      <c r="D24" s="182" t="n">
        <v>3144102</v>
      </c>
      <c r="E24" s="183" t="n">
        <v>45365</v>
      </c>
      <c r="F24" s="184" t="s">
        <v>28</v>
      </c>
      <c r="G24" s="185" t="n">
        <v>45365</v>
      </c>
      <c r="H24" s="186"/>
      <c r="I24" s="187"/>
      <c r="J24" s="187"/>
      <c r="K24" s="187"/>
      <c r="L24" s="187"/>
      <c r="M24" s="186"/>
      <c r="N24" s="187"/>
      <c r="O24" s="186"/>
      <c r="P24" s="188"/>
      <c r="Q24" s="189"/>
      <c r="R24" s="186" t="n">
        <v>330</v>
      </c>
      <c r="S24" s="189" t="n">
        <v>75</v>
      </c>
      <c r="T24" s="190" t="n">
        <v>28.48</v>
      </c>
      <c r="U24" s="191" t="n">
        <f aca="false">SUM(H24:T24)</f>
        <v>433.48</v>
      </c>
      <c r="V24" s="192" t="s">
        <v>38</v>
      </c>
      <c r="W24" s="193" t="s">
        <v>26</v>
      </c>
      <c r="X24" s="89" t="s">
        <v>108</v>
      </c>
      <c r="Y24" s="164"/>
      <c r="Z24" s="49"/>
    </row>
    <row r="25" s="9" customFormat="true" ht="14.1" hidden="false" customHeight="true" outlineLevel="0" collapsed="false">
      <c r="A25" s="179" t="s">
        <v>26</v>
      </c>
      <c r="B25" s="180" t="s">
        <v>230</v>
      </c>
      <c r="C25" s="181"/>
      <c r="D25" s="182" t="n">
        <v>3184102</v>
      </c>
      <c r="E25" s="183" t="n">
        <v>45369</v>
      </c>
      <c r="F25" s="184" t="s">
        <v>28</v>
      </c>
      <c r="G25" s="185" t="n">
        <v>45369</v>
      </c>
      <c r="H25" s="186"/>
      <c r="I25" s="187"/>
      <c r="J25" s="187"/>
      <c r="K25" s="187"/>
      <c r="L25" s="187"/>
      <c r="M25" s="186"/>
      <c r="N25" s="187"/>
      <c r="O25" s="186"/>
      <c r="P25" s="188"/>
      <c r="Q25" s="189"/>
      <c r="R25" s="186" t="n">
        <v>318</v>
      </c>
      <c r="S25" s="189" t="n">
        <v>67.5</v>
      </c>
      <c r="T25" s="190" t="n">
        <v>27.43</v>
      </c>
      <c r="U25" s="191" t="n">
        <f aca="false">SUM(H25:T25)</f>
        <v>412.93</v>
      </c>
      <c r="V25" s="192" t="s">
        <v>38</v>
      </c>
      <c r="W25" s="193" t="s">
        <v>92</v>
      </c>
      <c r="X25" s="89" t="s">
        <v>108</v>
      </c>
      <c r="Y25" s="164"/>
      <c r="Z25" s="49"/>
    </row>
    <row r="26" s="9" customFormat="true" ht="14.1" hidden="false" customHeight="true" outlineLevel="0" collapsed="false">
      <c r="A26" s="179" t="s">
        <v>26</v>
      </c>
      <c r="B26" s="180" t="s">
        <v>231</v>
      </c>
      <c r="C26" s="181"/>
      <c r="D26" s="182" t="n">
        <v>3184104</v>
      </c>
      <c r="E26" s="183" t="n">
        <v>45369</v>
      </c>
      <c r="F26" s="184" t="s">
        <v>28</v>
      </c>
      <c r="G26" s="185" t="n">
        <v>45369</v>
      </c>
      <c r="H26" s="186"/>
      <c r="I26" s="187"/>
      <c r="J26" s="187"/>
      <c r="K26" s="187"/>
      <c r="L26" s="187"/>
      <c r="M26" s="186"/>
      <c r="N26" s="187"/>
      <c r="O26" s="186"/>
      <c r="P26" s="188"/>
      <c r="Q26" s="189"/>
      <c r="R26" s="186" t="n">
        <v>78</v>
      </c>
      <c r="S26" s="189" t="n">
        <v>12.5</v>
      </c>
      <c r="T26" s="190" t="n">
        <v>6.73</v>
      </c>
      <c r="U26" s="191" t="n">
        <f aca="false">SUM(H26:T26)</f>
        <v>97.23</v>
      </c>
      <c r="V26" s="192" t="s">
        <v>38</v>
      </c>
      <c r="W26" s="193" t="s">
        <v>92</v>
      </c>
      <c r="X26" s="89" t="s">
        <v>108</v>
      </c>
      <c r="Y26" s="164"/>
      <c r="Z26" s="49"/>
    </row>
    <row r="27" s="9" customFormat="true" ht="14.1" hidden="false" customHeight="true" outlineLevel="0" collapsed="false">
      <c r="A27" s="179" t="s">
        <v>26</v>
      </c>
      <c r="B27" s="180" t="s">
        <v>232</v>
      </c>
      <c r="C27" s="181"/>
      <c r="D27" s="182" t="n">
        <v>3194101</v>
      </c>
      <c r="E27" s="183" t="n">
        <v>45370</v>
      </c>
      <c r="F27" s="184" t="s">
        <v>28</v>
      </c>
      <c r="G27" s="185" t="n">
        <v>45370</v>
      </c>
      <c r="H27" s="186"/>
      <c r="I27" s="187"/>
      <c r="J27" s="187"/>
      <c r="K27" s="187"/>
      <c r="L27" s="187"/>
      <c r="M27" s="186"/>
      <c r="N27" s="187"/>
      <c r="O27" s="186"/>
      <c r="P27" s="188"/>
      <c r="Q27" s="189"/>
      <c r="R27" s="186" t="n">
        <v>135</v>
      </c>
      <c r="S27" s="189"/>
      <c r="T27" s="190" t="n">
        <v>13.16</v>
      </c>
      <c r="U27" s="191" t="n">
        <f aca="false">SUM(H27:T27)</f>
        <v>148.16</v>
      </c>
      <c r="V27" s="192" t="s">
        <v>30</v>
      </c>
      <c r="W27" s="193" t="s">
        <v>233</v>
      </c>
      <c r="X27" s="89" t="s">
        <v>108</v>
      </c>
      <c r="Y27" s="164"/>
      <c r="Z27" s="49"/>
    </row>
    <row r="28" s="9" customFormat="true" ht="14.1" hidden="false" customHeight="true" outlineLevel="0" collapsed="false">
      <c r="A28" s="179" t="s">
        <v>26</v>
      </c>
      <c r="B28" s="180" t="s">
        <v>234</v>
      </c>
      <c r="C28" s="181"/>
      <c r="D28" s="182" t="n">
        <v>3224101</v>
      </c>
      <c r="E28" s="183" t="n">
        <v>45373</v>
      </c>
      <c r="F28" s="184" t="s">
        <v>28</v>
      </c>
      <c r="G28" s="185" t="n">
        <v>45373</v>
      </c>
      <c r="H28" s="186"/>
      <c r="I28" s="187"/>
      <c r="J28" s="187"/>
      <c r="K28" s="187"/>
      <c r="L28" s="187"/>
      <c r="M28" s="186"/>
      <c r="N28" s="187"/>
      <c r="O28" s="186"/>
      <c r="P28" s="188"/>
      <c r="Q28" s="189"/>
      <c r="R28" s="186" t="n">
        <v>175</v>
      </c>
      <c r="S28" s="189" t="n">
        <v>37.5</v>
      </c>
      <c r="T28" s="190" t="n">
        <v>16.19</v>
      </c>
      <c r="U28" s="191" t="n">
        <f aca="false">SUM(H28:T28)</f>
        <v>228.69</v>
      </c>
      <c r="V28" s="192" t="s">
        <v>38</v>
      </c>
      <c r="W28" s="193" t="s">
        <v>26</v>
      </c>
      <c r="X28" s="89" t="s">
        <v>108</v>
      </c>
      <c r="Y28" s="164"/>
      <c r="Z28" s="49"/>
    </row>
    <row r="29" s="9" customFormat="true" ht="14.1" hidden="false" customHeight="true" outlineLevel="0" collapsed="false">
      <c r="A29" s="179" t="s">
        <v>26</v>
      </c>
      <c r="B29" s="180" t="s">
        <v>221</v>
      </c>
      <c r="C29" s="181"/>
      <c r="D29" s="182" t="n">
        <v>3254102</v>
      </c>
      <c r="E29" s="183" t="n">
        <v>45376</v>
      </c>
      <c r="F29" s="184" t="s">
        <v>28</v>
      </c>
      <c r="G29" s="185" t="n">
        <v>45376</v>
      </c>
      <c r="H29" s="186"/>
      <c r="I29" s="187"/>
      <c r="J29" s="187"/>
      <c r="K29" s="187"/>
      <c r="L29" s="187"/>
      <c r="M29" s="186"/>
      <c r="N29" s="187"/>
      <c r="O29" s="186"/>
      <c r="P29" s="188"/>
      <c r="Q29" s="189"/>
      <c r="R29" s="186" t="n">
        <v>143</v>
      </c>
      <c r="S29" s="189" t="n">
        <v>25</v>
      </c>
      <c r="T29" s="190" t="n">
        <v>14.66</v>
      </c>
      <c r="U29" s="191" t="n">
        <f aca="false">SUM(H29:T29)</f>
        <v>182.66</v>
      </c>
      <c r="V29" s="192" t="s">
        <v>38</v>
      </c>
      <c r="W29" s="193" t="s">
        <v>46</v>
      </c>
      <c r="X29" s="89" t="s">
        <v>108</v>
      </c>
      <c r="Y29" s="164"/>
      <c r="Z29" s="49"/>
    </row>
    <row r="30" s="9" customFormat="true" ht="14.1" hidden="false" customHeight="true" outlineLevel="0" collapsed="false">
      <c r="A30" s="165"/>
      <c r="B30" s="166"/>
      <c r="C30" s="167"/>
      <c r="D30" s="167"/>
      <c r="E30" s="168"/>
      <c r="F30" s="169"/>
      <c r="G30" s="170"/>
      <c r="H30" s="171"/>
      <c r="I30" s="171"/>
      <c r="J30" s="172"/>
      <c r="K30" s="172"/>
      <c r="L30" s="172"/>
      <c r="M30" s="171"/>
      <c r="N30" s="171"/>
      <c r="O30" s="171"/>
      <c r="P30" s="105"/>
      <c r="Q30" s="173"/>
      <c r="R30" s="171"/>
      <c r="S30" s="173"/>
      <c r="T30" s="174"/>
      <c r="U30" s="175"/>
      <c r="V30" s="176"/>
      <c r="W30" s="27"/>
      <c r="X30" s="27"/>
      <c r="Y30" s="195" t="n">
        <f aca="false">SUM(U23:U29)</f>
        <v>1669.36</v>
      </c>
      <c r="Z30" s="178" t="n">
        <f aca="false">Y30/V53</f>
        <v>0.155638366606408</v>
      </c>
      <c r="AA30" s="49"/>
    </row>
    <row r="31" s="9" customFormat="true" ht="14.1" hidden="false" customHeight="true" outlineLevel="0" collapsed="false">
      <c r="A31" s="196" t="s">
        <v>26</v>
      </c>
      <c r="B31" s="197" t="s">
        <v>235</v>
      </c>
      <c r="C31" s="198"/>
      <c r="D31" s="199" t="n">
        <v>3274101</v>
      </c>
      <c r="E31" s="200" t="n">
        <v>45378</v>
      </c>
      <c r="F31" s="201" t="s">
        <v>28</v>
      </c>
      <c r="G31" s="202" t="n">
        <v>45383</v>
      </c>
      <c r="H31" s="203"/>
      <c r="I31" s="204"/>
      <c r="J31" s="204"/>
      <c r="K31" s="204"/>
      <c r="L31" s="204"/>
      <c r="M31" s="203"/>
      <c r="N31" s="204"/>
      <c r="O31" s="203"/>
      <c r="P31" s="205"/>
      <c r="Q31" s="206"/>
      <c r="R31" s="203" t="n">
        <v>329</v>
      </c>
      <c r="S31" s="206"/>
      <c r="T31" s="207" t="n">
        <v>30.43</v>
      </c>
      <c r="U31" s="208" t="n">
        <f aca="false">SUM(H31:T31)</f>
        <v>359.43</v>
      </c>
      <c r="V31" s="209" t="s">
        <v>30</v>
      </c>
      <c r="W31" s="210" t="s">
        <v>107</v>
      </c>
      <c r="X31" s="89" t="s">
        <v>108</v>
      </c>
      <c r="Y31" s="164"/>
      <c r="Z31" s="49"/>
    </row>
    <row r="32" s="9" customFormat="true" ht="14.1" hidden="false" customHeight="true" outlineLevel="0" collapsed="false">
      <c r="A32" s="196" t="s">
        <v>26</v>
      </c>
      <c r="B32" s="197" t="s">
        <v>236</v>
      </c>
      <c r="C32" s="198"/>
      <c r="D32" s="199" t="n">
        <v>4024102</v>
      </c>
      <c r="E32" s="200" t="n">
        <v>45384</v>
      </c>
      <c r="F32" s="201" t="s">
        <v>28</v>
      </c>
      <c r="G32" s="202" t="n">
        <v>45384</v>
      </c>
      <c r="H32" s="203"/>
      <c r="I32" s="204"/>
      <c r="J32" s="204"/>
      <c r="K32" s="204"/>
      <c r="L32" s="204"/>
      <c r="M32" s="203"/>
      <c r="N32" s="204"/>
      <c r="O32" s="203"/>
      <c r="P32" s="205"/>
      <c r="Q32" s="206"/>
      <c r="R32" s="203" t="n">
        <v>100</v>
      </c>
      <c r="S32" s="206" t="n">
        <v>25</v>
      </c>
      <c r="T32" s="207" t="n">
        <v>9.25</v>
      </c>
      <c r="U32" s="208" t="n">
        <f aca="false">SUM(H32:T32)</f>
        <v>134.25</v>
      </c>
      <c r="V32" s="209" t="s">
        <v>38</v>
      </c>
      <c r="W32" s="210" t="s">
        <v>46</v>
      </c>
      <c r="X32" s="89" t="s">
        <v>108</v>
      </c>
      <c r="Y32" s="164"/>
      <c r="Z32" s="49"/>
    </row>
    <row r="33" s="9" customFormat="true" ht="14.1" hidden="false" customHeight="true" outlineLevel="0" collapsed="false">
      <c r="A33" s="196" t="s">
        <v>26</v>
      </c>
      <c r="B33" s="197" t="s">
        <v>237</v>
      </c>
      <c r="C33" s="198"/>
      <c r="D33" s="199" t="n">
        <v>4034104</v>
      </c>
      <c r="E33" s="200" t="n">
        <v>45385</v>
      </c>
      <c r="F33" s="201" t="s">
        <v>28</v>
      </c>
      <c r="G33" s="202" t="n">
        <v>45385</v>
      </c>
      <c r="H33" s="203"/>
      <c r="I33" s="204"/>
      <c r="J33" s="204"/>
      <c r="K33" s="204"/>
      <c r="L33" s="204"/>
      <c r="M33" s="203"/>
      <c r="N33" s="204"/>
      <c r="O33" s="203"/>
      <c r="P33" s="205"/>
      <c r="Q33" s="206"/>
      <c r="R33" s="203" t="n">
        <v>65</v>
      </c>
      <c r="S33" s="206" t="n">
        <v>12.5</v>
      </c>
      <c r="T33" s="207" t="n">
        <v>5.61</v>
      </c>
      <c r="U33" s="208" t="n">
        <f aca="false">SUM(H33:T33)</f>
        <v>83.11</v>
      </c>
      <c r="V33" s="209" t="s">
        <v>38</v>
      </c>
      <c r="W33" s="210" t="s">
        <v>26</v>
      </c>
      <c r="X33" s="89" t="s">
        <v>108</v>
      </c>
      <c r="Y33" s="164"/>
      <c r="Z33" s="49"/>
    </row>
    <row r="34" s="9" customFormat="true" ht="14.1" hidden="false" customHeight="true" outlineLevel="0" collapsed="false">
      <c r="A34" s="196" t="s">
        <v>26</v>
      </c>
      <c r="B34" s="197" t="s">
        <v>157</v>
      </c>
      <c r="C34" s="198"/>
      <c r="D34" s="199" t="n">
        <v>4084104</v>
      </c>
      <c r="E34" s="200" t="n">
        <v>45390</v>
      </c>
      <c r="F34" s="201" t="s">
        <v>28</v>
      </c>
      <c r="G34" s="202" t="n">
        <v>45390</v>
      </c>
      <c r="H34" s="203"/>
      <c r="I34" s="204"/>
      <c r="J34" s="204"/>
      <c r="K34" s="204"/>
      <c r="L34" s="204"/>
      <c r="M34" s="203"/>
      <c r="N34" s="204"/>
      <c r="O34" s="203"/>
      <c r="P34" s="205"/>
      <c r="Q34" s="206"/>
      <c r="R34" s="203" t="n">
        <v>188</v>
      </c>
      <c r="S34" s="206" t="n">
        <v>37.5</v>
      </c>
      <c r="T34" s="207" t="n">
        <v>16.92</v>
      </c>
      <c r="U34" s="208" t="n">
        <f aca="false">SUM(H34:T34)</f>
        <v>242.42</v>
      </c>
      <c r="V34" s="209" t="s">
        <v>38</v>
      </c>
      <c r="W34" s="210" t="s">
        <v>46</v>
      </c>
      <c r="X34" s="89" t="s">
        <v>108</v>
      </c>
      <c r="Y34" s="164"/>
      <c r="Z34" s="49"/>
    </row>
    <row r="35" s="9" customFormat="true" ht="14.1" hidden="false" customHeight="true" outlineLevel="0" collapsed="false">
      <c r="A35" s="196" t="s">
        <v>26</v>
      </c>
      <c r="B35" s="197" t="s">
        <v>238</v>
      </c>
      <c r="C35" s="198"/>
      <c r="D35" s="199" t="n">
        <v>4084111</v>
      </c>
      <c r="E35" s="200" t="n">
        <v>45390</v>
      </c>
      <c r="F35" s="201" t="s">
        <v>28</v>
      </c>
      <c r="G35" s="202" t="n">
        <v>45390</v>
      </c>
      <c r="H35" s="203"/>
      <c r="I35" s="204"/>
      <c r="J35" s="204"/>
      <c r="K35" s="204"/>
      <c r="L35" s="204"/>
      <c r="M35" s="203"/>
      <c r="N35" s="204"/>
      <c r="O35" s="203"/>
      <c r="P35" s="205"/>
      <c r="Q35" s="206"/>
      <c r="R35" s="203" t="n">
        <v>408</v>
      </c>
      <c r="S35" s="206" t="n">
        <v>87.5</v>
      </c>
      <c r="T35" s="207" t="n">
        <v>41.82</v>
      </c>
      <c r="U35" s="208" t="n">
        <f aca="false">SUM(H35:T35)</f>
        <v>537.32</v>
      </c>
      <c r="V35" s="209" t="s">
        <v>38</v>
      </c>
      <c r="W35" s="210" t="s">
        <v>26</v>
      </c>
      <c r="X35" s="211" t="s">
        <v>108</v>
      </c>
      <c r="Y35" s="164"/>
      <c r="Z35" s="49"/>
    </row>
    <row r="36" s="9" customFormat="true" ht="14.1" hidden="false" customHeight="true" outlineLevel="0" collapsed="false">
      <c r="A36" s="196" t="s">
        <v>26</v>
      </c>
      <c r="B36" s="197" t="s">
        <v>239</v>
      </c>
      <c r="C36" s="198"/>
      <c r="D36" s="199" t="n">
        <v>4094101</v>
      </c>
      <c r="E36" s="200" t="n">
        <v>45391</v>
      </c>
      <c r="F36" s="201" t="s">
        <v>28</v>
      </c>
      <c r="G36" s="202" t="n">
        <v>45391</v>
      </c>
      <c r="H36" s="203"/>
      <c r="I36" s="204"/>
      <c r="J36" s="204"/>
      <c r="K36" s="204"/>
      <c r="L36" s="204"/>
      <c r="M36" s="203"/>
      <c r="N36" s="204"/>
      <c r="O36" s="203"/>
      <c r="P36" s="205"/>
      <c r="Q36" s="206"/>
      <c r="R36" s="203" t="n">
        <v>245</v>
      </c>
      <c r="S36" s="206" t="n">
        <v>37.5</v>
      </c>
      <c r="T36" s="207" t="n">
        <v>22.97</v>
      </c>
      <c r="U36" s="208" t="n">
        <f aca="false">SUM(H36:T36)</f>
        <v>305.47</v>
      </c>
      <c r="V36" s="209" t="s">
        <v>38</v>
      </c>
      <c r="W36" s="210" t="s">
        <v>26</v>
      </c>
      <c r="X36" s="211" t="s">
        <v>108</v>
      </c>
      <c r="Y36" s="164"/>
      <c r="Z36" s="49"/>
    </row>
    <row r="37" s="9" customFormat="true" ht="14.1" hidden="false" customHeight="true" outlineLevel="0" collapsed="false">
      <c r="A37" s="196" t="s">
        <v>26</v>
      </c>
      <c r="B37" s="197" t="s">
        <v>240</v>
      </c>
      <c r="C37" s="198" t="s">
        <v>140</v>
      </c>
      <c r="D37" s="199" t="n">
        <v>4094108</v>
      </c>
      <c r="E37" s="200" t="n">
        <v>45391</v>
      </c>
      <c r="F37" s="201" t="s">
        <v>28</v>
      </c>
      <c r="G37" s="202" t="n">
        <v>45391</v>
      </c>
      <c r="H37" s="203"/>
      <c r="I37" s="204"/>
      <c r="J37" s="204"/>
      <c r="K37" s="204"/>
      <c r="L37" s="204"/>
      <c r="M37" s="203"/>
      <c r="N37" s="204"/>
      <c r="O37" s="203"/>
      <c r="P37" s="205"/>
      <c r="Q37" s="206"/>
      <c r="R37" s="203" t="n">
        <v>55</v>
      </c>
      <c r="S37" s="206" t="n">
        <v>12.5</v>
      </c>
      <c r="T37" s="207" t="n">
        <v>4.68</v>
      </c>
      <c r="U37" s="208" t="n">
        <f aca="false">SUM(H37:T37)</f>
        <v>72.18</v>
      </c>
      <c r="V37" s="209" t="s">
        <v>38</v>
      </c>
      <c r="W37" s="210" t="s">
        <v>26</v>
      </c>
      <c r="X37" s="89" t="s">
        <v>108</v>
      </c>
      <c r="Y37" s="164"/>
      <c r="Z37" s="49"/>
    </row>
    <row r="38" s="9" customFormat="true" ht="14.1" hidden="false" customHeight="true" outlineLevel="0" collapsed="false">
      <c r="A38" s="196" t="s">
        <v>26</v>
      </c>
      <c r="B38" s="197" t="s">
        <v>241</v>
      </c>
      <c r="C38" s="198"/>
      <c r="D38" s="199" t="n">
        <v>4114101</v>
      </c>
      <c r="E38" s="200" t="n">
        <v>45393</v>
      </c>
      <c r="F38" s="201" t="s">
        <v>28</v>
      </c>
      <c r="G38" s="202" t="n">
        <v>45393</v>
      </c>
      <c r="H38" s="203"/>
      <c r="I38" s="204"/>
      <c r="J38" s="204"/>
      <c r="K38" s="204"/>
      <c r="L38" s="204"/>
      <c r="M38" s="203"/>
      <c r="N38" s="204"/>
      <c r="O38" s="203"/>
      <c r="P38" s="205"/>
      <c r="Q38" s="206"/>
      <c r="R38" s="203" t="n">
        <v>130</v>
      </c>
      <c r="S38" s="206" t="n">
        <v>25</v>
      </c>
      <c r="T38" s="207" t="n">
        <v>12.35</v>
      </c>
      <c r="U38" s="208" t="n">
        <f aca="false">SUM(H38:T38)</f>
        <v>167.35</v>
      </c>
      <c r="V38" s="209" t="s">
        <v>38</v>
      </c>
      <c r="W38" s="210" t="s">
        <v>26</v>
      </c>
      <c r="X38" s="89" t="s">
        <v>108</v>
      </c>
      <c r="Y38" s="164"/>
      <c r="Z38" s="49"/>
    </row>
    <row r="39" s="9" customFormat="true" ht="14.1" hidden="false" customHeight="true" outlineLevel="0" collapsed="false">
      <c r="A39" s="196" t="s">
        <v>46</v>
      </c>
      <c r="B39" s="197" t="s">
        <v>151</v>
      </c>
      <c r="C39" s="198"/>
      <c r="D39" s="199" t="n">
        <v>4154052</v>
      </c>
      <c r="E39" s="200" t="n">
        <v>45397</v>
      </c>
      <c r="F39" s="201" t="s">
        <v>13</v>
      </c>
      <c r="G39" s="202" t="n">
        <v>45397</v>
      </c>
      <c r="H39" s="203"/>
      <c r="I39" s="204"/>
      <c r="J39" s="204"/>
      <c r="K39" s="204"/>
      <c r="L39" s="204"/>
      <c r="M39" s="203" t="n">
        <v>150</v>
      </c>
      <c r="N39" s="204"/>
      <c r="O39" s="203"/>
      <c r="P39" s="205"/>
      <c r="Q39" s="206"/>
      <c r="R39" s="203"/>
      <c r="S39" s="206"/>
      <c r="T39" s="207"/>
      <c r="U39" s="208" t="n">
        <f aca="false">SUM(H39:T39)</f>
        <v>150</v>
      </c>
      <c r="V39" s="209" t="s">
        <v>96</v>
      </c>
      <c r="W39" s="210" t="s">
        <v>99</v>
      </c>
      <c r="X39" s="89" t="s">
        <v>108</v>
      </c>
      <c r="Y39" s="164"/>
      <c r="Z39" s="49"/>
    </row>
    <row r="40" s="9" customFormat="true" ht="14.1" hidden="false" customHeight="true" outlineLevel="0" collapsed="false">
      <c r="A40" s="196" t="s">
        <v>26</v>
      </c>
      <c r="B40" s="197" t="s">
        <v>242</v>
      </c>
      <c r="C40" s="198"/>
      <c r="D40" s="199" t="n">
        <v>4154103</v>
      </c>
      <c r="E40" s="200" t="n">
        <v>45397</v>
      </c>
      <c r="F40" s="201" t="s">
        <v>28</v>
      </c>
      <c r="G40" s="202" t="n">
        <v>45397</v>
      </c>
      <c r="H40" s="203"/>
      <c r="I40" s="204"/>
      <c r="J40" s="204"/>
      <c r="K40" s="204"/>
      <c r="L40" s="204"/>
      <c r="M40" s="203"/>
      <c r="N40" s="204"/>
      <c r="O40" s="203"/>
      <c r="P40" s="205"/>
      <c r="Q40" s="206"/>
      <c r="R40" s="203" t="n">
        <v>78</v>
      </c>
      <c r="S40" s="206" t="n">
        <v>12.5</v>
      </c>
      <c r="T40" s="207" t="n">
        <v>7.22</v>
      </c>
      <c r="U40" s="208" t="n">
        <f aca="false">SUM(H40:T40)</f>
        <v>97.72</v>
      </c>
      <c r="V40" s="209" t="s">
        <v>38</v>
      </c>
      <c r="W40" s="210" t="s">
        <v>46</v>
      </c>
      <c r="X40" s="89" t="s">
        <v>108</v>
      </c>
      <c r="Y40" s="164"/>
      <c r="Z40" s="49"/>
    </row>
    <row r="41" s="9" customFormat="true" ht="14.1" hidden="false" customHeight="true" outlineLevel="0" collapsed="false">
      <c r="A41" s="196" t="s">
        <v>26</v>
      </c>
      <c r="B41" s="197" t="s">
        <v>243</v>
      </c>
      <c r="C41" s="198"/>
      <c r="D41" s="199" t="n">
        <v>4154106</v>
      </c>
      <c r="E41" s="200" t="n">
        <v>45397</v>
      </c>
      <c r="F41" s="201" t="s">
        <v>28</v>
      </c>
      <c r="G41" s="202" t="n">
        <v>45397</v>
      </c>
      <c r="H41" s="203"/>
      <c r="I41" s="204"/>
      <c r="J41" s="204"/>
      <c r="K41" s="204"/>
      <c r="L41" s="204"/>
      <c r="M41" s="203"/>
      <c r="N41" s="204"/>
      <c r="O41" s="203"/>
      <c r="P41" s="205"/>
      <c r="Q41" s="206"/>
      <c r="R41" s="203" t="n">
        <v>65</v>
      </c>
      <c r="S41" s="206" t="n">
        <v>12.5</v>
      </c>
      <c r="T41" s="207" t="n">
        <v>5.61</v>
      </c>
      <c r="U41" s="208" t="n">
        <f aca="false">SUM(H41:T41)</f>
        <v>83.11</v>
      </c>
      <c r="V41" s="209" t="s">
        <v>38</v>
      </c>
      <c r="W41" s="210" t="s">
        <v>26</v>
      </c>
      <c r="X41" s="89" t="s">
        <v>108</v>
      </c>
      <c r="Y41" s="164"/>
      <c r="Z41" s="49"/>
    </row>
    <row r="42" s="9" customFormat="true" ht="14.1" hidden="false" customHeight="true" outlineLevel="0" collapsed="false">
      <c r="A42" s="196" t="s">
        <v>26</v>
      </c>
      <c r="B42" s="197" t="s">
        <v>227</v>
      </c>
      <c r="C42" s="198"/>
      <c r="D42" s="199" t="n">
        <v>4154104</v>
      </c>
      <c r="E42" s="200" t="n">
        <v>45397</v>
      </c>
      <c r="F42" s="201" t="s">
        <v>28</v>
      </c>
      <c r="G42" s="202" t="n">
        <v>45397</v>
      </c>
      <c r="H42" s="203"/>
      <c r="I42" s="204"/>
      <c r="J42" s="204"/>
      <c r="K42" s="204"/>
      <c r="L42" s="204"/>
      <c r="M42" s="203"/>
      <c r="N42" s="204"/>
      <c r="O42" s="203"/>
      <c r="P42" s="205"/>
      <c r="Q42" s="206"/>
      <c r="R42" s="203" t="n">
        <v>105</v>
      </c>
      <c r="S42" s="206" t="n">
        <v>12.5</v>
      </c>
      <c r="T42" s="207" t="n">
        <v>9.71</v>
      </c>
      <c r="U42" s="208" t="n">
        <f aca="false">SUM(H42:T42)</f>
        <v>127.21</v>
      </c>
      <c r="V42" s="209" t="s">
        <v>38</v>
      </c>
      <c r="W42" s="210" t="s">
        <v>46</v>
      </c>
      <c r="X42" s="89" t="s">
        <v>108</v>
      </c>
      <c r="Y42" s="164"/>
      <c r="Z42" s="49"/>
    </row>
    <row r="43" s="9" customFormat="true" ht="14.1" hidden="false" customHeight="true" outlineLevel="0" collapsed="false">
      <c r="A43" s="196" t="s">
        <v>26</v>
      </c>
      <c r="B43" s="197" t="s">
        <v>244</v>
      </c>
      <c r="C43" s="198"/>
      <c r="D43" s="199" t="n">
        <v>4194102</v>
      </c>
      <c r="E43" s="200" t="n">
        <v>45401</v>
      </c>
      <c r="F43" s="201" t="s">
        <v>28</v>
      </c>
      <c r="G43" s="202" t="n">
        <v>45401</v>
      </c>
      <c r="H43" s="203"/>
      <c r="I43" s="204"/>
      <c r="J43" s="204"/>
      <c r="K43" s="204"/>
      <c r="L43" s="204"/>
      <c r="M43" s="203"/>
      <c r="N43" s="204"/>
      <c r="O43" s="203"/>
      <c r="P43" s="205"/>
      <c r="Q43" s="206"/>
      <c r="R43" s="203" t="n">
        <v>117</v>
      </c>
      <c r="S43" s="206"/>
      <c r="T43" s="207" t="n">
        <v>10.09</v>
      </c>
      <c r="U43" s="208" t="n">
        <f aca="false">SUM(H43:T43)</f>
        <v>127.09</v>
      </c>
      <c r="V43" s="209" t="s">
        <v>43</v>
      </c>
      <c r="W43" s="210" t="s">
        <v>99</v>
      </c>
      <c r="X43" s="89" t="s">
        <v>108</v>
      </c>
      <c r="Y43" s="164"/>
      <c r="Z43" s="49"/>
    </row>
    <row r="44" s="9" customFormat="true" ht="14.1" hidden="false" customHeight="true" outlineLevel="0" collapsed="false">
      <c r="A44" s="196" t="s">
        <v>26</v>
      </c>
      <c r="B44" s="197" t="s">
        <v>139</v>
      </c>
      <c r="C44" s="198" t="s">
        <v>245</v>
      </c>
      <c r="D44" s="199" t="n">
        <v>4224105</v>
      </c>
      <c r="E44" s="200" t="n">
        <v>45404</v>
      </c>
      <c r="F44" s="201" t="s">
        <v>28</v>
      </c>
      <c r="G44" s="202" t="n">
        <v>45404</v>
      </c>
      <c r="H44" s="203"/>
      <c r="I44" s="204"/>
      <c r="J44" s="204"/>
      <c r="K44" s="204"/>
      <c r="L44" s="204"/>
      <c r="M44" s="203"/>
      <c r="N44" s="204"/>
      <c r="O44" s="203"/>
      <c r="P44" s="205"/>
      <c r="Q44" s="206"/>
      <c r="R44" s="203" t="n">
        <v>597</v>
      </c>
      <c r="S44" s="206" t="n">
        <v>112.5</v>
      </c>
      <c r="T44" s="207" t="n">
        <v>51.49</v>
      </c>
      <c r="U44" s="208" t="n">
        <f aca="false">SUM(H44:T44)</f>
        <v>760.99</v>
      </c>
      <c r="V44" s="209" t="s">
        <v>38</v>
      </c>
      <c r="W44" s="210" t="s">
        <v>26</v>
      </c>
      <c r="X44" s="89" t="s">
        <v>108</v>
      </c>
      <c r="Y44" s="164"/>
      <c r="Z44" s="49"/>
    </row>
    <row r="45" s="9" customFormat="true" ht="14.1" hidden="false" customHeight="true" outlineLevel="0" collapsed="false">
      <c r="A45" s="196" t="s">
        <v>26</v>
      </c>
      <c r="B45" s="197" t="s">
        <v>139</v>
      </c>
      <c r="C45" s="198" t="s">
        <v>246</v>
      </c>
      <c r="D45" s="199" t="n">
        <v>4224106</v>
      </c>
      <c r="E45" s="200" t="n">
        <v>45404</v>
      </c>
      <c r="F45" s="201" t="s">
        <v>28</v>
      </c>
      <c r="G45" s="202" t="n">
        <v>45404</v>
      </c>
      <c r="H45" s="203"/>
      <c r="I45" s="204"/>
      <c r="J45" s="204"/>
      <c r="K45" s="204"/>
      <c r="L45" s="204"/>
      <c r="M45" s="203"/>
      <c r="N45" s="204"/>
      <c r="O45" s="203"/>
      <c r="P45" s="205"/>
      <c r="Q45" s="206"/>
      <c r="R45" s="203" t="n">
        <v>175</v>
      </c>
      <c r="S45" s="206" t="n">
        <v>37.5</v>
      </c>
      <c r="T45" s="207" t="n">
        <v>15.09</v>
      </c>
      <c r="U45" s="208" t="n">
        <f aca="false">SUM(H45:T45)</f>
        <v>227.59</v>
      </c>
      <c r="V45" s="209" t="s">
        <v>38</v>
      </c>
      <c r="W45" s="210" t="s">
        <v>26</v>
      </c>
      <c r="X45" s="89" t="s">
        <v>108</v>
      </c>
      <c r="Y45" s="164"/>
      <c r="Z45" s="49"/>
    </row>
    <row r="46" s="9" customFormat="true" ht="14.1" hidden="false" customHeight="true" outlineLevel="0" collapsed="false">
      <c r="A46" s="196" t="s">
        <v>26</v>
      </c>
      <c r="B46" s="197" t="s">
        <v>247</v>
      </c>
      <c r="C46" s="198"/>
      <c r="D46" s="199" t="n">
        <v>4244102</v>
      </c>
      <c r="E46" s="200" t="n">
        <v>45406</v>
      </c>
      <c r="F46" s="201" t="s">
        <v>28</v>
      </c>
      <c r="G46" s="202" t="n">
        <v>45406</v>
      </c>
      <c r="H46" s="203"/>
      <c r="I46" s="204"/>
      <c r="J46" s="204"/>
      <c r="K46" s="204"/>
      <c r="L46" s="204"/>
      <c r="M46" s="203"/>
      <c r="N46" s="204"/>
      <c r="O46" s="203"/>
      <c r="P46" s="205"/>
      <c r="Q46" s="206"/>
      <c r="R46" s="203" t="n">
        <v>45</v>
      </c>
      <c r="S46" s="206"/>
      <c r="T46" s="207" t="n">
        <v>4.28</v>
      </c>
      <c r="U46" s="208" t="n">
        <f aca="false">SUM(H46:T46)</f>
        <v>49.28</v>
      </c>
      <c r="V46" s="209" t="s">
        <v>38</v>
      </c>
      <c r="W46" s="210" t="s">
        <v>26</v>
      </c>
      <c r="X46" s="89" t="s">
        <v>108</v>
      </c>
      <c r="Y46" s="164"/>
      <c r="Z46" s="49"/>
    </row>
    <row r="47" s="9" customFormat="true" ht="14.1" hidden="false" customHeight="true" outlineLevel="0" collapsed="false">
      <c r="A47" s="196" t="s">
        <v>26</v>
      </c>
      <c r="B47" s="197" t="s">
        <v>248</v>
      </c>
      <c r="C47" s="198"/>
      <c r="D47" s="199" t="n">
        <v>4254102</v>
      </c>
      <c r="E47" s="200" t="n">
        <v>45407</v>
      </c>
      <c r="F47" s="201" t="s">
        <v>28</v>
      </c>
      <c r="G47" s="202" t="n">
        <v>45407</v>
      </c>
      <c r="H47" s="203"/>
      <c r="I47" s="204"/>
      <c r="J47" s="204"/>
      <c r="K47" s="204"/>
      <c r="L47" s="204"/>
      <c r="M47" s="203"/>
      <c r="N47" s="204"/>
      <c r="O47" s="203"/>
      <c r="P47" s="205"/>
      <c r="Q47" s="206"/>
      <c r="R47" s="203" t="n">
        <v>195</v>
      </c>
      <c r="S47" s="206" t="n">
        <v>37.5</v>
      </c>
      <c r="T47" s="207" t="n">
        <v>17.55</v>
      </c>
      <c r="U47" s="208" t="n">
        <f aca="false">SUM(H47:T47)</f>
        <v>250.05</v>
      </c>
      <c r="V47" s="209" t="s">
        <v>38</v>
      </c>
      <c r="W47" s="210" t="s">
        <v>26</v>
      </c>
      <c r="X47" s="89" t="s">
        <v>108</v>
      </c>
      <c r="Y47" s="164"/>
      <c r="Z47" s="49"/>
    </row>
    <row r="48" s="9" customFormat="true" ht="14.1" hidden="false" customHeight="true" outlineLevel="0" collapsed="false">
      <c r="A48" s="196" t="s">
        <v>26</v>
      </c>
      <c r="B48" s="197" t="s">
        <v>218</v>
      </c>
      <c r="C48" s="198" t="s">
        <v>219</v>
      </c>
      <c r="D48" s="199" t="n">
        <v>4254104</v>
      </c>
      <c r="E48" s="200" t="n">
        <v>45407</v>
      </c>
      <c r="F48" s="201" t="s">
        <v>28</v>
      </c>
      <c r="G48" s="202" t="n">
        <v>45407</v>
      </c>
      <c r="H48" s="203"/>
      <c r="I48" s="204"/>
      <c r="J48" s="204"/>
      <c r="K48" s="204"/>
      <c r="L48" s="204"/>
      <c r="M48" s="203"/>
      <c r="N48" s="204"/>
      <c r="O48" s="203"/>
      <c r="P48" s="205"/>
      <c r="Q48" s="206"/>
      <c r="R48" s="203" t="n">
        <v>110</v>
      </c>
      <c r="S48" s="206" t="n">
        <v>25</v>
      </c>
      <c r="T48" s="207" t="n">
        <v>9.21</v>
      </c>
      <c r="U48" s="208" t="n">
        <f aca="false">SUM(H48:T48)</f>
        <v>144.21</v>
      </c>
      <c r="V48" s="209" t="s">
        <v>38</v>
      </c>
      <c r="W48" s="210" t="s">
        <v>26</v>
      </c>
      <c r="X48" s="89" t="s">
        <v>108</v>
      </c>
      <c r="Y48" s="164"/>
      <c r="Z48" s="49"/>
    </row>
    <row r="49" s="9" customFormat="true" ht="14.1" hidden="false" customHeight="true" outlineLevel="0" collapsed="false">
      <c r="A49" s="196" t="s">
        <v>26</v>
      </c>
      <c r="B49" s="197" t="s">
        <v>249</v>
      </c>
      <c r="C49" s="198"/>
      <c r="D49" s="199" t="n">
        <v>4264102</v>
      </c>
      <c r="E49" s="200" t="n">
        <v>45408</v>
      </c>
      <c r="F49" s="201" t="s">
        <v>28</v>
      </c>
      <c r="G49" s="202" t="n">
        <v>45408</v>
      </c>
      <c r="H49" s="203"/>
      <c r="I49" s="204"/>
      <c r="J49" s="204"/>
      <c r="K49" s="204"/>
      <c r="L49" s="204"/>
      <c r="M49" s="203"/>
      <c r="N49" s="204"/>
      <c r="O49" s="203"/>
      <c r="P49" s="205"/>
      <c r="Q49" s="206"/>
      <c r="R49" s="203" t="n">
        <v>680</v>
      </c>
      <c r="S49" s="206"/>
      <c r="T49" s="207"/>
      <c r="U49" s="208" t="n">
        <f aca="false">SUM(H49:T49)</f>
        <v>680</v>
      </c>
      <c r="V49" s="209" t="s">
        <v>30</v>
      </c>
      <c r="W49" s="210" t="s">
        <v>83</v>
      </c>
      <c r="X49" s="89" t="s">
        <v>108</v>
      </c>
      <c r="Y49" s="164"/>
      <c r="Z49" s="49"/>
    </row>
    <row r="50" s="9" customFormat="true" ht="14.1" hidden="false" customHeight="true" outlineLevel="0" collapsed="false">
      <c r="A50" s="196" t="s">
        <v>26</v>
      </c>
      <c r="B50" s="197" t="s">
        <v>221</v>
      </c>
      <c r="C50" s="198"/>
      <c r="D50" s="199" t="n">
        <v>4294103</v>
      </c>
      <c r="E50" s="200" t="n">
        <v>45411</v>
      </c>
      <c r="F50" s="201" t="s">
        <v>28</v>
      </c>
      <c r="G50" s="202" t="n">
        <v>45411</v>
      </c>
      <c r="H50" s="203"/>
      <c r="I50" s="204"/>
      <c r="J50" s="204"/>
      <c r="K50" s="204"/>
      <c r="L50" s="204"/>
      <c r="M50" s="203"/>
      <c r="N50" s="204"/>
      <c r="O50" s="203"/>
      <c r="P50" s="205"/>
      <c r="Q50" s="206"/>
      <c r="R50" s="203" t="n">
        <v>120</v>
      </c>
      <c r="S50" s="206" t="n">
        <v>25</v>
      </c>
      <c r="T50" s="207" t="n">
        <v>12.3</v>
      </c>
      <c r="U50" s="208" t="n">
        <f aca="false">SUM(H50:T50)</f>
        <v>157.3</v>
      </c>
      <c r="V50" s="209" t="s">
        <v>38</v>
      </c>
      <c r="W50" s="210" t="s">
        <v>92</v>
      </c>
      <c r="X50" s="89" t="s">
        <v>108</v>
      </c>
      <c r="Y50" s="164"/>
      <c r="Z50" s="49"/>
    </row>
    <row r="51" s="9" customFormat="true" ht="14.1" hidden="false" customHeight="true" outlineLevel="0" collapsed="false">
      <c r="A51" s="165"/>
      <c r="B51" s="166"/>
      <c r="C51" s="167"/>
      <c r="D51" s="167"/>
      <c r="E51" s="168"/>
      <c r="F51" s="169"/>
      <c r="G51" s="170"/>
      <c r="H51" s="171"/>
      <c r="I51" s="171"/>
      <c r="J51" s="172"/>
      <c r="K51" s="172"/>
      <c r="L51" s="172"/>
      <c r="M51" s="171"/>
      <c r="N51" s="171"/>
      <c r="O51" s="171"/>
      <c r="P51" s="105"/>
      <c r="Q51" s="173"/>
      <c r="R51" s="171"/>
      <c r="S51" s="173"/>
      <c r="T51" s="174"/>
      <c r="U51" s="175"/>
      <c r="V51" s="176"/>
      <c r="W51" s="27"/>
      <c r="X51" s="27"/>
      <c r="Y51" s="212" t="n">
        <f aca="false">SUM(U31:U50)</f>
        <v>4756.08</v>
      </c>
      <c r="Z51" s="178" t="n">
        <f aca="false">Y51/V53</f>
        <v>0.443420545987326</v>
      </c>
      <c r="AA51" s="49"/>
    </row>
    <row r="52" s="9" customFormat="true" ht="19.5" hidden="false" customHeight="true" outlineLevel="0" collapsed="false">
      <c r="A52" s="91"/>
      <c r="B52" s="92" t="s">
        <v>21</v>
      </c>
      <c r="C52" s="93"/>
      <c r="D52" s="94"/>
      <c r="E52" s="95"/>
      <c r="F52" s="93"/>
      <c r="G52" s="96"/>
      <c r="H52" s="97" t="n">
        <f aca="false">SUM(H4:H50)</f>
        <v>0</v>
      </c>
      <c r="I52" s="97" t="n">
        <f aca="false">SUM(I4:I50)</f>
        <v>0</v>
      </c>
      <c r="J52" s="97" t="n">
        <f aca="false">SUM(J4:J50)</f>
        <v>0</v>
      </c>
      <c r="K52" s="98" t="n">
        <f aca="false">SUM(K4:K50)</f>
        <v>0</v>
      </c>
      <c r="L52" s="99" t="n">
        <f aca="false">SUM(L4:L50)</f>
        <v>0</v>
      </c>
      <c r="M52" s="213" t="n">
        <f aca="false">SUM(M4:N50)</f>
        <v>150</v>
      </c>
      <c r="N52" s="214"/>
      <c r="O52" s="101" t="n">
        <f aca="false">SUM(O4:O50)</f>
        <v>380</v>
      </c>
      <c r="P52" s="101" t="n">
        <f aca="false">SUM(P4:P50)</f>
        <v>270</v>
      </c>
      <c r="Q52" s="101" t="n">
        <f aca="false">SUM(Q4:Q50)</f>
        <v>180</v>
      </c>
      <c r="R52" s="102" t="n">
        <f aca="false">SUM(R4:R50)</f>
        <v>7723</v>
      </c>
      <c r="S52" s="102" t="n">
        <f aca="false">SUM(S4:S50)</f>
        <v>1355</v>
      </c>
      <c r="T52" s="103" t="n">
        <f aca="false">SUM(T4:T50)</f>
        <v>667.89</v>
      </c>
      <c r="U52" s="104" t="n">
        <f aca="false">SUM(U4:U50)</f>
        <v>10725.89</v>
      </c>
      <c r="V52" s="105"/>
      <c r="W52" s="215"/>
      <c r="X52" s="215"/>
      <c r="Y52" s="216"/>
    </row>
    <row r="53" s="9" customFormat="true" ht="14.1" hidden="false" customHeight="true" outlineLevel="0" collapsed="false">
      <c r="A53" s="2"/>
      <c r="B53" s="2"/>
      <c r="C53" s="3"/>
      <c r="D53" s="3"/>
      <c r="E53" s="4"/>
      <c r="F53" s="3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8"/>
      <c r="V53" s="217" t="n">
        <f aca="false">SUM(H52:T52)</f>
        <v>10725.89</v>
      </c>
      <c r="Y53" s="218"/>
      <c r="Z53" s="11"/>
    </row>
    <row r="54" s="9" customFormat="true" ht="14.1" hidden="false" customHeight="true" outlineLevel="0" collapsed="false">
      <c r="A54" s="2"/>
      <c r="B54" s="2"/>
      <c r="C54" s="3"/>
      <c r="D54" s="3"/>
      <c r="E54" s="4"/>
      <c r="F54" s="3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8"/>
      <c r="V54" s="2"/>
      <c r="Y54" s="218"/>
      <c r="Z54" s="11"/>
    </row>
    <row r="55" s="9" customFormat="true" ht="14.1" hidden="false" customHeight="true" outlineLevel="0" collapsed="false">
      <c r="A55" s="2"/>
      <c r="B55" s="2"/>
      <c r="C55" s="3"/>
      <c r="D55" s="3"/>
      <c r="E55" s="4"/>
      <c r="F55" s="3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8"/>
      <c r="V55" s="2"/>
      <c r="Y55" s="218"/>
      <c r="Z55" s="11"/>
    </row>
    <row r="56" s="9" customFormat="true" ht="14.1" hidden="false" customHeight="true" outlineLevel="0" collapsed="false">
      <c r="A56" s="2"/>
      <c r="B56" s="2"/>
      <c r="C56" s="3"/>
      <c r="D56" s="3"/>
      <c r="E56" s="4"/>
      <c r="F56" s="3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8"/>
      <c r="V56" s="2"/>
      <c r="Y56" s="218"/>
      <c r="Z56" s="11"/>
    </row>
    <row r="57" s="9" customFormat="true" ht="14.1" hidden="false" customHeight="true" outlineLevel="0" collapsed="false">
      <c r="A57" s="2"/>
      <c r="B57" s="2"/>
      <c r="C57" s="3"/>
      <c r="D57" s="3"/>
      <c r="E57" s="4"/>
      <c r="F57" s="3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8"/>
      <c r="V57" s="2"/>
      <c r="Y57" s="218"/>
      <c r="Z57" s="11"/>
    </row>
    <row r="58" s="9" customFormat="true" ht="14.1" hidden="false" customHeight="true" outlineLevel="0" collapsed="false">
      <c r="A58" s="2"/>
      <c r="B58" s="2"/>
      <c r="C58" s="3"/>
      <c r="D58" s="3"/>
      <c r="E58" s="4"/>
      <c r="F58" s="3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  <c r="U58" s="8"/>
      <c r="V58" s="2"/>
      <c r="Y58" s="218"/>
      <c r="Z58" s="11"/>
    </row>
    <row r="59" s="9" customFormat="true" ht="14.1" hidden="false" customHeight="true" outlineLevel="0" collapsed="false">
      <c r="A59" s="2"/>
      <c r="B59" s="2"/>
      <c r="C59" s="3"/>
      <c r="D59" s="3"/>
      <c r="E59" s="4"/>
      <c r="F59" s="3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7"/>
      <c r="U59" s="8"/>
      <c r="V59" s="2"/>
      <c r="Y59" s="218"/>
      <c r="Z59" s="11"/>
    </row>
    <row r="60" s="9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  <c r="U60" s="8"/>
      <c r="V60" s="2"/>
      <c r="Y60" s="218"/>
      <c r="Z60" s="11"/>
    </row>
    <row r="61" s="9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  <c r="U61" s="8"/>
      <c r="V61" s="2"/>
      <c r="Y61" s="218"/>
      <c r="Z61" s="11"/>
    </row>
    <row r="62" s="9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8"/>
      <c r="V62" s="2"/>
      <c r="Y62" s="218"/>
      <c r="Z62" s="11"/>
    </row>
    <row r="63" s="9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  <c r="U63" s="8"/>
      <c r="V63" s="2"/>
      <c r="Y63" s="218"/>
      <c r="Z63" s="11"/>
    </row>
    <row r="64" s="9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  <c r="U64" s="8"/>
      <c r="V64" s="2"/>
      <c r="Y64" s="218"/>
      <c r="Z64" s="11"/>
    </row>
    <row r="65" s="9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  <c r="U65" s="8"/>
      <c r="V65" s="2"/>
      <c r="Y65" s="218"/>
      <c r="Z65" s="11"/>
    </row>
    <row r="66" s="9" customFormat="true" ht="14.1" hidden="false" customHeight="true" outlineLevel="0" collapsed="false">
      <c r="A66" s="2"/>
      <c r="B66" s="2"/>
      <c r="C66" s="3"/>
      <c r="D66" s="3"/>
      <c r="E66" s="4"/>
      <c r="F66" s="3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  <c r="U66" s="8"/>
      <c r="V66" s="2"/>
      <c r="Y66" s="218"/>
      <c r="Z66" s="11"/>
    </row>
    <row r="67" s="9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"/>
      <c r="U67" s="8"/>
      <c r="V67" s="2"/>
      <c r="Y67" s="218"/>
      <c r="Z67" s="11"/>
    </row>
    <row r="68" s="9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  <c r="U68" s="8"/>
      <c r="V68" s="2"/>
      <c r="Y68" s="218"/>
      <c r="Z68" s="11"/>
    </row>
    <row r="69" s="9" customFormat="true" ht="14.1" hidden="false" customHeight="true" outlineLevel="0" collapsed="false">
      <c r="A69" s="2"/>
      <c r="B69" s="2"/>
      <c r="C69" s="3"/>
      <c r="D69" s="3"/>
      <c r="E69" s="4"/>
      <c r="F69" s="3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  <c r="U69" s="8"/>
      <c r="V69" s="2"/>
      <c r="Y69" s="218"/>
      <c r="Z69" s="11"/>
    </row>
    <row r="70" s="9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8"/>
      <c r="V70" s="2"/>
      <c r="Y70" s="218"/>
      <c r="Z70" s="11"/>
    </row>
    <row r="71" s="9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  <c r="U71" s="8"/>
      <c r="V71" s="2"/>
      <c r="Y71" s="218"/>
      <c r="Z71" s="11"/>
    </row>
    <row r="72" s="9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  <c r="U72" s="8"/>
      <c r="V72" s="2"/>
      <c r="Y72" s="218"/>
      <c r="Z72" s="11"/>
    </row>
    <row r="73" s="9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7"/>
      <c r="U73" s="8"/>
      <c r="V73" s="2"/>
      <c r="Y73" s="218"/>
      <c r="Z73" s="11"/>
    </row>
    <row r="74" s="9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  <c r="U74" s="8"/>
      <c r="V74" s="2"/>
      <c r="Y74" s="218"/>
      <c r="Z74" s="11"/>
    </row>
    <row r="75" s="9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7"/>
      <c r="U75" s="8"/>
      <c r="V75" s="2"/>
      <c r="Y75" s="218"/>
      <c r="Z75" s="11"/>
    </row>
    <row r="76" s="9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  <c r="U76" s="8"/>
      <c r="V76" s="2"/>
      <c r="Y76" s="218"/>
      <c r="Z76" s="11"/>
    </row>
    <row r="77" s="9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7"/>
      <c r="U77" s="8"/>
      <c r="V77" s="2"/>
      <c r="Y77" s="218"/>
      <c r="Z77" s="11"/>
    </row>
    <row r="78" s="9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  <c r="U78" s="8"/>
      <c r="V78" s="2"/>
      <c r="Y78" s="218"/>
      <c r="Z78" s="11"/>
    </row>
    <row r="79" s="9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7"/>
      <c r="U79" s="8"/>
      <c r="V79" s="2"/>
      <c r="Y79" s="218"/>
      <c r="Z79" s="11"/>
    </row>
    <row r="80" s="9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  <c r="U80" s="8"/>
      <c r="V80" s="2"/>
      <c r="Y80" s="218"/>
      <c r="Z80" s="11"/>
    </row>
    <row r="81" s="9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7"/>
      <c r="U81" s="8"/>
      <c r="V81" s="2"/>
      <c r="Y81" s="218"/>
      <c r="Z81" s="11"/>
    </row>
    <row r="82" s="9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7"/>
      <c r="U82" s="8"/>
      <c r="V82" s="2"/>
      <c r="Y82" s="218"/>
      <c r="Z82" s="11"/>
    </row>
    <row r="83" s="9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7"/>
      <c r="U83" s="8"/>
      <c r="V83" s="2"/>
      <c r="Y83" s="218"/>
      <c r="Z83" s="11"/>
    </row>
    <row r="84" s="9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  <c r="U84" s="8"/>
      <c r="V84" s="2"/>
      <c r="Y84" s="218"/>
      <c r="Z84" s="11"/>
    </row>
    <row r="85" s="9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  <c r="U85" s="8"/>
      <c r="V85" s="2"/>
      <c r="Y85" s="218"/>
      <c r="Z85" s="11"/>
    </row>
    <row r="86" s="9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  <c r="U86" s="8"/>
      <c r="V86" s="2"/>
      <c r="Y86" s="218"/>
      <c r="Z86" s="11"/>
    </row>
    <row r="87" s="9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7"/>
      <c r="U87" s="8"/>
      <c r="V87" s="2"/>
      <c r="Y87" s="218"/>
      <c r="Z87" s="11"/>
    </row>
    <row r="88" s="9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  <c r="U88" s="8"/>
      <c r="V88" s="2"/>
      <c r="Y88" s="218"/>
      <c r="Z88" s="11"/>
    </row>
    <row r="89" s="9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"/>
      <c r="U89" s="8"/>
      <c r="V89" s="2"/>
      <c r="Y89" s="218"/>
      <c r="Z89" s="11"/>
    </row>
    <row r="90" s="9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  <c r="U90" s="8"/>
      <c r="V90" s="2"/>
      <c r="Y90" s="218"/>
      <c r="Z90" s="11"/>
    </row>
    <row r="91" s="9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  <c r="U91" s="8"/>
      <c r="V91" s="2"/>
      <c r="Y91" s="218"/>
      <c r="Z91" s="11"/>
    </row>
    <row r="92" s="9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8"/>
      <c r="V92" s="2"/>
      <c r="Y92" s="218"/>
      <c r="Z92" s="11"/>
    </row>
    <row r="93" s="9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  <c r="U93" s="8"/>
      <c r="V93" s="2"/>
      <c r="Y93" s="218"/>
      <c r="Z93" s="11"/>
    </row>
    <row r="94" s="9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8"/>
      <c r="V94" s="2"/>
      <c r="Y94" s="218"/>
      <c r="Z94" s="11"/>
    </row>
    <row r="95" s="9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7"/>
      <c r="U95" s="8"/>
      <c r="V95" s="2"/>
      <c r="Y95" s="218"/>
      <c r="Z95" s="11"/>
    </row>
    <row r="96" s="9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  <c r="U96" s="8"/>
      <c r="V96" s="2"/>
      <c r="Y96" s="218"/>
      <c r="Z96" s="11"/>
    </row>
    <row r="97" s="9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7"/>
      <c r="U97" s="8"/>
      <c r="V97" s="2"/>
      <c r="Y97" s="218"/>
      <c r="Z97" s="11"/>
    </row>
    <row r="98" s="9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  <c r="U98" s="8"/>
      <c r="V98" s="2"/>
      <c r="Y98" s="218"/>
      <c r="Z98" s="11"/>
    </row>
    <row r="99" s="9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7"/>
      <c r="U99" s="8"/>
      <c r="V99" s="2"/>
      <c r="Y99" s="218"/>
      <c r="Z99" s="11"/>
    </row>
    <row r="100" s="9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8"/>
      <c r="V100" s="2"/>
      <c r="Y100" s="218"/>
      <c r="Z100" s="11"/>
    </row>
    <row r="101" s="9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8"/>
      <c r="V101" s="2"/>
      <c r="Y101" s="218"/>
      <c r="Z101" s="11"/>
    </row>
    <row r="102" s="9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8"/>
      <c r="V102" s="2"/>
      <c r="Y102" s="218"/>
      <c r="Z102" s="11"/>
    </row>
    <row r="103" s="9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8"/>
      <c r="V103" s="2"/>
      <c r="Y103" s="218"/>
      <c r="Z103" s="11"/>
    </row>
    <row r="104" s="9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8"/>
      <c r="V104" s="2"/>
      <c r="Y104" s="218"/>
      <c r="Z104" s="11"/>
    </row>
    <row r="105" s="9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8"/>
      <c r="V105" s="2"/>
      <c r="Y105" s="218"/>
      <c r="Z105" s="11"/>
    </row>
    <row r="106" s="9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8"/>
      <c r="V106" s="2"/>
      <c r="Y106" s="218"/>
      <c r="Z106" s="11"/>
    </row>
    <row r="107" s="9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8"/>
      <c r="V107" s="2"/>
      <c r="Y107" s="218"/>
      <c r="Z107" s="11"/>
    </row>
    <row r="108" s="9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8"/>
      <c r="V108" s="2"/>
      <c r="Y108" s="218"/>
      <c r="Z108" s="11"/>
    </row>
    <row r="109" s="9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8"/>
      <c r="V109" s="2"/>
      <c r="Y109" s="218"/>
      <c r="Z109" s="11"/>
    </row>
    <row r="110" s="9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8"/>
      <c r="V110" s="2"/>
      <c r="Y110" s="218"/>
      <c r="Z110" s="11"/>
    </row>
    <row r="111" s="9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8"/>
      <c r="V111" s="2"/>
      <c r="Y111" s="218"/>
      <c r="Z111" s="11"/>
    </row>
    <row r="112" s="9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8"/>
      <c r="V112" s="2"/>
      <c r="Y112" s="218"/>
      <c r="Z112" s="11"/>
    </row>
    <row r="113" s="9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8"/>
      <c r="V113" s="2"/>
      <c r="Y113" s="218"/>
      <c r="Z113" s="11"/>
    </row>
    <row r="114" s="9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8"/>
      <c r="V114" s="2"/>
      <c r="Y114" s="218"/>
      <c r="Z114" s="11"/>
    </row>
    <row r="115" s="9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8"/>
      <c r="V115" s="2"/>
      <c r="Y115" s="218"/>
      <c r="Z115" s="11"/>
    </row>
    <row r="116" s="9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8"/>
      <c r="V116" s="2"/>
      <c r="Y116" s="218"/>
      <c r="Z116" s="11"/>
    </row>
    <row r="117" s="9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8"/>
      <c r="V117" s="2"/>
      <c r="Y117" s="218"/>
      <c r="Z117" s="11"/>
    </row>
    <row r="118" s="9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8"/>
      <c r="V118" s="2"/>
      <c r="Y118" s="218"/>
      <c r="Z118" s="11"/>
    </row>
    <row r="119" s="9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8"/>
      <c r="V119" s="2"/>
      <c r="Y119" s="218"/>
      <c r="Z119" s="11"/>
    </row>
    <row r="120" s="9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8"/>
      <c r="V120" s="2"/>
      <c r="Y120" s="218"/>
      <c r="Z120" s="11"/>
    </row>
    <row r="121" s="9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8"/>
      <c r="V121" s="2"/>
      <c r="Y121" s="218"/>
      <c r="Z121" s="11"/>
    </row>
    <row r="122" s="9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8"/>
      <c r="V122" s="2"/>
      <c r="Y122" s="218"/>
      <c r="Z122" s="11"/>
    </row>
    <row r="123" s="9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8"/>
      <c r="V123" s="2"/>
      <c r="Y123" s="218"/>
      <c r="Z123" s="11"/>
    </row>
    <row r="124" s="9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8"/>
      <c r="V124" s="2"/>
      <c r="Y124" s="218"/>
      <c r="Z124" s="11"/>
    </row>
    <row r="125" s="9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8"/>
      <c r="V125" s="2"/>
      <c r="Y125" s="218"/>
      <c r="Z125" s="11"/>
    </row>
    <row r="126" s="9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8"/>
      <c r="V126" s="2"/>
      <c r="Y126" s="218"/>
      <c r="Z126" s="11"/>
    </row>
    <row r="127" s="9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8"/>
      <c r="V127" s="2"/>
      <c r="Y127" s="218"/>
      <c r="Z127" s="11"/>
    </row>
    <row r="128" s="9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8"/>
      <c r="V128" s="2"/>
      <c r="Y128" s="218"/>
      <c r="Z128" s="11"/>
    </row>
    <row r="129" s="9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8"/>
      <c r="V129" s="2"/>
      <c r="Y129" s="218"/>
      <c r="Z129" s="11"/>
    </row>
    <row r="130" s="9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8"/>
      <c r="V130" s="2"/>
      <c r="Y130" s="218"/>
      <c r="Z130" s="11"/>
    </row>
    <row r="131" s="9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8"/>
      <c r="V131" s="2"/>
      <c r="Y131" s="218"/>
      <c r="Z131" s="11"/>
    </row>
    <row r="132" s="9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8"/>
      <c r="V132" s="2"/>
      <c r="Y132" s="218"/>
      <c r="Z132" s="11"/>
    </row>
    <row r="133" s="9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8"/>
      <c r="V133" s="2"/>
      <c r="Y133" s="218"/>
      <c r="Z133" s="11"/>
    </row>
    <row r="134" s="9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8"/>
      <c r="V134" s="2"/>
      <c r="Y134" s="218"/>
      <c r="Z134" s="11"/>
    </row>
    <row r="135" s="9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8"/>
      <c r="V135" s="2"/>
      <c r="Y135" s="218"/>
      <c r="Z135" s="11"/>
    </row>
    <row r="136" s="9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8"/>
      <c r="V136" s="2"/>
      <c r="Y136" s="218"/>
      <c r="Z136" s="11"/>
    </row>
    <row r="137" s="9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8"/>
      <c r="V137" s="2"/>
      <c r="Y137" s="218"/>
      <c r="Z137" s="11"/>
    </row>
    <row r="138" s="9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8"/>
      <c r="V138" s="2"/>
      <c r="Y138" s="218"/>
      <c r="Z138" s="11"/>
    </row>
    <row r="139" s="9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8"/>
      <c r="V139" s="2"/>
      <c r="Y139" s="218"/>
      <c r="Z139" s="11"/>
    </row>
    <row r="140" s="9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8"/>
      <c r="V140" s="2"/>
      <c r="Y140" s="218"/>
      <c r="Z140" s="11"/>
    </row>
    <row r="141" s="9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8"/>
      <c r="V141" s="2"/>
      <c r="Y141" s="218"/>
      <c r="Z141" s="11"/>
    </row>
    <row r="142" s="9" customFormat="true" ht="14.1" hidden="false" customHeight="true" outlineLevel="0" collapsed="false">
      <c r="A142" s="2"/>
      <c r="B142" s="2"/>
      <c r="C142" s="219"/>
      <c r="D142" s="3"/>
      <c r="E142" s="4"/>
      <c r="F142" s="3"/>
      <c r="G142" s="5"/>
      <c r="H142" s="6"/>
      <c r="I142" s="6"/>
      <c r="J142" s="6"/>
      <c r="K142" s="220"/>
      <c r="L142" s="6"/>
      <c r="M142" s="6"/>
      <c r="N142" s="6"/>
      <c r="O142" s="6"/>
      <c r="P142" s="6"/>
      <c r="Q142" s="6"/>
      <c r="R142" s="6"/>
      <c r="S142" s="7"/>
      <c r="T142" s="7"/>
      <c r="V142" s="221"/>
      <c r="W142" s="222"/>
      <c r="X142" s="222"/>
      <c r="Y142" s="223"/>
      <c r="Z142" s="2"/>
    </row>
    <row r="143" s="226" customFormat="true" ht="26.25" hidden="false" customHeight="true" outlineLevel="0" collapsed="false">
      <c r="A143" s="224"/>
      <c r="B143" s="225"/>
      <c r="C143" s="225"/>
      <c r="D143" s="9"/>
      <c r="E143" s="9"/>
      <c r="F143" s="218"/>
      <c r="G143" s="9"/>
      <c r="H143" s="220"/>
      <c r="I143" s="220"/>
      <c r="J143" s="220"/>
      <c r="K143" s="6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116"/>
      <c r="W143" s="10"/>
      <c r="X143" s="10"/>
      <c r="Y143" s="3"/>
      <c r="Z143" s="2"/>
    </row>
    <row r="144" customFormat="false" ht="15" hidden="false" customHeight="true" outlineLevel="0" collapsed="false">
      <c r="V144" s="227"/>
      <c r="W144" s="2"/>
      <c r="X144" s="2"/>
    </row>
    <row r="152" s="2" customFormat="true" ht="9.75" hidden="false" customHeight="true" outlineLevel="0" collapsed="false">
      <c r="F152" s="3"/>
    </row>
    <row r="153" s="2" customFormat="true" ht="10.5" hidden="false" customHeight="true" outlineLevel="0" collapsed="false">
      <c r="F153" s="113"/>
    </row>
    <row r="154" s="2" customFormat="true" ht="9.75" hidden="false" customHeight="true" outlineLevel="0" collapsed="false">
      <c r="F154" s="3"/>
    </row>
    <row r="167" s="2" customFormat="true" ht="9.75" hidden="false" customHeight="true" outlineLevel="0" collapsed="false">
      <c r="J167" s="4"/>
    </row>
  </sheetData>
  <printOptions headings="false" gridLines="false" gridLinesSet="true" horizontalCentered="false" verticalCentered="false"/>
  <pageMargins left="0.179861111111111" right="0.129861111111111" top="0.209722222222222" bottom="0.1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6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12" activePane="bottomLeft" state="frozen"/>
      <selection pane="topLeft" activeCell="A1" activeCellId="0" sqref="A1"/>
      <selection pane="bottomLeft" activeCell="AB33" activeCellId="0" sqref="AB33"/>
    </sheetView>
  </sheetViews>
  <sheetFormatPr defaultColWidth="6.8671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12" width="9.14"/>
    <col collapsed="false" customWidth="true" hidden="false" outlineLevel="0" max="5" min="5" style="4" width="5.01"/>
    <col collapsed="false" customWidth="true" hidden="false" outlineLevel="0" max="6" min="6" style="113" width="10.29"/>
    <col collapsed="false" customWidth="true" hidden="false" outlineLevel="0" max="7" min="7" style="114" width="5.57"/>
    <col collapsed="false" customWidth="true" hidden="false" outlineLevel="0" max="8" min="8" style="6" width="9.29"/>
    <col collapsed="false" customWidth="true" hidden="false" outlineLevel="0" max="9" min="9" style="6" width="5.14"/>
    <col collapsed="false" customWidth="true" hidden="false" outlineLevel="0" max="10" min="10" style="6" width="5.57"/>
    <col collapsed="false" customWidth="true" hidden="false" outlineLevel="0" max="11" min="11" style="6" width="7"/>
    <col collapsed="false" customWidth="true" hidden="false" outlineLevel="0" max="12" min="12" style="6" width="7.15"/>
    <col collapsed="false" customWidth="true" hidden="false" outlineLevel="0" max="13" min="13" style="6" width="6.15"/>
    <col collapsed="false" customWidth="true" hidden="false" outlineLevel="0" max="14" min="14" style="6" width="5.43"/>
    <col collapsed="false" customWidth="true" hidden="false" outlineLevel="0" max="15" min="15" style="6" width="6.28"/>
    <col collapsed="false" customWidth="true" hidden="false" outlineLevel="0" max="16" min="16" style="6" width="6.71"/>
    <col collapsed="false" customWidth="true" hidden="false" outlineLevel="0" max="17" min="17" style="7" width="5.7"/>
    <col collapsed="false" customWidth="true" hidden="false" outlineLevel="0" max="18" min="18" style="2" width="7"/>
    <col collapsed="false" customWidth="true" hidden="false" outlineLevel="0" max="19" min="19" style="9" width="7"/>
    <col collapsed="false" customWidth="true" hidden="false" outlineLevel="0" max="20" min="20" style="115" width="6.28"/>
    <col collapsed="false" customWidth="true" hidden="false" outlineLevel="0" max="21" min="21" style="116" width="9.14"/>
    <col collapsed="false" customWidth="true" hidden="false" outlineLevel="0" max="22" min="22" style="10" width="9"/>
    <col collapsed="false" customWidth="true" hidden="false" outlineLevel="0" max="23" min="23" style="9" width="6.71"/>
    <col collapsed="false" customWidth="true" hidden="false" outlineLevel="0" max="24" min="24" style="9" width="3.57"/>
    <col collapsed="false" customWidth="true" hidden="false" outlineLevel="0" max="25" min="25" style="3" width="8.86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17"/>
      <c r="B1" s="118" t="n">
        <v>45440</v>
      </c>
      <c r="C1" s="119"/>
      <c r="D1" s="120"/>
      <c r="E1" s="121" t="s">
        <v>190</v>
      </c>
      <c r="F1" s="122"/>
      <c r="G1" s="122"/>
      <c r="H1" s="123" t="s">
        <v>191</v>
      </c>
      <c r="I1" s="124"/>
      <c r="K1" s="125" t="s">
        <v>192</v>
      </c>
      <c r="L1" s="125"/>
      <c r="M1" s="126"/>
      <c r="N1" s="125"/>
      <c r="O1" s="127" t="s">
        <v>193</v>
      </c>
      <c r="P1" s="128"/>
      <c r="Q1" s="129"/>
      <c r="R1" s="130"/>
      <c r="S1" s="131"/>
      <c r="T1" s="132"/>
      <c r="U1" s="133"/>
      <c r="V1" s="134"/>
      <c r="W1" s="10"/>
      <c r="X1" s="10"/>
    </row>
    <row r="2" s="9" customFormat="true" ht="12.75" hidden="false" customHeight="true" outlineLevel="0" collapsed="false">
      <c r="A2" s="27" t="s">
        <v>194</v>
      </c>
      <c r="B2" s="135" t="s">
        <v>1</v>
      </c>
      <c r="C2" s="135"/>
      <c r="D2" s="136" t="s">
        <v>3</v>
      </c>
      <c r="E2" s="137" t="s">
        <v>195</v>
      </c>
      <c r="F2" s="138" t="s">
        <v>5</v>
      </c>
      <c r="G2" s="139" t="s">
        <v>196</v>
      </c>
      <c r="H2" s="140" t="s">
        <v>197</v>
      </c>
      <c r="I2" s="140" t="s">
        <v>198</v>
      </c>
      <c r="J2" s="140" t="s">
        <v>199</v>
      </c>
      <c r="K2" s="140" t="s">
        <v>200</v>
      </c>
      <c r="L2" s="106" t="s">
        <v>12</v>
      </c>
      <c r="M2" s="141" t="s">
        <v>201</v>
      </c>
      <c r="N2" s="106" t="s">
        <v>202</v>
      </c>
      <c r="O2" s="140" t="s">
        <v>203</v>
      </c>
      <c r="P2" s="140" t="s">
        <v>204</v>
      </c>
      <c r="Q2" s="106" t="s">
        <v>205</v>
      </c>
      <c r="R2" s="140" t="s">
        <v>206</v>
      </c>
      <c r="S2" s="140" t="s">
        <v>19</v>
      </c>
      <c r="T2" s="142" t="s">
        <v>20</v>
      </c>
      <c r="U2" s="135" t="s">
        <v>21</v>
      </c>
      <c r="V2" s="116"/>
      <c r="W2" s="143"/>
      <c r="X2" s="143"/>
      <c r="Y2" s="144"/>
      <c r="Z2" s="2"/>
    </row>
    <row r="3" customFormat="false" ht="4.5" hidden="false" customHeight="true" outlineLevel="0" collapsed="false">
      <c r="D3" s="2"/>
      <c r="F3" s="3"/>
      <c r="G3" s="5"/>
      <c r="I3" s="145"/>
      <c r="M3" s="85"/>
      <c r="Q3" s="6"/>
      <c r="R3" s="6"/>
      <c r="S3" s="6"/>
      <c r="T3" s="7"/>
      <c r="U3" s="8"/>
      <c r="V3" s="88"/>
      <c r="W3" s="146"/>
      <c r="X3" s="146"/>
      <c r="Y3" s="147"/>
      <c r="Z3" s="148"/>
    </row>
    <row r="4" s="9" customFormat="true" ht="14.1" hidden="false" customHeight="true" outlineLevel="0" collapsed="false">
      <c r="A4" s="149" t="s">
        <v>40</v>
      </c>
      <c r="B4" s="150" t="s">
        <v>221</v>
      </c>
      <c r="C4" s="151"/>
      <c r="D4" s="152" t="n">
        <v>1184071</v>
      </c>
      <c r="E4" s="153" t="n">
        <v>45309</v>
      </c>
      <c r="F4" s="154" t="s">
        <v>222</v>
      </c>
      <c r="G4" s="155" t="n">
        <v>45309</v>
      </c>
      <c r="H4" s="156"/>
      <c r="I4" s="157"/>
      <c r="J4" s="157"/>
      <c r="K4" s="157"/>
      <c r="L4" s="157"/>
      <c r="M4" s="156"/>
      <c r="N4" s="157"/>
      <c r="O4" s="156" t="n">
        <v>380</v>
      </c>
      <c r="P4" s="158" t="n">
        <v>90</v>
      </c>
      <c r="Q4" s="159" t="n">
        <v>90</v>
      </c>
      <c r="R4" s="156"/>
      <c r="S4" s="159"/>
      <c r="T4" s="160" t="n">
        <v>38.95</v>
      </c>
      <c r="U4" s="161" t="n">
        <f aca="false">SUM(H4:T4)</f>
        <v>598.95</v>
      </c>
      <c r="V4" s="162" t="s">
        <v>43</v>
      </c>
      <c r="W4" s="163" t="s">
        <v>40</v>
      </c>
      <c r="X4" s="89" t="s">
        <v>108</v>
      </c>
      <c r="Y4" s="164"/>
      <c r="Z4" s="49"/>
    </row>
    <row r="5" s="9" customFormat="true" ht="14.1" hidden="false" customHeight="true" outlineLevel="0" collapsed="false">
      <c r="A5" s="149" t="s">
        <v>26</v>
      </c>
      <c r="B5" s="150" t="s">
        <v>221</v>
      </c>
      <c r="C5" s="151"/>
      <c r="D5" s="152" t="n">
        <v>2164101</v>
      </c>
      <c r="E5" s="153" t="n">
        <v>45338</v>
      </c>
      <c r="F5" s="154" t="s">
        <v>28</v>
      </c>
      <c r="G5" s="155" t="n">
        <v>45338</v>
      </c>
      <c r="H5" s="156"/>
      <c r="I5" s="157"/>
      <c r="J5" s="157"/>
      <c r="K5" s="157"/>
      <c r="L5" s="157"/>
      <c r="M5" s="156"/>
      <c r="N5" s="157"/>
      <c r="O5" s="156"/>
      <c r="P5" s="158"/>
      <c r="Q5" s="159"/>
      <c r="R5" s="156" t="n">
        <v>165</v>
      </c>
      <c r="S5" s="159" t="n">
        <v>37.5</v>
      </c>
      <c r="T5" s="160" t="n">
        <v>16.91</v>
      </c>
      <c r="U5" s="161" t="n">
        <f aca="false">SUM(H5:T5)</f>
        <v>219.41</v>
      </c>
      <c r="V5" s="162" t="s">
        <v>38</v>
      </c>
      <c r="W5" s="163" t="s">
        <v>26</v>
      </c>
      <c r="X5" s="89" t="s">
        <v>108</v>
      </c>
      <c r="Y5" s="164"/>
      <c r="Z5" s="49"/>
    </row>
    <row r="6" s="9" customFormat="true" ht="14.1" hidden="false" customHeight="true" outlineLevel="0" collapsed="false">
      <c r="A6" s="179" t="s">
        <v>26</v>
      </c>
      <c r="B6" s="180" t="s">
        <v>221</v>
      </c>
      <c r="C6" s="181"/>
      <c r="D6" s="182" t="n">
        <v>3254102</v>
      </c>
      <c r="E6" s="183" t="n">
        <v>45376</v>
      </c>
      <c r="F6" s="184" t="s">
        <v>28</v>
      </c>
      <c r="G6" s="185" t="n">
        <v>45376</v>
      </c>
      <c r="H6" s="186"/>
      <c r="I6" s="187"/>
      <c r="J6" s="187"/>
      <c r="K6" s="187"/>
      <c r="L6" s="187"/>
      <c r="M6" s="186"/>
      <c r="N6" s="187"/>
      <c r="O6" s="186"/>
      <c r="P6" s="188"/>
      <c r="Q6" s="189"/>
      <c r="R6" s="186" t="n">
        <v>143</v>
      </c>
      <c r="S6" s="189" t="n">
        <v>25</v>
      </c>
      <c r="T6" s="190" t="n">
        <v>14.66</v>
      </c>
      <c r="U6" s="191" t="n">
        <f aca="false">SUM(H6:T6)</f>
        <v>182.66</v>
      </c>
      <c r="V6" s="192" t="s">
        <v>38</v>
      </c>
      <c r="W6" s="193" t="s">
        <v>46</v>
      </c>
      <c r="X6" s="89" t="s">
        <v>108</v>
      </c>
      <c r="Y6" s="164"/>
      <c r="Z6" s="49"/>
    </row>
    <row r="7" s="9" customFormat="true" ht="14.1" hidden="false" customHeight="true" outlineLevel="0" collapsed="false">
      <c r="A7" s="196" t="s">
        <v>26</v>
      </c>
      <c r="B7" s="197" t="s">
        <v>221</v>
      </c>
      <c r="C7" s="198"/>
      <c r="D7" s="199" t="n">
        <v>4294103</v>
      </c>
      <c r="E7" s="200" t="n">
        <v>45411</v>
      </c>
      <c r="F7" s="201" t="s">
        <v>28</v>
      </c>
      <c r="G7" s="202" t="n">
        <v>45411</v>
      </c>
      <c r="H7" s="203"/>
      <c r="I7" s="204"/>
      <c r="J7" s="204"/>
      <c r="K7" s="204"/>
      <c r="L7" s="204"/>
      <c r="M7" s="203"/>
      <c r="N7" s="204"/>
      <c r="O7" s="203"/>
      <c r="P7" s="205"/>
      <c r="Q7" s="206"/>
      <c r="R7" s="203" t="n">
        <v>120</v>
      </c>
      <c r="S7" s="206" t="n">
        <v>25</v>
      </c>
      <c r="T7" s="207" t="n">
        <v>12.3</v>
      </c>
      <c r="U7" s="208" t="n">
        <f aca="false">SUM(H7:T7)</f>
        <v>157.3</v>
      </c>
      <c r="V7" s="209" t="s">
        <v>38</v>
      </c>
      <c r="W7" s="210" t="s">
        <v>92</v>
      </c>
      <c r="X7" s="89" t="s">
        <v>108</v>
      </c>
      <c r="Y7" s="164"/>
      <c r="Z7" s="49"/>
    </row>
    <row r="8" s="9" customFormat="true" ht="14.1" hidden="false" customHeight="true" outlineLevel="0" collapsed="false">
      <c r="A8" s="196" t="s">
        <v>26</v>
      </c>
      <c r="B8" s="197" t="s">
        <v>235</v>
      </c>
      <c r="C8" s="198"/>
      <c r="D8" s="199" t="n">
        <v>3274101</v>
      </c>
      <c r="E8" s="200" t="n">
        <v>45378</v>
      </c>
      <c r="F8" s="201" t="s">
        <v>28</v>
      </c>
      <c r="G8" s="202" t="n">
        <v>45383</v>
      </c>
      <c r="H8" s="203"/>
      <c r="I8" s="204"/>
      <c r="J8" s="204"/>
      <c r="K8" s="204"/>
      <c r="L8" s="204"/>
      <c r="M8" s="203"/>
      <c r="N8" s="204"/>
      <c r="O8" s="203"/>
      <c r="P8" s="205"/>
      <c r="Q8" s="206"/>
      <c r="R8" s="203" t="n">
        <v>329</v>
      </c>
      <c r="S8" s="206"/>
      <c r="T8" s="207" t="n">
        <v>30.43</v>
      </c>
      <c r="U8" s="208" t="n">
        <f aca="false">SUM(H8:T8)</f>
        <v>359.43</v>
      </c>
      <c r="V8" s="209" t="s">
        <v>30</v>
      </c>
      <c r="W8" s="210" t="s">
        <v>107</v>
      </c>
      <c r="X8" s="89" t="s">
        <v>108</v>
      </c>
      <c r="Y8" s="164"/>
      <c r="Z8" s="49"/>
    </row>
    <row r="9" s="9" customFormat="true" ht="14.1" hidden="false" customHeight="true" outlineLevel="0" collapsed="false">
      <c r="A9" s="179" t="s">
        <v>26</v>
      </c>
      <c r="B9" s="180" t="s">
        <v>234</v>
      </c>
      <c r="C9" s="181"/>
      <c r="D9" s="182" t="n">
        <v>3224101</v>
      </c>
      <c r="E9" s="183" t="n">
        <v>45373</v>
      </c>
      <c r="F9" s="184" t="s">
        <v>28</v>
      </c>
      <c r="G9" s="185" t="n">
        <v>45373</v>
      </c>
      <c r="H9" s="186"/>
      <c r="I9" s="187"/>
      <c r="J9" s="187"/>
      <c r="K9" s="187"/>
      <c r="L9" s="187"/>
      <c r="M9" s="186"/>
      <c r="N9" s="187"/>
      <c r="O9" s="186"/>
      <c r="P9" s="188"/>
      <c r="Q9" s="189"/>
      <c r="R9" s="186" t="n">
        <v>175</v>
      </c>
      <c r="S9" s="189" t="n">
        <v>37.5</v>
      </c>
      <c r="T9" s="190" t="n">
        <v>16.19</v>
      </c>
      <c r="U9" s="191" t="n">
        <f aca="false">SUM(H9:T9)</f>
        <v>228.69</v>
      </c>
      <c r="V9" s="192" t="s">
        <v>38</v>
      </c>
      <c r="W9" s="193" t="s">
        <v>26</v>
      </c>
      <c r="X9" s="89" t="s">
        <v>108</v>
      </c>
      <c r="Y9" s="164"/>
      <c r="Z9" s="49"/>
    </row>
    <row r="10" s="9" customFormat="true" ht="14.1" hidden="false" customHeight="true" outlineLevel="0" collapsed="false">
      <c r="A10" s="149" t="s">
        <v>26</v>
      </c>
      <c r="B10" s="150" t="s">
        <v>217</v>
      </c>
      <c r="C10" s="151"/>
      <c r="D10" s="152" t="n">
        <v>11143102</v>
      </c>
      <c r="E10" s="153" t="n">
        <v>45244</v>
      </c>
      <c r="F10" s="154" t="s">
        <v>28</v>
      </c>
      <c r="G10" s="155" t="n">
        <v>45247</v>
      </c>
      <c r="H10" s="156"/>
      <c r="I10" s="157"/>
      <c r="J10" s="157"/>
      <c r="K10" s="157"/>
      <c r="L10" s="157"/>
      <c r="M10" s="156"/>
      <c r="N10" s="157"/>
      <c r="O10" s="156"/>
      <c r="P10" s="158"/>
      <c r="Q10" s="159"/>
      <c r="R10" s="156" t="n">
        <v>900</v>
      </c>
      <c r="S10" s="159" t="n">
        <v>250</v>
      </c>
      <c r="T10" s="160" t="n">
        <v>83.25</v>
      </c>
      <c r="U10" s="161" t="n">
        <f aca="false">SUM(H10:T10)</f>
        <v>1233.25</v>
      </c>
      <c r="V10" s="162" t="s">
        <v>43</v>
      </c>
      <c r="W10" s="163" t="s">
        <v>214</v>
      </c>
      <c r="X10" s="89" t="s">
        <v>108</v>
      </c>
      <c r="Y10" s="164"/>
      <c r="Z10" s="49"/>
    </row>
    <row r="11" s="9" customFormat="true" ht="14.1" hidden="false" customHeight="true" outlineLevel="0" collapsed="false">
      <c r="A11" s="196" t="s">
        <v>26</v>
      </c>
      <c r="B11" s="197" t="s">
        <v>139</v>
      </c>
      <c r="C11" s="198" t="s">
        <v>245</v>
      </c>
      <c r="D11" s="199" t="n">
        <v>4224105</v>
      </c>
      <c r="E11" s="200" t="n">
        <v>45404</v>
      </c>
      <c r="F11" s="201" t="s">
        <v>28</v>
      </c>
      <c r="G11" s="202" t="n">
        <v>45404</v>
      </c>
      <c r="H11" s="203"/>
      <c r="I11" s="204"/>
      <c r="J11" s="204"/>
      <c r="K11" s="204"/>
      <c r="L11" s="204"/>
      <c r="M11" s="203"/>
      <c r="N11" s="204"/>
      <c r="O11" s="203"/>
      <c r="P11" s="205"/>
      <c r="Q11" s="206"/>
      <c r="R11" s="203" t="n">
        <v>597</v>
      </c>
      <c r="S11" s="206" t="n">
        <v>112.5</v>
      </c>
      <c r="T11" s="207" t="n">
        <v>51.49</v>
      </c>
      <c r="U11" s="208" t="n">
        <f aca="false">SUM(H11:T11)</f>
        <v>760.99</v>
      </c>
      <c r="V11" s="209" t="s">
        <v>38</v>
      </c>
      <c r="W11" s="210" t="s">
        <v>26</v>
      </c>
      <c r="X11" s="89" t="s">
        <v>108</v>
      </c>
      <c r="Y11" s="164"/>
      <c r="Z11" s="49"/>
    </row>
    <row r="12" s="9" customFormat="true" ht="14.1" hidden="false" customHeight="true" outlineLevel="0" collapsed="false">
      <c r="A12" s="196" t="s">
        <v>26</v>
      </c>
      <c r="B12" s="197" t="s">
        <v>139</v>
      </c>
      <c r="C12" s="198" t="s">
        <v>246</v>
      </c>
      <c r="D12" s="199" t="n">
        <v>4224106</v>
      </c>
      <c r="E12" s="200" t="n">
        <v>45404</v>
      </c>
      <c r="F12" s="201" t="s">
        <v>28</v>
      </c>
      <c r="G12" s="202" t="n">
        <v>45404</v>
      </c>
      <c r="H12" s="203"/>
      <c r="I12" s="204"/>
      <c r="J12" s="204"/>
      <c r="K12" s="204"/>
      <c r="L12" s="204"/>
      <c r="M12" s="203"/>
      <c r="N12" s="204"/>
      <c r="O12" s="203"/>
      <c r="P12" s="205"/>
      <c r="Q12" s="206"/>
      <c r="R12" s="203" t="n">
        <v>175</v>
      </c>
      <c r="S12" s="206" t="n">
        <v>37.5</v>
      </c>
      <c r="T12" s="207" t="n">
        <v>15.09</v>
      </c>
      <c r="U12" s="208" t="n">
        <f aca="false">SUM(H12:T12)</f>
        <v>227.59</v>
      </c>
      <c r="V12" s="209" t="s">
        <v>38</v>
      </c>
      <c r="W12" s="210" t="s">
        <v>26</v>
      </c>
      <c r="X12" s="89" t="s">
        <v>108</v>
      </c>
      <c r="Y12" s="164"/>
      <c r="Z12" s="49"/>
    </row>
    <row r="13" s="9" customFormat="true" ht="14.1" hidden="false" customHeight="true" outlineLevel="0" collapsed="false">
      <c r="A13" s="196" t="s">
        <v>26</v>
      </c>
      <c r="B13" s="197" t="s">
        <v>240</v>
      </c>
      <c r="C13" s="198" t="s">
        <v>140</v>
      </c>
      <c r="D13" s="199" t="n">
        <v>4094108</v>
      </c>
      <c r="E13" s="200" t="n">
        <v>45391</v>
      </c>
      <c r="F13" s="201" t="s">
        <v>28</v>
      </c>
      <c r="G13" s="202" t="n">
        <v>45391</v>
      </c>
      <c r="H13" s="203"/>
      <c r="I13" s="204"/>
      <c r="J13" s="204"/>
      <c r="K13" s="204"/>
      <c r="L13" s="204"/>
      <c r="M13" s="203"/>
      <c r="N13" s="204"/>
      <c r="O13" s="203"/>
      <c r="P13" s="205"/>
      <c r="Q13" s="206"/>
      <c r="R13" s="203" t="n">
        <v>55</v>
      </c>
      <c r="S13" s="206" t="n">
        <v>12.5</v>
      </c>
      <c r="T13" s="207" t="n">
        <v>4.68</v>
      </c>
      <c r="U13" s="208" t="n">
        <f aca="false">SUM(H13:T13)</f>
        <v>72.18</v>
      </c>
      <c r="V13" s="209" t="s">
        <v>38</v>
      </c>
      <c r="W13" s="210" t="s">
        <v>26</v>
      </c>
      <c r="X13" s="89" t="s">
        <v>108</v>
      </c>
      <c r="Y13" s="164"/>
      <c r="Z13" s="49"/>
    </row>
    <row r="14" s="9" customFormat="true" ht="14.1" hidden="false" customHeight="true" outlineLevel="0" collapsed="false">
      <c r="A14" s="196" t="s">
        <v>26</v>
      </c>
      <c r="B14" s="197" t="s">
        <v>157</v>
      </c>
      <c r="C14" s="198"/>
      <c r="D14" s="199" t="n">
        <v>4084104</v>
      </c>
      <c r="E14" s="200" t="n">
        <v>45390</v>
      </c>
      <c r="F14" s="201" t="s">
        <v>28</v>
      </c>
      <c r="G14" s="202" t="n">
        <v>45390</v>
      </c>
      <c r="H14" s="203"/>
      <c r="I14" s="204"/>
      <c r="J14" s="204"/>
      <c r="K14" s="204"/>
      <c r="L14" s="204"/>
      <c r="M14" s="203"/>
      <c r="N14" s="204"/>
      <c r="O14" s="203"/>
      <c r="P14" s="205"/>
      <c r="Q14" s="206"/>
      <c r="R14" s="203" t="n">
        <v>188</v>
      </c>
      <c r="S14" s="206" t="n">
        <v>37.5</v>
      </c>
      <c r="T14" s="207" t="n">
        <v>16.92</v>
      </c>
      <c r="U14" s="208" t="n">
        <f aca="false">SUM(H14:T14)</f>
        <v>242.42</v>
      </c>
      <c r="V14" s="209" t="s">
        <v>38</v>
      </c>
      <c r="W14" s="210" t="s">
        <v>46</v>
      </c>
      <c r="X14" s="89" t="s">
        <v>108</v>
      </c>
      <c r="Y14" s="164"/>
      <c r="Z14" s="49"/>
    </row>
    <row r="15" s="9" customFormat="true" ht="14.1" hidden="false" customHeight="true" outlineLevel="0" collapsed="false">
      <c r="A15" s="196" t="s">
        <v>26</v>
      </c>
      <c r="B15" s="197" t="s">
        <v>237</v>
      </c>
      <c r="C15" s="198"/>
      <c r="D15" s="199" t="n">
        <v>4034104</v>
      </c>
      <c r="E15" s="200" t="n">
        <v>45385</v>
      </c>
      <c r="F15" s="201" t="s">
        <v>28</v>
      </c>
      <c r="G15" s="202" t="n">
        <v>45385</v>
      </c>
      <c r="H15" s="203"/>
      <c r="I15" s="204"/>
      <c r="J15" s="204"/>
      <c r="K15" s="204"/>
      <c r="L15" s="204"/>
      <c r="M15" s="203"/>
      <c r="N15" s="204"/>
      <c r="O15" s="203"/>
      <c r="P15" s="205"/>
      <c r="Q15" s="206"/>
      <c r="R15" s="203" t="n">
        <v>65</v>
      </c>
      <c r="S15" s="206" t="n">
        <v>12.5</v>
      </c>
      <c r="T15" s="207" t="n">
        <v>5.61</v>
      </c>
      <c r="U15" s="208" t="n">
        <f aca="false">SUM(H15:T15)</f>
        <v>83.11</v>
      </c>
      <c r="V15" s="209" t="s">
        <v>38</v>
      </c>
      <c r="W15" s="210" t="s">
        <v>26</v>
      </c>
      <c r="X15" s="89" t="s">
        <v>108</v>
      </c>
      <c r="Y15" s="164"/>
      <c r="Z15" s="49"/>
    </row>
    <row r="16" s="9" customFormat="true" ht="14.1" hidden="false" customHeight="true" outlineLevel="0" collapsed="false">
      <c r="A16" s="228" t="s">
        <v>26</v>
      </c>
      <c r="B16" s="229" t="s">
        <v>249</v>
      </c>
      <c r="C16" s="230"/>
      <c r="D16" s="230" t="n">
        <v>4264102</v>
      </c>
      <c r="E16" s="231" t="n">
        <v>45408</v>
      </c>
      <c r="F16" s="232" t="s">
        <v>28</v>
      </c>
      <c r="G16" s="233" t="n">
        <v>45408</v>
      </c>
      <c r="H16" s="234"/>
      <c r="I16" s="234"/>
      <c r="J16" s="235"/>
      <c r="K16" s="235"/>
      <c r="L16" s="235"/>
      <c r="M16" s="234"/>
      <c r="N16" s="234"/>
      <c r="O16" s="234"/>
      <c r="P16" s="236"/>
      <c r="Q16" s="237"/>
      <c r="R16" s="234" t="n">
        <v>680</v>
      </c>
      <c r="S16" s="237"/>
      <c r="T16" s="238"/>
      <c r="U16" s="239" t="n">
        <f aca="false">SUM(H16:T16)</f>
        <v>680</v>
      </c>
      <c r="V16" s="240" t="s">
        <v>30</v>
      </c>
      <c r="W16" s="241" t="s">
        <v>83</v>
      </c>
      <c r="X16" s="27" t="s">
        <v>108</v>
      </c>
      <c r="Y16" s="242"/>
      <c r="Z16" s="49"/>
    </row>
    <row r="17" s="9" customFormat="true" ht="14.1" hidden="false" customHeight="true" outlineLevel="0" collapsed="false">
      <c r="A17" s="179" t="s">
        <v>26</v>
      </c>
      <c r="B17" s="180" t="s">
        <v>231</v>
      </c>
      <c r="C17" s="181"/>
      <c r="D17" s="182" t="n">
        <v>3184104</v>
      </c>
      <c r="E17" s="183" t="n">
        <v>45369</v>
      </c>
      <c r="F17" s="184" t="s">
        <v>28</v>
      </c>
      <c r="G17" s="185" t="n">
        <v>45369</v>
      </c>
      <c r="H17" s="186"/>
      <c r="I17" s="187"/>
      <c r="J17" s="187"/>
      <c r="K17" s="187"/>
      <c r="L17" s="187"/>
      <c r="M17" s="186"/>
      <c r="N17" s="187"/>
      <c r="O17" s="186"/>
      <c r="P17" s="188"/>
      <c r="Q17" s="189"/>
      <c r="R17" s="186" t="n">
        <v>78</v>
      </c>
      <c r="S17" s="189" t="n">
        <v>12.5</v>
      </c>
      <c r="T17" s="190" t="n">
        <v>6.73</v>
      </c>
      <c r="U17" s="191" t="n">
        <f aca="false">SUM(H17:T17)</f>
        <v>97.23</v>
      </c>
      <c r="V17" s="192" t="s">
        <v>38</v>
      </c>
      <c r="W17" s="193" t="s">
        <v>92</v>
      </c>
      <c r="X17" s="89" t="s">
        <v>108</v>
      </c>
      <c r="Y17" s="164"/>
      <c r="Z17" s="49"/>
    </row>
    <row r="18" s="9" customFormat="true" ht="14.1" hidden="false" customHeight="true" outlineLevel="0" collapsed="false">
      <c r="A18" s="196" t="s">
        <v>26</v>
      </c>
      <c r="B18" s="197" t="s">
        <v>239</v>
      </c>
      <c r="C18" s="198"/>
      <c r="D18" s="199" t="n">
        <v>4094101</v>
      </c>
      <c r="E18" s="200" t="n">
        <v>45391</v>
      </c>
      <c r="F18" s="201" t="s">
        <v>28</v>
      </c>
      <c r="G18" s="202" t="n">
        <v>45391</v>
      </c>
      <c r="H18" s="203"/>
      <c r="I18" s="204"/>
      <c r="J18" s="204"/>
      <c r="K18" s="204"/>
      <c r="L18" s="204"/>
      <c r="M18" s="203"/>
      <c r="N18" s="204"/>
      <c r="O18" s="203"/>
      <c r="P18" s="205"/>
      <c r="Q18" s="206"/>
      <c r="R18" s="203" t="n">
        <v>245</v>
      </c>
      <c r="S18" s="206" t="n">
        <v>37.5</v>
      </c>
      <c r="T18" s="207" t="n">
        <v>22.97</v>
      </c>
      <c r="U18" s="208" t="n">
        <f aca="false">SUM(H18:T18)</f>
        <v>305.47</v>
      </c>
      <c r="V18" s="209" t="s">
        <v>38</v>
      </c>
      <c r="W18" s="210" t="s">
        <v>26</v>
      </c>
      <c r="X18" s="211" t="s">
        <v>108</v>
      </c>
      <c r="Y18" s="164"/>
      <c r="Z18" s="49"/>
    </row>
    <row r="19" s="9" customFormat="true" ht="14.1" hidden="false" customHeight="true" outlineLevel="0" collapsed="false">
      <c r="A19" s="149" t="s">
        <v>26</v>
      </c>
      <c r="B19" s="150" t="s">
        <v>215</v>
      </c>
      <c r="C19" s="151"/>
      <c r="D19" s="152" t="n">
        <v>10243102</v>
      </c>
      <c r="E19" s="153" t="n">
        <v>45223</v>
      </c>
      <c r="F19" s="154" t="s">
        <v>28</v>
      </c>
      <c r="G19" s="155" t="n">
        <v>45223</v>
      </c>
      <c r="H19" s="156"/>
      <c r="I19" s="157"/>
      <c r="J19" s="157"/>
      <c r="K19" s="157"/>
      <c r="L19" s="157"/>
      <c r="M19" s="156"/>
      <c r="N19" s="157"/>
      <c r="O19" s="156"/>
      <c r="P19" s="158"/>
      <c r="Q19" s="159"/>
      <c r="R19" s="156" t="n">
        <v>110</v>
      </c>
      <c r="S19" s="159" t="n">
        <v>25</v>
      </c>
      <c r="T19" s="160" t="n">
        <v>9.08</v>
      </c>
      <c r="U19" s="161" t="n">
        <f aca="false">SUM(H19:T19)</f>
        <v>144.08</v>
      </c>
      <c r="V19" s="162" t="s">
        <v>38</v>
      </c>
      <c r="W19" s="163" t="s">
        <v>214</v>
      </c>
      <c r="X19" s="89" t="s">
        <v>108</v>
      </c>
      <c r="Y19" s="49"/>
    </row>
    <row r="20" s="9" customFormat="true" ht="14.1" hidden="false" customHeight="true" outlineLevel="0" collapsed="false">
      <c r="A20" s="149" t="s">
        <v>26</v>
      </c>
      <c r="B20" s="150" t="s">
        <v>223</v>
      </c>
      <c r="C20" s="151" t="s">
        <v>224</v>
      </c>
      <c r="D20" s="152" t="n">
        <v>2024101</v>
      </c>
      <c r="E20" s="153" t="n">
        <v>45324</v>
      </c>
      <c r="F20" s="154" t="s">
        <v>225</v>
      </c>
      <c r="G20" s="155" t="n">
        <v>45324</v>
      </c>
      <c r="H20" s="156"/>
      <c r="I20" s="157"/>
      <c r="J20" s="157"/>
      <c r="K20" s="157"/>
      <c r="L20" s="157"/>
      <c r="M20" s="156"/>
      <c r="N20" s="157"/>
      <c r="O20" s="156"/>
      <c r="P20" s="158" t="n">
        <v>180</v>
      </c>
      <c r="Q20" s="159" t="n">
        <v>90</v>
      </c>
      <c r="R20" s="156"/>
      <c r="S20" s="159"/>
      <c r="T20" s="160"/>
      <c r="U20" s="161" t="n">
        <f aca="false">SUM(H20:T20)</f>
        <v>270</v>
      </c>
      <c r="V20" s="162" t="s">
        <v>225</v>
      </c>
      <c r="W20" s="163" t="s">
        <v>210</v>
      </c>
      <c r="X20" s="89" t="s">
        <v>108</v>
      </c>
      <c r="Y20" s="164"/>
      <c r="Z20" s="49"/>
    </row>
    <row r="21" s="9" customFormat="true" ht="14.1" hidden="false" customHeight="true" outlineLevel="0" collapsed="false">
      <c r="A21" s="149" t="s">
        <v>26</v>
      </c>
      <c r="B21" s="150" t="s">
        <v>116</v>
      </c>
      <c r="C21" s="151"/>
      <c r="D21" s="152" t="n">
        <v>2154102</v>
      </c>
      <c r="E21" s="153" t="n">
        <v>45337</v>
      </c>
      <c r="F21" s="154" t="s">
        <v>28</v>
      </c>
      <c r="G21" s="155" t="n">
        <v>45338</v>
      </c>
      <c r="H21" s="156"/>
      <c r="I21" s="157"/>
      <c r="J21" s="157"/>
      <c r="K21" s="157"/>
      <c r="L21" s="157"/>
      <c r="M21" s="156"/>
      <c r="N21" s="157"/>
      <c r="O21" s="156"/>
      <c r="P21" s="158"/>
      <c r="Q21" s="159"/>
      <c r="R21" s="156" t="n">
        <v>65</v>
      </c>
      <c r="S21" s="159" t="n">
        <v>12.5</v>
      </c>
      <c r="T21" s="160" t="n">
        <v>5.53</v>
      </c>
      <c r="U21" s="161" t="n">
        <f aca="false">SUM(H21:T21)</f>
        <v>83.03</v>
      </c>
      <c r="V21" s="162" t="s">
        <v>38</v>
      </c>
      <c r="W21" s="163" t="s">
        <v>26</v>
      </c>
      <c r="X21" s="89" t="s">
        <v>108</v>
      </c>
      <c r="Y21" s="164"/>
      <c r="Z21" s="49"/>
    </row>
    <row r="22" s="9" customFormat="true" ht="14.1" hidden="false" customHeight="true" outlineLevel="0" collapsed="false">
      <c r="A22" s="243" t="s">
        <v>26</v>
      </c>
      <c r="B22" s="244" t="s">
        <v>208</v>
      </c>
      <c r="C22" s="245"/>
      <c r="D22" s="245" t="n">
        <v>7273103</v>
      </c>
      <c r="E22" s="246" t="n">
        <v>45134</v>
      </c>
      <c r="F22" s="247" t="s">
        <v>28</v>
      </c>
      <c r="G22" s="248" t="n">
        <v>45135</v>
      </c>
      <c r="H22" s="249"/>
      <c r="I22" s="249"/>
      <c r="J22" s="250"/>
      <c r="K22" s="250"/>
      <c r="L22" s="250"/>
      <c r="M22" s="249"/>
      <c r="N22" s="249"/>
      <c r="O22" s="249"/>
      <c r="P22" s="251"/>
      <c r="Q22" s="252"/>
      <c r="R22" s="249" t="n">
        <v>39</v>
      </c>
      <c r="S22" s="252" t="n">
        <v>12.5</v>
      </c>
      <c r="T22" s="253" t="n">
        <v>3.36</v>
      </c>
      <c r="U22" s="254" t="n">
        <f aca="false">SUM(H22:T22)</f>
        <v>54.86</v>
      </c>
      <c r="V22" s="255" t="s">
        <v>38</v>
      </c>
      <c r="W22" s="256" t="s">
        <v>92</v>
      </c>
      <c r="X22" s="27" t="s">
        <v>108</v>
      </c>
      <c r="Y22" s="242"/>
      <c r="Z22" s="49"/>
    </row>
    <row r="23" s="9" customFormat="true" ht="14.1" hidden="false" customHeight="true" outlineLevel="0" collapsed="false">
      <c r="A23" s="149" t="s">
        <v>26</v>
      </c>
      <c r="B23" s="150" t="s">
        <v>218</v>
      </c>
      <c r="C23" s="151" t="s">
        <v>219</v>
      </c>
      <c r="D23" s="152" t="n">
        <v>12123106</v>
      </c>
      <c r="E23" s="153" t="n">
        <v>45272</v>
      </c>
      <c r="F23" s="154" t="s">
        <v>28</v>
      </c>
      <c r="G23" s="155" t="n">
        <v>45272</v>
      </c>
      <c r="H23" s="156"/>
      <c r="I23" s="157"/>
      <c r="J23" s="157"/>
      <c r="K23" s="157"/>
      <c r="L23" s="157"/>
      <c r="M23" s="156"/>
      <c r="N23" s="157"/>
      <c r="O23" s="156"/>
      <c r="P23" s="158"/>
      <c r="Q23" s="159"/>
      <c r="R23" s="156" t="n">
        <v>188</v>
      </c>
      <c r="S23" s="159" t="n">
        <v>37.5</v>
      </c>
      <c r="T23" s="160" t="n">
        <v>15.75</v>
      </c>
      <c r="U23" s="161" t="n">
        <f aca="false">SUM(H23:T23)</f>
        <v>241.25</v>
      </c>
      <c r="V23" s="162" t="s">
        <v>38</v>
      </c>
      <c r="W23" s="163" t="s">
        <v>26</v>
      </c>
      <c r="X23" s="89" t="s">
        <v>108</v>
      </c>
      <c r="Y23" s="164"/>
      <c r="Z23" s="49"/>
    </row>
    <row r="24" s="9" customFormat="true" ht="14.1" hidden="false" customHeight="true" outlineLevel="0" collapsed="false">
      <c r="A24" s="196" t="s">
        <v>26</v>
      </c>
      <c r="B24" s="197" t="s">
        <v>218</v>
      </c>
      <c r="C24" s="198" t="s">
        <v>219</v>
      </c>
      <c r="D24" s="199" t="n">
        <v>4254104</v>
      </c>
      <c r="E24" s="200" t="n">
        <v>45407</v>
      </c>
      <c r="F24" s="201" t="s">
        <v>28</v>
      </c>
      <c r="G24" s="202" t="n">
        <v>45407</v>
      </c>
      <c r="H24" s="203"/>
      <c r="I24" s="204"/>
      <c r="J24" s="204"/>
      <c r="K24" s="204"/>
      <c r="L24" s="204"/>
      <c r="M24" s="203"/>
      <c r="N24" s="204"/>
      <c r="O24" s="203"/>
      <c r="P24" s="205"/>
      <c r="Q24" s="206"/>
      <c r="R24" s="203" t="n">
        <v>110</v>
      </c>
      <c r="S24" s="206" t="n">
        <v>25</v>
      </c>
      <c r="T24" s="207" t="n">
        <v>9.21</v>
      </c>
      <c r="U24" s="208" t="n">
        <f aca="false">SUM(H24:T24)</f>
        <v>144.21</v>
      </c>
      <c r="V24" s="209" t="s">
        <v>38</v>
      </c>
      <c r="W24" s="210" t="s">
        <v>26</v>
      </c>
      <c r="X24" s="89" t="s">
        <v>108</v>
      </c>
      <c r="Y24" s="164"/>
      <c r="Z24" s="49"/>
    </row>
    <row r="25" s="9" customFormat="true" ht="14.1" hidden="false" customHeight="true" outlineLevel="0" collapsed="false">
      <c r="A25" s="196" t="s">
        <v>26</v>
      </c>
      <c r="B25" s="197" t="s">
        <v>243</v>
      </c>
      <c r="C25" s="198"/>
      <c r="D25" s="199" t="n">
        <v>4154106</v>
      </c>
      <c r="E25" s="200" t="n">
        <v>45397</v>
      </c>
      <c r="F25" s="201" t="s">
        <v>28</v>
      </c>
      <c r="G25" s="202" t="n">
        <v>45397</v>
      </c>
      <c r="H25" s="203"/>
      <c r="I25" s="204"/>
      <c r="J25" s="204"/>
      <c r="K25" s="204"/>
      <c r="L25" s="204"/>
      <c r="M25" s="203"/>
      <c r="N25" s="204"/>
      <c r="O25" s="203"/>
      <c r="P25" s="205"/>
      <c r="Q25" s="206"/>
      <c r="R25" s="203" t="n">
        <v>65</v>
      </c>
      <c r="S25" s="206" t="n">
        <v>12.5</v>
      </c>
      <c r="T25" s="207" t="n">
        <v>5.61</v>
      </c>
      <c r="U25" s="208" t="n">
        <f aca="false">SUM(H25:T25)</f>
        <v>83.11</v>
      </c>
      <c r="V25" s="209" t="s">
        <v>38</v>
      </c>
      <c r="W25" s="210" t="s">
        <v>26</v>
      </c>
      <c r="X25" s="89" t="s">
        <v>108</v>
      </c>
      <c r="Y25" s="164"/>
      <c r="Z25" s="49"/>
    </row>
    <row r="26" s="9" customFormat="true" ht="14.1" hidden="false" customHeight="true" outlineLevel="0" collapsed="false">
      <c r="A26" s="149" t="s">
        <v>26</v>
      </c>
      <c r="B26" s="150" t="s">
        <v>209</v>
      </c>
      <c r="C26" s="151"/>
      <c r="D26" s="152" t="n">
        <v>9013106</v>
      </c>
      <c r="E26" s="153" t="n">
        <v>45170</v>
      </c>
      <c r="F26" s="154" t="s">
        <v>28</v>
      </c>
      <c r="G26" s="155" t="n">
        <v>45174</v>
      </c>
      <c r="H26" s="156"/>
      <c r="I26" s="157"/>
      <c r="J26" s="157"/>
      <c r="K26" s="157"/>
      <c r="L26" s="157"/>
      <c r="M26" s="156"/>
      <c r="N26" s="157"/>
      <c r="O26" s="156"/>
      <c r="P26" s="158"/>
      <c r="Q26" s="159"/>
      <c r="R26" s="156" t="n">
        <v>135</v>
      </c>
      <c r="S26" s="159" t="n">
        <v>25</v>
      </c>
      <c r="T26" s="160" t="n">
        <v>12.99</v>
      </c>
      <c r="U26" s="161" t="n">
        <f aca="false">SUM(H26:T26)</f>
        <v>172.99</v>
      </c>
      <c r="V26" s="162" t="s">
        <v>43</v>
      </c>
      <c r="W26" s="163" t="s">
        <v>210</v>
      </c>
      <c r="X26" s="89" t="s">
        <v>108</v>
      </c>
      <c r="Y26" s="164"/>
      <c r="Z26" s="49"/>
    </row>
    <row r="27" s="9" customFormat="true" ht="14.1" hidden="false" customHeight="true" outlineLevel="0" collapsed="false">
      <c r="A27" s="149" t="s">
        <v>26</v>
      </c>
      <c r="B27" s="150" t="s">
        <v>207</v>
      </c>
      <c r="C27" s="151"/>
      <c r="D27" s="152" t="n">
        <v>6263103</v>
      </c>
      <c r="E27" s="153" t="n">
        <v>45103</v>
      </c>
      <c r="F27" s="154" t="s">
        <v>28</v>
      </c>
      <c r="G27" s="155" t="n">
        <v>45103</v>
      </c>
      <c r="H27" s="156"/>
      <c r="I27" s="157"/>
      <c r="J27" s="157"/>
      <c r="K27" s="157"/>
      <c r="L27" s="157"/>
      <c r="M27" s="156"/>
      <c r="N27" s="157"/>
      <c r="O27" s="156"/>
      <c r="P27" s="158"/>
      <c r="Q27" s="159"/>
      <c r="R27" s="156" t="n">
        <v>204</v>
      </c>
      <c r="S27" s="159" t="n">
        <v>50</v>
      </c>
      <c r="T27" s="160" t="n">
        <v>18.36</v>
      </c>
      <c r="U27" s="161" t="n">
        <f aca="false">SUM(H27:T27)</f>
        <v>272.36</v>
      </c>
      <c r="V27" s="162" t="s">
        <v>38</v>
      </c>
      <c r="W27" s="163" t="s">
        <v>46</v>
      </c>
      <c r="X27" s="89" t="s">
        <v>108</v>
      </c>
      <c r="Y27" s="164"/>
      <c r="Z27" s="49"/>
    </row>
    <row r="28" s="9" customFormat="true" ht="14.1" hidden="false" customHeight="true" outlineLevel="0" collapsed="false">
      <c r="A28" s="196" t="s">
        <v>26</v>
      </c>
      <c r="B28" s="197" t="s">
        <v>238</v>
      </c>
      <c r="C28" s="198"/>
      <c r="D28" s="199" t="n">
        <v>4084111</v>
      </c>
      <c r="E28" s="200" t="n">
        <v>45390</v>
      </c>
      <c r="F28" s="201" t="s">
        <v>28</v>
      </c>
      <c r="G28" s="202" t="n">
        <v>45390</v>
      </c>
      <c r="H28" s="203"/>
      <c r="I28" s="204"/>
      <c r="J28" s="204"/>
      <c r="K28" s="204"/>
      <c r="L28" s="204"/>
      <c r="M28" s="203"/>
      <c r="N28" s="204"/>
      <c r="O28" s="203"/>
      <c r="P28" s="205"/>
      <c r="Q28" s="206"/>
      <c r="R28" s="203" t="n">
        <v>408</v>
      </c>
      <c r="S28" s="206" t="n">
        <v>87.5</v>
      </c>
      <c r="T28" s="207" t="n">
        <v>41.82</v>
      </c>
      <c r="U28" s="208" t="n">
        <f aca="false">SUM(H28:T28)</f>
        <v>537.32</v>
      </c>
      <c r="V28" s="209" t="s">
        <v>38</v>
      </c>
      <c r="W28" s="210" t="s">
        <v>26</v>
      </c>
      <c r="X28" s="211" t="s">
        <v>108</v>
      </c>
      <c r="Y28" s="164"/>
      <c r="Z28" s="49"/>
    </row>
    <row r="29" s="9" customFormat="true" ht="14.1" hidden="false" customHeight="true" outlineLevel="0" collapsed="false">
      <c r="A29" s="179" t="s">
        <v>26</v>
      </c>
      <c r="B29" s="180" t="s">
        <v>232</v>
      </c>
      <c r="C29" s="181"/>
      <c r="D29" s="182" t="n">
        <v>3194101</v>
      </c>
      <c r="E29" s="183" t="n">
        <v>45370</v>
      </c>
      <c r="F29" s="184" t="s">
        <v>28</v>
      </c>
      <c r="G29" s="185" t="n">
        <v>45370</v>
      </c>
      <c r="H29" s="186"/>
      <c r="I29" s="187"/>
      <c r="J29" s="187"/>
      <c r="K29" s="187"/>
      <c r="L29" s="187"/>
      <c r="M29" s="186"/>
      <c r="N29" s="187"/>
      <c r="O29" s="186"/>
      <c r="P29" s="188"/>
      <c r="Q29" s="189"/>
      <c r="R29" s="186" t="n">
        <v>135</v>
      </c>
      <c r="S29" s="189"/>
      <c r="T29" s="190" t="n">
        <v>13.16</v>
      </c>
      <c r="U29" s="191" t="n">
        <f aca="false">SUM(H29:T29)</f>
        <v>148.16</v>
      </c>
      <c r="V29" s="192" t="s">
        <v>30</v>
      </c>
      <c r="W29" s="193" t="s">
        <v>233</v>
      </c>
      <c r="X29" s="89" t="s">
        <v>108</v>
      </c>
      <c r="Y29" s="164"/>
      <c r="Z29" s="49" t="s">
        <v>250</v>
      </c>
      <c r="AA29" s="9" t="s">
        <v>251</v>
      </c>
    </row>
    <row r="30" s="9" customFormat="true" ht="14.1" hidden="false" customHeight="true" outlineLevel="0" collapsed="false">
      <c r="A30" s="257" t="s">
        <v>26</v>
      </c>
      <c r="B30" s="258" t="s">
        <v>229</v>
      </c>
      <c r="C30" s="259"/>
      <c r="D30" s="259" t="n">
        <v>3144102</v>
      </c>
      <c r="E30" s="260" t="n">
        <v>45365</v>
      </c>
      <c r="F30" s="261" t="s">
        <v>28</v>
      </c>
      <c r="G30" s="262" t="n">
        <v>45365</v>
      </c>
      <c r="H30" s="263"/>
      <c r="I30" s="263"/>
      <c r="J30" s="264"/>
      <c r="K30" s="264"/>
      <c r="L30" s="264"/>
      <c r="M30" s="263"/>
      <c r="N30" s="263"/>
      <c r="O30" s="263"/>
      <c r="P30" s="265"/>
      <c r="Q30" s="266"/>
      <c r="R30" s="263" t="n">
        <v>330</v>
      </c>
      <c r="S30" s="266" t="n">
        <v>75</v>
      </c>
      <c r="T30" s="267" t="n">
        <v>28.48</v>
      </c>
      <c r="U30" s="268" t="n">
        <f aca="false">SUM(H30:T30)</f>
        <v>433.48</v>
      </c>
      <c r="V30" s="269" t="s">
        <v>38</v>
      </c>
      <c r="W30" s="270" t="s">
        <v>26</v>
      </c>
      <c r="X30" s="27" t="s">
        <v>108</v>
      </c>
      <c r="Y30" s="242"/>
      <c r="Z30" s="49"/>
    </row>
    <row r="31" s="9" customFormat="true" ht="14.1" hidden="false" customHeight="true" outlineLevel="0" collapsed="false">
      <c r="A31" s="196" t="s">
        <v>26</v>
      </c>
      <c r="B31" s="197" t="s">
        <v>241</v>
      </c>
      <c r="C31" s="198"/>
      <c r="D31" s="199" t="n">
        <v>4114101</v>
      </c>
      <c r="E31" s="200" t="n">
        <v>45393</v>
      </c>
      <c r="F31" s="201" t="s">
        <v>28</v>
      </c>
      <c r="G31" s="202" t="n">
        <v>45393</v>
      </c>
      <c r="H31" s="203"/>
      <c r="I31" s="204"/>
      <c r="J31" s="204"/>
      <c r="K31" s="204"/>
      <c r="L31" s="204"/>
      <c r="M31" s="203"/>
      <c r="N31" s="204"/>
      <c r="O31" s="203"/>
      <c r="P31" s="205"/>
      <c r="Q31" s="206"/>
      <c r="R31" s="203" t="n">
        <v>130</v>
      </c>
      <c r="S31" s="206" t="n">
        <v>25</v>
      </c>
      <c r="T31" s="207" t="n">
        <v>12.35</v>
      </c>
      <c r="U31" s="208" t="n">
        <f aca="false">SUM(H31:T31)</f>
        <v>167.35</v>
      </c>
      <c r="V31" s="209" t="s">
        <v>38</v>
      </c>
      <c r="W31" s="210" t="s">
        <v>26</v>
      </c>
      <c r="X31" s="89" t="s">
        <v>108</v>
      </c>
      <c r="Y31" s="164"/>
      <c r="Z31" s="49"/>
    </row>
    <row r="32" s="9" customFormat="true" ht="14.1" hidden="false" customHeight="true" outlineLevel="0" collapsed="false">
      <c r="A32" s="196" t="s">
        <v>26</v>
      </c>
      <c r="B32" s="197" t="s">
        <v>247</v>
      </c>
      <c r="C32" s="198"/>
      <c r="D32" s="199" t="n">
        <v>4244102</v>
      </c>
      <c r="E32" s="200" t="n">
        <v>45406</v>
      </c>
      <c r="F32" s="201" t="s">
        <v>28</v>
      </c>
      <c r="G32" s="202" t="n">
        <v>45406</v>
      </c>
      <c r="H32" s="203"/>
      <c r="I32" s="204"/>
      <c r="J32" s="204"/>
      <c r="K32" s="204"/>
      <c r="L32" s="204"/>
      <c r="M32" s="203"/>
      <c r="N32" s="204"/>
      <c r="O32" s="203"/>
      <c r="P32" s="205"/>
      <c r="Q32" s="206"/>
      <c r="R32" s="203" t="n">
        <v>45</v>
      </c>
      <c r="S32" s="206"/>
      <c r="T32" s="207" t="n">
        <v>4.28</v>
      </c>
      <c r="U32" s="208" t="n">
        <f aca="false">SUM(H32:T32)</f>
        <v>49.28</v>
      </c>
      <c r="V32" s="209" t="s">
        <v>38</v>
      </c>
      <c r="W32" s="210" t="s">
        <v>26</v>
      </c>
      <c r="X32" s="89" t="s">
        <v>108</v>
      </c>
      <c r="Y32" s="164"/>
      <c r="Z32" s="49"/>
    </row>
    <row r="33" s="9" customFormat="true" ht="14.1" hidden="false" customHeight="true" outlineLevel="0" collapsed="false">
      <c r="A33" s="149" t="s">
        <v>26</v>
      </c>
      <c r="B33" s="150" t="s">
        <v>226</v>
      </c>
      <c r="C33" s="151"/>
      <c r="D33" s="152" t="n">
        <v>2124104</v>
      </c>
      <c r="E33" s="153" t="n">
        <v>45334</v>
      </c>
      <c r="F33" s="154" t="s">
        <v>28</v>
      </c>
      <c r="G33" s="155" t="n">
        <v>45334</v>
      </c>
      <c r="H33" s="156"/>
      <c r="I33" s="157"/>
      <c r="J33" s="157"/>
      <c r="K33" s="157"/>
      <c r="L33" s="157"/>
      <c r="M33" s="156"/>
      <c r="N33" s="157"/>
      <c r="O33" s="156"/>
      <c r="P33" s="158"/>
      <c r="Q33" s="159"/>
      <c r="R33" s="156" t="n">
        <v>55</v>
      </c>
      <c r="S33" s="159" t="n">
        <v>12.5</v>
      </c>
      <c r="T33" s="160" t="n">
        <v>4.75</v>
      </c>
      <c r="U33" s="161" t="n">
        <f aca="false">SUM(H33:T33)</f>
        <v>72.25</v>
      </c>
      <c r="V33" s="162" t="s">
        <v>38</v>
      </c>
      <c r="W33" s="163" t="s">
        <v>26</v>
      </c>
      <c r="X33" s="89" t="s">
        <v>108</v>
      </c>
      <c r="Y33" s="164"/>
      <c r="Z33" s="49"/>
    </row>
    <row r="34" s="9" customFormat="true" ht="14.1" hidden="false" customHeight="true" outlineLevel="0" collapsed="false">
      <c r="A34" s="179" t="s">
        <v>26</v>
      </c>
      <c r="B34" s="180" t="s">
        <v>227</v>
      </c>
      <c r="C34" s="181"/>
      <c r="D34" s="182" t="n">
        <v>2294102</v>
      </c>
      <c r="E34" s="183" t="n">
        <v>45351</v>
      </c>
      <c r="F34" s="184" t="s">
        <v>28</v>
      </c>
      <c r="G34" s="185" t="n">
        <v>45351</v>
      </c>
      <c r="H34" s="186"/>
      <c r="I34" s="187"/>
      <c r="J34" s="187"/>
      <c r="K34" s="187"/>
      <c r="L34" s="187"/>
      <c r="M34" s="186"/>
      <c r="N34" s="187"/>
      <c r="O34" s="186"/>
      <c r="P34" s="188"/>
      <c r="Q34" s="189"/>
      <c r="R34" s="186" t="n">
        <v>105</v>
      </c>
      <c r="S34" s="189" t="n">
        <v>12.5</v>
      </c>
      <c r="T34" s="190" t="n">
        <v>9.71</v>
      </c>
      <c r="U34" s="191" t="n">
        <f aca="false">SUM(H34:T34)</f>
        <v>127.21</v>
      </c>
      <c r="V34" s="192" t="s">
        <v>38</v>
      </c>
      <c r="W34" s="193" t="s">
        <v>26</v>
      </c>
      <c r="X34" s="89" t="s">
        <v>108</v>
      </c>
      <c r="Y34" s="164"/>
      <c r="Z34" s="49"/>
    </row>
    <row r="35" s="9" customFormat="true" ht="14.1" hidden="false" customHeight="true" outlineLevel="0" collapsed="false">
      <c r="A35" s="196" t="s">
        <v>26</v>
      </c>
      <c r="B35" s="197" t="s">
        <v>227</v>
      </c>
      <c r="C35" s="198"/>
      <c r="D35" s="199" t="n">
        <v>4154104</v>
      </c>
      <c r="E35" s="200" t="n">
        <v>45397</v>
      </c>
      <c r="F35" s="201" t="s">
        <v>28</v>
      </c>
      <c r="G35" s="202" t="n">
        <v>45397</v>
      </c>
      <c r="H35" s="203"/>
      <c r="I35" s="204"/>
      <c r="J35" s="204"/>
      <c r="K35" s="204"/>
      <c r="L35" s="204"/>
      <c r="M35" s="203"/>
      <c r="N35" s="204"/>
      <c r="O35" s="203"/>
      <c r="P35" s="205"/>
      <c r="Q35" s="206"/>
      <c r="R35" s="203" t="n">
        <v>105</v>
      </c>
      <c r="S35" s="206" t="n">
        <v>12.5</v>
      </c>
      <c r="T35" s="207" t="n">
        <v>9.71</v>
      </c>
      <c r="U35" s="208" t="n">
        <f aca="false">SUM(H35:T35)</f>
        <v>127.21</v>
      </c>
      <c r="V35" s="209" t="s">
        <v>38</v>
      </c>
      <c r="W35" s="210" t="s">
        <v>46</v>
      </c>
      <c r="X35" s="89" t="s">
        <v>108</v>
      </c>
      <c r="Y35" s="164"/>
      <c r="Z35" s="49"/>
    </row>
    <row r="36" s="9" customFormat="true" ht="14.1" hidden="false" customHeight="true" outlineLevel="0" collapsed="false">
      <c r="A36" s="196" t="s">
        <v>26</v>
      </c>
      <c r="B36" s="197" t="s">
        <v>236</v>
      </c>
      <c r="C36" s="198"/>
      <c r="D36" s="199" t="n">
        <v>4024102</v>
      </c>
      <c r="E36" s="200" t="n">
        <v>45384</v>
      </c>
      <c r="F36" s="201" t="s">
        <v>28</v>
      </c>
      <c r="G36" s="202" t="n">
        <v>45384</v>
      </c>
      <c r="H36" s="203"/>
      <c r="I36" s="204"/>
      <c r="J36" s="204"/>
      <c r="K36" s="204"/>
      <c r="L36" s="204"/>
      <c r="M36" s="203"/>
      <c r="N36" s="204"/>
      <c r="O36" s="203"/>
      <c r="P36" s="205"/>
      <c r="Q36" s="206"/>
      <c r="R36" s="203" t="n">
        <v>100</v>
      </c>
      <c r="S36" s="206" t="n">
        <v>25</v>
      </c>
      <c r="T36" s="207" t="n">
        <v>9.25</v>
      </c>
      <c r="U36" s="208" t="n">
        <f aca="false">SUM(H36:T36)</f>
        <v>134.25</v>
      </c>
      <c r="V36" s="209" t="s">
        <v>38</v>
      </c>
      <c r="W36" s="210" t="s">
        <v>46</v>
      </c>
      <c r="X36" s="89" t="s">
        <v>108</v>
      </c>
      <c r="Y36" s="164"/>
      <c r="Z36" s="49"/>
    </row>
    <row r="37" s="9" customFormat="true" ht="14.1" hidden="false" customHeight="true" outlineLevel="0" collapsed="false">
      <c r="A37" s="196" t="s">
        <v>26</v>
      </c>
      <c r="B37" s="197" t="s">
        <v>242</v>
      </c>
      <c r="C37" s="198"/>
      <c r="D37" s="199" t="n">
        <v>4154103</v>
      </c>
      <c r="E37" s="200" t="n">
        <v>45397</v>
      </c>
      <c r="F37" s="201" t="s">
        <v>28</v>
      </c>
      <c r="G37" s="202" t="n">
        <v>45397</v>
      </c>
      <c r="H37" s="203"/>
      <c r="I37" s="204"/>
      <c r="J37" s="204"/>
      <c r="K37" s="204"/>
      <c r="L37" s="204"/>
      <c r="M37" s="203"/>
      <c r="N37" s="204"/>
      <c r="O37" s="203"/>
      <c r="P37" s="205"/>
      <c r="Q37" s="206"/>
      <c r="R37" s="203" t="n">
        <v>78</v>
      </c>
      <c r="S37" s="206" t="n">
        <v>12.5</v>
      </c>
      <c r="T37" s="207" t="n">
        <v>7.22</v>
      </c>
      <c r="U37" s="208" t="n">
        <f aca="false">SUM(H37:T37)</f>
        <v>97.72</v>
      </c>
      <c r="V37" s="209" t="s">
        <v>38</v>
      </c>
      <c r="W37" s="210" t="s">
        <v>46</v>
      </c>
      <c r="X37" s="89" t="s">
        <v>108</v>
      </c>
      <c r="Y37" s="164"/>
      <c r="Z37" s="49"/>
    </row>
    <row r="38" s="9" customFormat="true" ht="14.1" hidden="false" customHeight="true" outlineLevel="0" collapsed="false">
      <c r="A38" s="149" t="s">
        <v>26</v>
      </c>
      <c r="B38" s="150" t="s">
        <v>216</v>
      </c>
      <c r="C38" s="151"/>
      <c r="D38" s="152" t="n">
        <v>11023102</v>
      </c>
      <c r="E38" s="153" t="n">
        <v>45232</v>
      </c>
      <c r="F38" s="154" t="s">
        <v>28</v>
      </c>
      <c r="G38" s="155" t="n">
        <v>45232</v>
      </c>
      <c r="H38" s="156"/>
      <c r="I38" s="157"/>
      <c r="J38" s="157"/>
      <c r="K38" s="157"/>
      <c r="L38" s="157"/>
      <c r="M38" s="156"/>
      <c r="N38" s="157"/>
      <c r="O38" s="156"/>
      <c r="P38" s="158"/>
      <c r="Q38" s="159"/>
      <c r="R38" s="156" t="n">
        <v>110</v>
      </c>
      <c r="S38" s="159" t="n">
        <v>25</v>
      </c>
      <c r="T38" s="160" t="n">
        <v>9.49</v>
      </c>
      <c r="U38" s="161" t="n">
        <f aca="false">SUM(H38:T38)</f>
        <v>144.49</v>
      </c>
      <c r="V38" s="162" t="s">
        <v>38</v>
      </c>
      <c r="W38" s="163" t="s">
        <v>92</v>
      </c>
      <c r="X38" s="89" t="s">
        <v>108</v>
      </c>
      <c r="Y38" s="164"/>
      <c r="Z38" s="49"/>
    </row>
    <row r="39" s="9" customFormat="true" ht="14.1" hidden="false" customHeight="true" outlineLevel="0" collapsed="false">
      <c r="A39" s="149" t="s">
        <v>26</v>
      </c>
      <c r="B39" s="150" t="s">
        <v>211</v>
      </c>
      <c r="C39" s="151"/>
      <c r="D39" s="152" t="n">
        <v>10033111</v>
      </c>
      <c r="E39" s="153" t="n">
        <v>45202</v>
      </c>
      <c r="F39" s="154" t="s">
        <v>28</v>
      </c>
      <c r="G39" s="155" t="n">
        <v>45203</v>
      </c>
      <c r="H39" s="156"/>
      <c r="I39" s="157"/>
      <c r="J39" s="157"/>
      <c r="K39" s="157"/>
      <c r="L39" s="157"/>
      <c r="M39" s="156"/>
      <c r="N39" s="157"/>
      <c r="O39" s="156"/>
      <c r="P39" s="158"/>
      <c r="Q39" s="159"/>
      <c r="R39" s="156" t="n">
        <v>149</v>
      </c>
      <c r="S39" s="159" t="n">
        <v>37.5</v>
      </c>
      <c r="T39" s="160" t="n">
        <v>12.29</v>
      </c>
      <c r="U39" s="161" t="n">
        <f aca="false">SUM(H39:T39)</f>
        <v>198.79</v>
      </c>
      <c r="V39" s="162" t="s">
        <v>38</v>
      </c>
      <c r="W39" s="163" t="s">
        <v>26</v>
      </c>
      <c r="X39" s="89" t="s">
        <v>108</v>
      </c>
      <c r="Y39" s="49"/>
    </row>
    <row r="40" s="9" customFormat="true" ht="14.1" hidden="false" customHeight="true" outlineLevel="0" collapsed="false">
      <c r="A40" s="196" t="s">
        <v>46</v>
      </c>
      <c r="B40" s="197" t="s">
        <v>151</v>
      </c>
      <c r="C40" s="198"/>
      <c r="D40" s="199" t="n">
        <v>4154052</v>
      </c>
      <c r="E40" s="200" t="n">
        <v>45397</v>
      </c>
      <c r="F40" s="201" t="s">
        <v>13</v>
      </c>
      <c r="G40" s="202" t="n">
        <v>45397</v>
      </c>
      <c r="H40" s="203"/>
      <c r="I40" s="204"/>
      <c r="J40" s="204"/>
      <c r="K40" s="204"/>
      <c r="L40" s="204"/>
      <c r="M40" s="203" t="n">
        <v>150</v>
      </c>
      <c r="N40" s="204"/>
      <c r="O40" s="203"/>
      <c r="P40" s="205"/>
      <c r="Q40" s="206"/>
      <c r="R40" s="203"/>
      <c r="S40" s="206"/>
      <c r="T40" s="207"/>
      <c r="U40" s="208" t="n">
        <f aca="false">SUM(H40:T40)</f>
        <v>150</v>
      </c>
      <c r="V40" s="209" t="s">
        <v>96</v>
      </c>
      <c r="W40" s="210" t="s">
        <v>99</v>
      </c>
      <c r="X40" s="89" t="s">
        <v>108</v>
      </c>
      <c r="Y40" s="164"/>
      <c r="Z40" s="49"/>
    </row>
    <row r="41" s="9" customFormat="true" ht="14.1" hidden="false" customHeight="true" outlineLevel="0" collapsed="false">
      <c r="A41" s="196" t="s">
        <v>26</v>
      </c>
      <c r="B41" s="197" t="s">
        <v>244</v>
      </c>
      <c r="C41" s="198"/>
      <c r="D41" s="199" t="n">
        <v>4194102</v>
      </c>
      <c r="E41" s="200" t="n">
        <v>45401</v>
      </c>
      <c r="F41" s="201" t="s">
        <v>28</v>
      </c>
      <c r="G41" s="202" t="n">
        <v>45401</v>
      </c>
      <c r="H41" s="203"/>
      <c r="I41" s="204"/>
      <c r="J41" s="204"/>
      <c r="K41" s="204"/>
      <c r="L41" s="204"/>
      <c r="M41" s="203"/>
      <c r="N41" s="204"/>
      <c r="O41" s="203"/>
      <c r="P41" s="205"/>
      <c r="Q41" s="206"/>
      <c r="R41" s="203" t="n">
        <v>117</v>
      </c>
      <c r="S41" s="206"/>
      <c r="T41" s="207" t="n">
        <v>10.09</v>
      </c>
      <c r="U41" s="208" t="n">
        <f aca="false">SUM(H41:T41)</f>
        <v>127.09</v>
      </c>
      <c r="V41" s="209" t="s">
        <v>43</v>
      </c>
      <c r="W41" s="210" t="s">
        <v>99</v>
      </c>
      <c r="X41" s="89" t="s">
        <v>108</v>
      </c>
      <c r="Y41" s="164"/>
      <c r="Z41" s="49"/>
    </row>
    <row r="42" s="9" customFormat="true" ht="14.1" hidden="false" customHeight="true" outlineLevel="0" collapsed="false">
      <c r="A42" s="149" t="s">
        <v>26</v>
      </c>
      <c r="B42" s="150" t="s">
        <v>212</v>
      </c>
      <c r="C42" s="151" t="s">
        <v>213</v>
      </c>
      <c r="D42" s="152" t="n">
        <v>10053103</v>
      </c>
      <c r="E42" s="153" t="n">
        <v>45204</v>
      </c>
      <c r="F42" s="154" t="s">
        <v>28</v>
      </c>
      <c r="G42" s="155" t="n">
        <v>45204</v>
      </c>
      <c r="H42" s="156"/>
      <c r="I42" s="157"/>
      <c r="J42" s="157"/>
      <c r="K42" s="157"/>
      <c r="L42" s="157"/>
      <c r="M42" s="156"/>
      <c r="N42" s="157"/>
      <c r="O42" s="156"/>
      <c r="P42" s="158"/>
      <c r="Q42" s="159"/>
      <c r="R42" s="156" t="n">
        <v>155</v>
      </c>
      <c r="S42" s="159" t="n">
        <v>25</v>
      </c>
      <c r="T42" s="160"/>
      <c r="U42" s="161" t="n">
        <f aca="false">SUM(H42:T42)</f>
        <v>180</v>
      </c>
      <c r="V42" s="162" t="s">
        <v>38</v>
      </c>
      <c r="W42" s="163" t="s">
        <v>214</v>
      </c>
      <c r="X42" s="89" t="s">
        <v>108</v>
      </c>
      <c r="Y42" s="49"/>
      <c r="Z42" s="9" t="s">
        <v>250</v>
      </c>
    </row>
    <row r="43" s="9" customFormat="true" ht="14.1" hidden="false" customHeight="true" outlineLevel="0" collapsed="false">
      <c r="A43" s="179" t="s">
        <v>26</v>
      </c>
      <c r="B43" s="180" t="s">
        <v>230</v>
      </c>
      <c r="C43" s="181"/>
      <c r="D43" s="182" t="n">
        <v>3184102</v>
      </c>
      <c r="E43" s="183" t="n">
        <v>45369</v>
      </c>
      <c r="F43" s="184" t="s">
        <v>28</v>
      </c>
      <c r="G43" s="185" t="n">
        <v>45369</v>
      </c>
      <c r="H43" s="186"/>
      <c r="I43" s="187"/>
      <c r="J43" s="187"/>
      <c r="K43" s="187"/>
      <c r="L43" s="187"/>
      <c r="M43" s="186"/>
      <c r="N43" s="187"/>
      <c r="O43" s="186"/>
      <c r="P43" s="188"/>
      <c r="Q43" s="189"/>
      <c r="R43" s="186" t="n">
        <v>318</v>
      </c>
      <c r="S43" s="189" t="n">
        <v>67.5</v>
      </c>
      <c r="T43" s="190" t="n">
        <v>27.43</v>
      </c>
      <c r="U43" s="191" t="n">
        <f aca="false">SUM(H43:T43)</f>
        <v>412.93</v>
      </c>
      <c r="V43" s="192" t="s">
        <v>38</v>
      </c>
      <c r="W43" s="193" t="s">
        <v>92</v>
      </c>
      <c r="X43" s="89" t="s">
        <v>108</v>
      </c>
      <c r="Y43" s="164"/>
      <c r="Z43" s="49"/>
    </row>
    <row r="44" s="9" customFormat="true" ht="14.1" hidden="false" customHeight="true" outlineLevel="0" collapsed="false">
      <c r="A44" s="149" t="s">
        <v>26</v>
      </c>
      <c r="B44" s="150" t="s">
        <v>127</v>
      </c>
      <c r="C44" s="151" t="s">
        <v>128</v>
      </c>
      <c r="D44" s="152" t="n">
        <v>1044108</v>
      </c>
      <c r="E44" s="153" t="n">
        <v>45295</v>
      </c>
      <c r="F44" s="154" t="s">
        <v>28</v>
      </c>
      <c r="G44" s="155" t="n">
        <v>45296</v>
      </c>
      <c r="H44" s="156"/>
      <c r="I44" s="157"/>
      <c r="J44" s="157"/>
      <c r="K44" s="157"/>
      <c r="L44" s="157"/>
      <c r="M44" s="156"/>
      <c r="N44" s="157"/>
      <c r="O44" s="156"/>
      <c r="P44" s="158"/>
      <c r="Q44" s="159"/>
      <c r="R44" s="156" t="n">
        <v>162</v>
      </c>
      <c r="S44" s="159" t="n">
        <v>25</v>
      </c>
      <c r="T44" s="160" t="n">
        <v>17.42</v>
      </c>
      <c r="U44" s="161" t="n">
        <f aca="false">SUM(H44:T44)</f>
        <v>204.42</v>
      </c>
      <c r="V44" s="162" t="s">
        <v>38</v>
      </c>
      <c r="W44" s="163" t="s">
        <v>92</v>
      </c>
      <c r="X44" s="89" t="s">
        <v>108</v>
      </c>
      <c r="Y44" s="164"/>
      <c r="Z44" s="49"/>
    </row>
    <row r="45" s="9" customFormat="true" ht="14.1" hidden="false" customHeight="true" outlineLevel="0" collapsed="false">
      <c r="A45" s="179" t="s">
        <v>26</v>
      </c>
      <c r="B45" s="180" t="s">
        <v>228</v>
      </c>
      <c r="C45" s="181"/>
      <c r="D45" s="182" t="n">
        <v>3114102</v>
      </c>
      <c r="E45" s="183" t="n">
        <v>45362</v>
      </c>
      <c r="F45" s="184" t="s">
        <v>28</v>
      </c>
      <c r="G45" s="185" t="n">
        <v>45362</v>
      </c>
      <c r="H45" s="186"/>
      <c r="I45" s="187"/>
      <c r="J45" s="187"/>
      <c r="K45" s="187"/>
      <c r="L45" s="187"/>
      <c r="M45" s="186"/>
      <c r="N45" s="187"/>
      <c r="O45" s="186"/>
      <c r="P45" s="188"/>
      <c r="Q45" s="189"/>
      <c r="R45" s="186" t="n">
        <v>130</v>
      </c>
      <c r="S45" s="189" t="n">
        <v>25</v>
      </c>
      <c r="T45" s="190" t="n">
        <v>11.21</v>
      </c>
      <c r="U45" s="191" t="n">
        <f aca="false">SUM(H45:T45)</f>
        <v>166.21</v>
      </c>
      <c r="V45" s="192" t="s">
        <v>38</v>
      </c>
      <c r="W45" s="193" t="s">
        <v>26</v>
      </c>
      <c r="X45" s="89" t="s">
        <v>108</v>
      </c>
      <c r="Y45" s="164"/>
      <c r="Z45" s="49"/>
    </row>
    <row r="46" s="9" customFormat="true" ht="14.1" hidden="false" customHeight="true" outlineLevel="0" collapsed="false">
      <c r="A46" s="149" t="s">
        <v>26</v>
      </c>
      <c r="B46" s="150" t="s">
        <v>220</v>
      </c>
      <c r="C46" s="151"/>
      <c r="D46" s="152" t="n">
        <v>1054102</v>
      </c>
      <c r="E46" s="153" t="n">
        <v>45296</v>
      </c>
      <c r="F46" s="154" t="s">
        <v>28</v>
      </c>
      <c r="G46" s="155" t="n">
        <v>45299</v>
      </c>
      <c r="H46" s="156"/>
      <c r="I46" s="157"/>
      <c r="J46" s="157"/>
      <c r="K46" s="157"/>
      <c r="L46" s="157"/>
      <c r="M46" s="156"/>
      <c r="N46" s="157"/>
      <c r="O46" s="156"/>
      <c r="P46" s="158"/>
      <c r="Q46" s="159"/>
      <c r="R46" s="156" t="n">
        <v>65</v>
      </c>
      <c r="S46" s="159" t="n">
        <v>12.5</v>
      </c>
      <c r="T46" s="160" t="n">
        <v>5.61</v>
      </c>
      <c r="U46" s="161" t="n">
        <f aca="false">SUM(H46:T46)</f>
        <v>83.11</v>
      </c>
      <c r="V46" s="162" t="s">
        <v>38</v>
      </c>
      <c r="W46" s="163" t="s">
        <v>26</v>
      </c>
      <c r="X46" s="89" t="s">
        <v>108</v>
      </c>
      <c r="Y46" s="164"/>
      <c r="Z46" s="49"/>
    </row>
    <row r="47" s="9" customFormat="true" ht="14.1" hidden="false" customHeight="true" outlineLevel="0" collapsed="false">
      <c r="A47" s="196" t="s">
        <v>26</v>
      </c>
      <c r="B47" s="197" t="s">
        <v>248</v>
      </c>
      <c r="C47" s="198"/>
      <c r="D47" s="199" t="n">
        <v>4254102</v>
      </c>
      <c r="E47" s="200" t="n">
        <v>45407</v>
      </c>
      <c r="F47" s="201" t="s">
        <v>28</v>
      </c>
      <c r="G47" s="202" t="n">
        <v>45407</v>
      </c>
      <c r="H47" s="203"/>
      <c r="I47" s="204"/>
      <c r="J47" s="204"/>
      <c r="K47" s="204"/>
      <c r="L47" s="204"/>
      <c r="M47" s="203"/>
      <c r="N47" s="204"/>
      <c r="O47" s="203"/>
      <c r="P47" s="205"/>
      <c r="Q47" s="206"/>
      <c r="R47" s="203" t="n">
        <v>195</v>
      </c>
      <c r="S47" s="206" t="n">
        <v>37.5</v>
      </c>
      <c r="T47" s="207" t="n">
        <v>17.55</v>
      </c>
      <c r="U47" s="208" t="n">
        <f aca="false">SUM(H47:T47)</f>
        <v>250.05</v>
      </c>
      <c r="V47" s="209" t="s">
        <v>38</v>
      </c>
      <c r="W47" s="210" t="s">
        <v>26</v>
      </c>
      <c r="X47" s="89" t="s">
        <v>108</v>
      </c>
      <c r="Y47" s="164"/>
      <c r="Z47" s="49"/>
    </row>
    <row r="48" s="9" customFormat="true" ht="14.1" hidden="false" customHeight="true" outlineLevel="0" collapsed="false">
      <c r="A48" s="165"/>
      <c r="B48" s="166"/>
      <c r="C48" s="167"/>
      <c r="D48" s="167"/>
      <c r="E48" s="168"/>
      <c r="F48" s="169"/>
      <c r="G48" s="170"/>
      <c r="H48" s="171"/>
      <c r="I48" s="171"/>
      <c r="J48" s="172"/>
      <c r="K48" s="172"/>
      <c r="L48" s="172"/>
      <c r="M48" s="171"/>
      <c r="N48" s="171"/>
      <c r="O48" s="171"/>
      <c r="P48" s="105"/>
      <c r="Q48" s="173"/>
      <c r="R48" s="171"/>
      <c r="S48" s="173"/>
      <c r="T48" s="174"/>
      <c r="U48" s="175"/>
      <c r="V48" s="176"/>
      <c r="W48" s="27"/>
      <c r="X48" s="27"/>
      <c r="Y48" s="212" t="n">
        <f aca="false">SUM(U31:U47)</f>
        <v>2692.36</v>
      </c>
      <c r="Z48" s="178" t="n">
        <f aca="false">Y48/V50</f>
        <v>0.25101506728113</v>
      </c>
      <c r="AA48" s="49"/>
    </row>
    <row r="49" s="9" customFormat="true" ht="19.5" hidden="false" customHeight="true" outlineLevel="0" collapsed="false">
      <c r="A49" s="91"/>
      <c r="B49" s="92" t="s">
        <v>21</v>
      </c>
      <c r="C49" s="93"/>
      <c r="D49" s="94"/>
      <c r="E49" s="95"/>
      <c r="F49" s="93"/>
      <c r="G49" s="96"/>
      <c r="H49" s="97" t="n">
        <f aca="false">SUM(H4:H47)</f>
        <v>0</v>
      </c>
      <c r="I49" s="97" t="n">
        <f aca="false">SUM(I4:I47)</f>
        <v>0</v>
      </c>
      <c r="J49" s="97" t="n">
        <f aca="false">SUM(J4:J47)</f>
        <v>0</v>
      </c>
      <c r="K49" s="98" t="n">
        <f aca="false">SUM(K4:K47)</f>
        <v>0</v>
      </c>
      <c r="L49" s="99" t="n">
        <f aca="false">SUM(L4:L47)</f>
        <v>0</v>
      </c>
      <c r="M49" s="213" t="n">
        <f aca="false">SUM(M4:N47)</f>
        <v>150</v>
      </c>
      <c r="N49" s="214"/>
      <c r="O49" s="101" t="n">
        <f aca="false">SUM(O4:O47)</f>
        <v>380</v>
      </c>
      <c r="P49" s="101" t="n">
        <f aca="false">SUM(P4:P47)</f>
        <v>270</v>
      </c>
      <c r="Q49" s="101" t="n">
        <f aca="false">SUM(Q4:Q47)</f>
        <v>180</v>
      </c>
      <c r="R49" s="102" t="n">
        <f aca="false">SUM(R4:R47)</f>
        <v>7723</v>
      </c>
      <c r="S49" s="102" t="n">
        <f aca="false">SUM(S4:S47)</f>
        <v>1355</v>
      </c>
      <c r="T49" s="103" t="n">
        <f aca="false">SUM(T4:T47)</f>
        <v>667.89</v>
      </c>
      <c r="U49" s="104" t="n">
        <f aca="false">SUM(U4:U47)</f>
        <v>10725.89</v>
      </c>
      <c r="V49" s="105"/>
      <c r="W49" s="215"/>
      <c r="X49" s="215"/>
      <c r="Y49" s="216"/>
    </row>
    <row r="50" s="9" customFormat="true" ht="14.1" hidden="false" customHeight="true" outlineLevel="0" collapsed="false">
      <c r="A50" s="2"/>
      <c r="B50" s="2"/>
      <c r="C50" s="3"/>
      <c r="D50" s="3"/>
      <c r="E50" s="4"/>
      <c r="F50" s="3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8"/>
      <c r="V50" s="217" t="n">
        <f aca="false">SUM(H49:T49)</f>
        <v>10725.89</v>
      </c>
      <c r="Y50" s="218"/>
      <c r="Z50" s="11"/>
    </row>
    <row r="51" s="9" customFormat="true" ht="14.1" hidden="false" customHeight="true" outlineLevel="0" collapsed="false">
      <c r="A51" s="2"/>
      <c r="B51" s="2"/>
      <c r="C51" s="3"/>
      <c r="D51" s="3"/>
      <c r="E51" s="4"/>
      <c r="F51" s="3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8"/>
      <c r="V51" s="2"/>
      <c r="Y51" s="218"/>
      <c r="Z51" s="11"/>
    </row>
    <row r="52" s="9" customFormat="true" ht="14.1" hidden="false" customHeight="true" outlineLevel="0" collapsed="false">
      <c r="A52" s="2"/>
      <c r="B52" s="2"/>
      <c r="C52" s="3"/>
      <c r="D52" s="3"/>
      <c r="E52" s="4"/>
      <c r="F52" s="3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8"/>
      <c r="V52" s="2"/>
      <c r="Y52" s="218"/>
      <c r="Z52" s="11"/>
    </row>
    <row r="53" s="9" customFormat="true" ht="14.1" hidden="false" customHeight="true" outlineLevel="0" collapsed="false">
      <c r="A53" s="2"/>
      <c r="B53" s="2"/>
      <c r="C53" s="3"/>
      <c r="D53" s="3"/>
      <c r="E53" s="4"/>
      <c r="F53" s="3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8"/>
      <c r="V53" s="2"/>
      <c r="Y53" s="218"/>
      <c r="Z53" s="11"/>
    </row>
    <row r="54" s="9" customFormat="true" ht="14.1" hidden="false" customHeight="true" outlineLevel="0" collapsed="false">
      <c r="A54" s="2"/>
      <c r="B54" s="2"/>
      <c r="C54" s="3"/>
      <c r="D54" s="3"/>
      <c r="E54" s="4"/>
      <c r="F54" s="3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8"/>
      <c r="V54" s="2"/>
      <c r="Y54" s="218"/>
      <c r="Z54" s="11"/>
    </row>
    <row r="55" s="9" customFormat="true" ht="14.1" hidden="false" customHeight="true" outlineLevel="0" collapsed="false">
      <c r="A55" s="2"/>
      <c r="B55" s="2"/>
      <c r="C55" s="3"/>
      <c r="D55" s="3"/>
      <c r="E55" s="4"/>
      <c r="F55" s="3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8"/>
      <c r="V55" s="2"/>
      <c r="Y55" s="218"/>
      <c r="Z55" s="11"/>
    </row>
    <row r="56" s="9" customFormat="true" ht="14.1" hidden="false" customHeight="true" outlineLevel="0" collapsed="false">
      <c r="A56" s="2"/>
      <c r="B56" s="2"/>
      <c r="C56" s="3"/>
      <c r="D56" s="3"/>
      <c r="E56" s="4"/>
      <c r="F56" s="3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8"/>
      <c r="V56" s="2"/>
      <c r="Y56" s="218"/>
      <c r="Z56" s="11"/>
    </row>
    <row r="57" s="9" customFormat="true" ht="14.1" hidden="false" customHeight="true" outlineLevel="0" collapsed="false">
      <c r="A57" s="2"/>
      <c r="B57" s="2"/>
      <c r="C57" s="3"/>
      <c r="D57" s="3"/>
      <c r="E57" s="4"/>
      <c r="F57" s="3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8"/>
      <c r="V57" s="2"/>
      <c r="Y57" s="218"/>
      <c r="Z57" s="11"/>
    </row>
    <row r="58" s="9" customFormat="true" ht="14.1" hidden="false" customHeight="true" outlineLevel="0" collapsed="false">
      <c r="A58" s="2"/>
      <c r="B58" s="2"/>
      <c r="C58" s="3"/>
      <c r="D58" s="3"/>
      <c r="E58" s="4"/>
      <c r="F58" s="3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  <c r="U58" s="8"/>
      <c r="V58" s="2"/>
      <c r="Y58" s="218"/>
      <c r="Z58" s="11"/>
    </row>
    <row r="59" s="9" customFormat="true" ht="14.1" hidden="false" customHeight="true" outlineLevel="0" collapsed="false">
      <c r="A59" s="2"/>
      <c r="B59" s="2"/>
      <c r="C59" s="3"/>
      <c r="D59" s="3"/>
      <c r="E59" s="4"/>
      <c r="F59" s="3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7"/>
      <c r="U59" s="8"/>
      <c r="V59" s="2"/>
      <c r="Y59" s="218"/>
      <c r="Z59" s="11"/>
    </row>
    <row r="60" s="9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  <c r="U60" s="8"/>
      <c r="V60" s="2"/>
      <c r="Y60" s="218"/>
      <c r="Z60" s="11"/>
    </row>
    <row r="61" s="9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  <c r="U61" s="8"/>
      <c r="V61" s="2"/>
      <c r="Y61" s="218"/>
      <c r="Z61" s="11"/>
    </row>
    <row r="62" s="9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8"/>
      <c r="V62" s="2"/>
      <c r="Y62" s="218"/>
      <c r="Z62" s="11"/>
    </row>
    <row r="63" s="9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  <c r="U63" s="8"/>
      <c r="V63" s="2"/>
      <c r="Y63" s="218"/>
      <c r="Z63" s="11"/>
    </row>
    <row r="64" s="9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  <c r="U64" s="8"/>
      <c r="V64" s="2"/>
      <c r="Y64" s="218"/>
      <c r="Z64" s="11"/>
    </row>
    <row r="65" s="9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  <c r="U65" s="8"/>
      <c r="V65" s="2"/>
      <c r="Y65" s="218"/>
      <c r="Z65" s="11"/>
    </row>
    <row r="66" s="9" customFormat="true" ht="14.1" hidden="false" customHeight="true" outlineLevel="0" collapsed="false">
      <c r="A66" s="2"/>
      <c r="B66" s="2"/>
      <c r="C66" s="3"/>
      <c r="D66" s="3"/>
      <c r="E66" s="4"/>
      <c r="F66" s="3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  <c r="U66" s="8"/>
      <c r="V66" s="2"/>
      <c r="Y66" s="218"/>
      <c r="Z66" s="11"/>
    </row>
    <row r="67" s="9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"/>
      <c r="U67" s="8"/>
      <c r="V67" s="2"/>
      <c r="Y67" s="218"/>
      <c r="Z67" s="11"/>
    </row>
    <row r="68" s="9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  <c r="U68" s="8"/>
      <c r="V68" s="2"/>
      <c r="Y68" s="218"/>
      <c r="Z68" s="11"/>
    </row>
    <row r="69" s="9" customFormat="true" ht="14.1" hidden="false" customHeight="true" outlineLevel="0" collapsed="false">
      <c r="A69" s="2"/>
      <c r="B69" s="2"/>
      <c r="C69" s="3"/>
      <c r="D69" s="3"/>
      <c r="E69" s="4"/>
      <c r="F69" s="3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  <c r="U69" s="8"/>
      <c r="V69" s="2"/>
      <c r="Y69" s="218"/>
      <c r="Z69" s="11"/>
    </row>
    <row r="70" s="9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8"/>
      <c r="V70" s="2"/>
      <c r="Y70" s="218"/>
      <c r="Z70" s="11"/>
    </row>
    <row r="71" s="9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  <c r="U71" s="8"/>
      <c r="V71" s="2"/>
      <c r="Y71" s="218"/>
      <c r="Z71" s="11"/>
    </row>
    <row r="72" s="9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  <c r="U72" s="8"/>
      <c r="V72" s="2"/>
      <c r="Y72" s="218"/>
      <c r="Z72" s="11"/>
    </row>
    <row r="73" s="9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7"/>
      <c r="U73" s="8"/>
      <c r="V73" s="2"/>
      <c r="Y73" s="218"/>
      <c r="Z73" s="11"/>
    </row>
    <row r="74" s="9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  <c r="U74" s="8"/>
      <c r="V74" s="2"/>
      <c r="Y74" s="218"/>
      <c r="Z74" s="11"/>
    </row>
    <row r="75" s="9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7"/>
      <c r="U75" s="8"/>
      <c r="V75" s="2"/>
      <c r="Y75" s="218"/>
      <c r="Z75" s="11"/>
    </row>
    <row r="76" s="9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  <c r="U76" s="8"/>
      <c r="V76" s="2"/>
      <c r="Y76" s="218"/>
      <c r="Z76" s="11"/>
    </row>
    <row r="77" s="9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7"/>
      <c r="U77" s="8"/>
      <c r="V77" s="2"/>
      <c r="Y77" s="218"/>
      <c r="Z77" s="11"/>
    </row>
    <row r="78" s="9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  <c r="U78" s="8"/>
      <c r="V78" s="2"/>
      <c r="Y78" s="218"/>
      <c r="Z78" s="11"/>
    </row>
    <row r="79" s="9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7"/>
      <c r="U79" s="8"/>
      <c r="V79" s="2"/>
      <c r="Y79" s="218"/>
      <c r="Z79" s="11"/>
    </row>
    <row r="80" s="9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  <c r="U80" s="8"/>
      <c r="V80" s="2"/>
      <c r="Y80" s="218"/>
      <c r="Z80" s="11"/>
    </row>
    <row r="81" s="9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7"/>
      <c r="U81" s="8"/>
      <c r="V81" s="2"/>
      <c r="Y81" s="218"/>
      <c r="Z81" s="11"/>
    </row>
    <row r="82" s="9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7"/>
      <c r="U82" s="8"/>
      <c r="V82" s="2"/>
      <c r="Y82" s="218"/>
      <c r="Z82" s="11"/>
    </row>
    <row r="83" s="9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7"/>
      <c r="U83" s="8"/>
      <c r="V83" s="2"/>
      <c r="Y83" s="218"/>
      <c r="Z83" s="11"/>
    </row>
    <row r="84" s="9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  <c r="U84" s="8"/>
      <c r="V84" s="2"/>
      <c r="Y84" s="218"/>
      <c r="Z84" s="11"/>
    </row>
    <row r="85" s="9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  <c r="U85" s="8"/>
      <c r="V85" s="2"/>
      <c r="Y85" s="218"/>
      <c r="Z85" s="11"/>
    </row>
    <row r="86" s="9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  <c r="U86" s="8"/>
      <c r="V86" s="2"/>
      <c r="Y86" s="218"/>
      <c r="Z86" s="11"/>
    </row>
    <row r="87" s="9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7"/>
      <c r="U87" s="8"/>
      <c r="V87" s="2"/>
      <c r="Y87" s="218"/>
      <c r="Z87" s="11"/>
    </row>
    <row r="88" s="9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  <c r="U88" s="8"/>
      <c r="V88" s="2"/>
      <c r="Y88" s="218"/>
      <c r="Z88" s="11"/>
    </row>
    <row r="89" s="9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"/>
      <c r="U89" s="8"/>
      <c r="V89" s="2"/>
      <c r="Y89" s="218"/>
      <c r="Z89" s="11"/>
    </row>
    <row r="90" s="9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  <c r="U90" s="8"/>
      <c r="V90" s="2"/>
      <c r="Y90" s="218"/>
      <c r="Z90" s="11"/>
    </row>
    <row r="91" s="9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  <c r="U91" s="8"/>
      <c r="V91" s="2"/>
      <c r="Y91" s="218"/>
      <c r="Z91" s="11"/>
    </row>
    <row r="92" s="9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8"/>
      <c r="V92" s="2"/>
      <c r="Y92" s="218"/>
      <c r="Z92" s="11"/>
    </row>
    <row r="93" s="9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  <c r="U93" s="8"/>
      <c r="V93" s="2"/>
      <c r="Y93" s="218"/>
      <c r="Z93" s="11"/>
    </row>
    <row r="94" s="9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8"/>
      <c r="V94" s="2"/>
      <c r="Y94" s="218"/>
      <c r="Z94" s="11"/>
    </row>
    <row r="95" s="9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7"/>
      <c r="U95" s="8"/>
      <c r="V95" s="2"/>
      <c r="Y95" s="218"/>
      <c r="Z95" s="11"/>
    </row>
    <row r="96" s="9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  <c r="U96" s="8"/>
      <c r="V96" s="2"/>
      <c r="Y96" s="218"/>
      <c r="Z96" s="11"/>
    </row>
    <row r="97" s="9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7"/>
      <c r="U97" s="8"/>
      <c r="V97" s="2"/>
      <c r="Y97" s="218"/>
      <c r="Z97" s="11"/>
    </row>
    <row r="98" s="9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  <c r="U98" s="8"/>
      <c r="V98" s="2"/>
      <c r="Y98" s="218"/>
      <c r="Z98" s="11"/>
    </row>
    <row r="99" s="9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7"/>
      <c r="U99" s="8"/>
      <c r="V99" s="2"/>
      <c r="Y99" s="218"/>
      <c r="Z99" s="11"/>
    </row>
    <row r="100" s="9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8"/>
      <c r="V100" s="2"/>
      <c r="Y100" s="218"/>
      <c r="Z100" s="11"/>
    </row>
    <row r="101" s="9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8"/>
      <c r="V101" s="2"/>
      <c r="Y101" s="218"/>
      <c r="Z101" s="11"/>
    </row>
    <row r="102" s="9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8"/>
      <c r="V102" s="2"/>
      <c r="Y102" s="218"/>
      <c r="Z102" s="11"/>
    </row>
    <row r="103" s="9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8"/>
      <c r="V103" s="2"/>
      <c r="Y103" s="218"/>
      <c r="Z103" s="11"/>
    </row>
    <row r="104" s="9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8"/>
      <c r="V104" s="2"/>
      <c r="Y104" s="218"/>
      <c r="Z104" s="11"/>
    </row>
    <row r="105" s="9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8"/>
      <c r="V105" s="2"/>
      <c r="Y105" s="218"/>
      <c r="Z105" s="11"/>
    </row>
    <row r="106" s="9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8"/>
      <c r="V106" s="2"/>
      <c r="Y106" s="218"/>
      <c r="Z106" s="11"/>
    </row>
    <row r="107" s="9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8"/>
      <c r="V107" s="2"/>
      <c r="Y107" s="218"/>
      <c r="Z107" s="11"/>
    </row>
    <row r="108" s="9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8"/>
      <c r="V108" s="2"/>
      <c r="Y108" s="218"/>
      <c r="Z108" s="11"/>
    </row>
    <row r="109" s="9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8"/>
      <c r="V109" s="2"/>
      <c r="Y109" s="218"/>
      <c r="Z109" s="11"/>
    </row>
    <row r="110" s="9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8"/>
      <c r="V110" s="2"/>
      <c r="Y110" s="218"/>
      <c r="Z110" s="11"/>
    </row>
    <row r="111" s="9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8"/>
      <c r="V111" s="2"/>
      <c r="Y111" s="218"/>
      <c r="Z111" s="11"/>
    </row>
    <row r="112" s="9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8"/>
      <c r="V112" s="2"/>
      <c r="Y112" s="218"/>
      <c r="Z112" s="11"/>
    </row>
    <row r="113" s="9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8"/>
      <c r="V113" s="2"/>
      <c r="Y113" s="218"/>
      <c r="Z113" s="11"/>
    </row>
    <row r="114" s="9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8"/>
      <c r="V114" s="2"/>
      <c r="Y114" s="218"/>
      <c r="Z114" s="11"/>
    </row>
    <row r="115" s="9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8"/>
      <c r="V115" s="2"/>
      <c r="Y115" s="218"/>
      <c r="Z115" s="11"/>
    </row>
    <row r="116" s="9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8"/>
      <c r="V116" s="2"/>
      <c r="Y116" s="218"/>
      <c r="Z116" s="11"/>
    </row>
    <row r="117" s="9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8"/>
      <c r="V117" s="2"/>
      <c r="Y117" s="218"/>
      <c r="Z117" s="11"/>
    </row>
    <row r="118" s="9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8"/>
      <c r="V118" s="2"/>
      <c r="Y118" s="218"/>
      <c r="Z118" s="11"/>
    </row>
    <row r="119" s="9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8"/>
      <c r="V119" s="2"/>
      <c r="Y119" s="218"/>
      <c r="Z119" s="11"/>
    </row>
    <row r="120" s="9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8"/>
      <c r="V120" s="2"/>
      <c r="Y120" s="218"/>
      <c r="Z120" s="11"/>
    </row>
    <row r="121" s="9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8"/>
      <c r="V121" s="2"/>
      <c r="Y121" s="218"/>
      <c r="Z121" s="11"/>
    </row>
    <row r="122" s="9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8"/>
      <c r="V122" s="2"/>
      <c r="Y122" s="218"/>
      <c r="Z122" s="11"/>
    </row>
    <row r="123" s="9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8"/>
      <c r="V123" s="2"/>
      <c r="Y123" s="218"/>
      <c r="Z123" s="11"/>
    </row>
    <row r="124" s="9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8"/>
      <c r="V124" s="2"/>
      <c r="Y124" s="218"/>
      <c r="Z124" s="11"/>
    </row>
    <row r="125" s="9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8"/>
      <c r="V125" s="2"/>
      <c r="Y125" s="218"/>
      <c r="Z125" s="11"/>
    </row>
    <row r="126" s="9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8"/>
      <c r="V126" s="2"/>
      <c r="Y126" s="218"/>
      <c r="Z126" s="11"/>
    </row>
    <row r="127" s="9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8"/>
      <c r="V127" s="2"/>
      <c r="Y127" s="218"/>
      <c r="Z127" s="11"/>
    </row>
    <row r="128" s="9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8"/>
      <c r="V128" s="2"/>
      <c r="Y128" s="218"/>
      <c r="Z128" s="11"/>
    </row>
    <row r="129" s="9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8"/>
      <c r="V129" s="2"/>
      <c r="Y129" s="218"/>
      <c r="Z129" s="11"/>
    </row>
    <row r="130" s="9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8"/>
      <c r="V130" s="2"/>
      <c r="Y130" s="218"/>
      <c r="Z130" s="11"/>
    </row>
    <row r="131" s="9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8"/>
      <c r="V131" s="2"/>
      <c r="Y131" s="218"/>
      <c r="Z131" s="11"/>
    </row>
    <row r="132" s="9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8"/>
      <c r="V132" s="2"/>
      <c r="Y132" s="218"/>
      <c r="Z132" s="11"/>
    </row>
    <row r="133" s="9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8"/>
      <c r="V133" s="2"/>
      <c r="Y133" s="218"/>
      <c r="Z133" s="11"/>
    </row>
    <row r="134" s="9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8"/>
      <c r="V134" s="2"/>
      <c r="Y134" s="218"/>
      <c r="Z134" s="11"/>
    </row>
    <row r="135" s="9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8"/>
      <c r="V135" s="2"/>
      <c r="Y135" s="218"/>
      <c r="Z135" s="11"/>
    </row>
    <row r="136" s="9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8"/>
      <c r="V136" s="2"/>
      <c r="Y136" s="218"/>
      <c r="Z136" s="11"/>
    </row>
    <row r="137" s="9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8"/>
      <c r="V137" s="2"/>
      <c r="Y137" s="218"/>
      <c r="Z137" s="11"/>
    </row>
    <row r="138" s="9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8"/>
      <c r="V138" s="2"/>
      <c r="Y138" s="218"/>
      <c r="Z138" s="11"/>
    </row>
    <row r="139" s="9" customFormat="true" ht="14.1" hidden="false" customHeight="true" outlineLevel="0" collapsed="false">
      <c r="A139" s="2"/>
      <c r="B139" s="2"/>
      <c r="C139" s="219"/>
      <c r="D139" s="3"/>
      <c r="E139" s="4"/>
      <c r="F139" s="3"/>
      <c r="G139" s="5"/>
      <c r="H139" s="6"/>
      <c r="I139" s="6"/>
      <c r="J139" s="6"/>
      <c r="K139" s="220"/>
      <c r="L139" s="6"/>
      <c r="M139" s="6"/>
      <c r="N139" s="6"/>
      <c r="O139" s="6"/>
      <c r="P139" s="6"/>
      <c r="Q139" s="6"/>
      <c r="R139" s="6"/>
      <c r="S139" s="7"/>
      <c r="T139" s="7"/>
      <c r="V139" s="221"/>
      <c r="W139" s="222"/>
      <c r="X139" s="222"/>
      <c r="Y139" s="223"/>
      <c r="Z139" s="2"/>
    </row>
    <row r="140" s="226" customFormat="true" ht="26.25" hidden="false" customHeight="true" outlineLevel="0" collapsed="false">
      <c r="A140" s="224"/>
      <c r="B140" s="225"/>
      <c r="C140" s="225"/>
      <c r="D140" s="9"/>
      <c r="E140" s="9"/>
      <c r="F140" s="218"/>
      <c r="G140" s="9"/>
      <c r="H140" s="220"/>
      <c r="I140" s="220"/>
      <c r="J140" s="220"/>
      <c r="K140" s="6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116"/>
      <c r="W140" s="10"/>
      <c r="X140" s="10"/>
      <c r="Y140" s="3"/>
      <c r="Z140" s="2"/>
    </row>
    <row r="141" customFormat="false" ht="15" hidden="false" customHeight="true" outlineLevel="0" collapsed="false">
      <c r="V141" s="227"/>
      <c r="W141" s="2"/>
      <c r="X141" s="2"/>
    </row>
    <row r="142" customFormat="false" ht="15" hidden="false" customHeight="true" outlineLevel="0" collapsed="false"/>
    <row r="149" s="2" customFormat="true" ht="9.75" hidden="false" customHeight="true" outlineLevel="0" collapsed="false">
      <c r="F149" s="3"/>
    </row>
    <row r="150" s="2" customFormat="true" ht="10.5" hidden="false" customHeight="true" outlineLevel="0" collapsed="false">
      <c r="F150" s="113"/>
    </row>
    <row r="151" s="2" customFormat="true" ht="9.75" hidden="false" customHeight="true" outlineLevel="0" collapsed="false">
      <c r="F151" s="3"/>
    </row>
    <row r="153" customFormat="false" ht="15" hidden="false" customHeight="true" outlineLevel="0" collapsed="false"/>
    <row r="164" s="2" customFormat="true" ht="9.75" hidden="false" customHeight="true" outlineLevel="0" collapsed="false">
      <c r="J164" s="4"/>
    </row>
  </sheetData>
  <printOptions headings="false" gridLines="true" gridLinesSet="true" horizontalCentered="false" verticalCentered="false"/>
  <pageMargins left="0.2" right="0.209722222222222" top="0.170138888888889" bottom="0.170138888888889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LibreOffice/7.0.4.2$Windows_X86_64 LibreOffice_project/dcf040e67528d9187c66b2379df5ea4407429775</Application>
  <AppVersion>15.0000</AppVersion>
  <Company>Registry Magic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2002-09-03T16:34:09Z</dcterms:created>
  <dc:creator>candy</dc:creator>
  <dc:description/>
  <dc:language>en-US</dc:language>
  <cp:lastModifiedBy/>
  <cp:lastPrinted>2024-05-10T21:04:49Z</cp:lastPrinted>
  <dcterms:modified xsi:type="dcterms:W3CDTF">2024-05-29T16:26:43Z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