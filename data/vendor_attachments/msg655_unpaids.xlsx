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PR" sheetId="1" state="visible" r:id="rId2"/>
    <sheet name="UNPAID" sheetId="2" state="visible" r:id="rId3"/>
    <sheet name="BY ALPHA" sheetId="3" state="visible" r:id="rId4"/>
    <sheet name="BY SALES" sheetId="4" state="visible" r:id="rId5"/>
    <sheet name="AFTERHR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<sst xmlns="http://schemas.openxmlformats.org/spreadsheetml/2006/main" count="1812" uniqueCount="215">
  <si>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</si>
  <si>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</si>
  <si>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</si>
  <si>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</si>
  <si>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</si>
  <si>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</si>
  <si>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</si>
  <si>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</si>
  <si>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</si>
  <si>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</si>
  <si>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</si>
  <si>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</si>
  <si>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</si>
  <si>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</si>
  <si>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</si>
  <si>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</si>
  <si>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</si>
  <si>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</si>
  <si>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</si>
  <si>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</si>
  <si>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</si>
  <si>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</si>
  <si>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</si>
  <si>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</si>
  <si>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</si>
  <si>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</si>
  <si>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</si>
  <si>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</si>
  <si>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</si>
  <si>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</si>
  <si>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</si>
  <si>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</si>
  <si>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</si>
  <si>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</si>
  <si>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</si>
  <si>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</si>
  <si>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</si>
  <si>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</si>
  <si>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</si>
  <si>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</si>
  <si>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</si>
  <si>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</si>
  <si>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</si>
  <si>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AH</t>
  </si>
  <si>
    <t xml:space="preserve">5TH ST. STEAKHOUSE</t>
  </si>
  <si>
    <t xml:space="preserve">SUPPLIES</t>
  </si>
  <si>
    <t xml:space="preserve">UPS</t>
  </si>
  <si>
    <t xml:space="preserve">RF</t>
  </si>
  <si>
    <t xml:space="preserve">U</t>
  </si>
  <si>
    <t xml:space="preserve">ACRE RESTAURANT</t>
  </si>
  <si>
    <t xml:space="preserve">AMAKARA</t>
  </si>
  <si>
    <t xml:space="preserve">ANDI'S MKT</t>
  </si>
  <si>
    <t xml:space="preserve">ANDY'S LOCAL MARKET</t>
  </si>
  <si>
    <t xml:space="preserve">PU</t>
  </si>
  <si>
    <t xml:space="preserve">ROBERT</t>
  </si>
  <si>
    <t xml:space="preserve">ATWATER TAVERN</t>
  </si>
  <si>
    <t xml:space="preserve">AUGIE'S FRENCH</t>
  </si>
  <si>
    <t xml:space="preserve">BARREL HOUSE TAVERN</t>
  </si>
  <si>
    <t xml:space="preserve">DEL</t>
  </si>
  <si>
    <t xml:space="preserve">OH</t>
  </si>
  <si>
    <t xml:space="preserve">Called / sent email</t>
  </si>
  <si>
    <t xml:space="preserve">BISTRO 45</t>
  </si>
  <si>
    <t xml:space="preserve">BLUE BARN</t>
  </si>
  <si>
    <t xml:space="preserve">CM</t>
  </si>
  <si>
    <t xml:space="preserve">spoton</t>
  </si>
  <si>
    <t xml:space="preserve">unpaid</t>
  </si>
  <si>
    <t xml:space="preserve">BOCA PIZA</t>
  </si>
  <si>
    <t xml:space="preserve">NOVATO</t>
  </si>
  <si>
    <t xml:space="preserve">BOCA PIZZA</t>
  </si>
  <si>
    <t xml:space="preserve">BOCCA PIZZA</t>
  </si>
  <si>
    <t xml:space="preserve">EL</t>
  </si>
  <si>
    <t xml:space="preserve">sending payment</t>
  </si>
  <si>
    <t xml:space="preserve">BRAVAS DE TAPAS</t>
  </si>
  <si>
    <t xml:space="preserve">BUENA VISTA</t>
  </si>
  <si>
    <t xml:space="preserve">CALIFORNIOS</t>
  </si>
  <si>
    <t xml:space="preserve">CALISTOGA INN</t>
  </si>
  <si>
    <t xml:space="preserve">CASA LUPE MKT</t>
  </si>
  <si>
    <t xml:space="preserve">DROP</t>
  </si>
  <si>
    <t xml:space="preserve">HL</t>
  </si>
  <si>
    <t xml:space="preserve">CELIA'S/XALISCO CORP</t>
  </si>
  <si>
    <t xml:space="preserve">MANUEL</t>
  </si>
  <si>
    <t xml:space="preserve">COTOGNA</t>
  </si>
  <si>
    <t xml:space="preserve">DE ANZA COLLEGE</t>
  </si>
  <si>
    <t xml:space="preserve">DOLORES PARK CAFÉ</t>
  </si>
  <si>
    <t xml:space="preserve">EL HUARACHE LOCO</t>
  </si>
  <si>
    <t xml:space="preserve">FATTORIA E MARE</t>
  </si>
  <si>
    <t xml:space="preserve">FISH</t>
  </si>
  <si>
    <t xml:space="preserve">FRANKY'S</t>
  </si>
  <si>
    <t xml:space="preserve">FRANKY'S RESTAURANT</t>
  </si>
  <si>
    <t xml:space="preserve">check coming</t>
  </si>
  <si>
    <t xml:space="preserve">FRED'S LIQUOR</t>
  </si>
  <si>
    <t xml:space="preserve">6TH ST SF</t>
  </si>
  <si>
    <t xml:space="preserve">ONSITE</t>
  </si>
  <si>
    <t xml:space="preserve">MN</t>
  </si>
  <si>
    <t xml:space="preserve">GRAZIE</t>
  </si>
  <si>
    <t xml:space="preserve">JAVA HUT</t>
  </si>
  <si>
    <t xml:space="preserve">FFX</t>
  </si>
  <si>
    <t xml:space="preserve">JOHN'S GRILL</t>
  </si>
  <si>
    <t xml:space="preserve">KEY'S JAZZ BISTRO</t>
  </si>
  <si>
    <r>
      <rPr>
        <b val="true"/>
        <sz val="8"/>
        <rFont val="Arial"/>
        <family val="0"/>
      </rPr>
      <t xml:space="preserve">2</t>
    </r>
    <r>
      <rPr>
        <b val="true"/>
        <vertAlign val="superscript"/>
        <sz val="8"/>
        <rFont val="Arial"/>
        <family val="0"/>
      </rPr>
      <t xml:space="preserve">nd</t>
    </r>
    <r>
      <rPr>
        <b val="true"/>
        <sz val="8"/>
        <rFont val="Arial"/>
        <family val="0"/>
      </rPr>
      <t xml:space="preserve"> call</t>
    </r>
  </si>
  <si>
    <t xml:space="preserve">called sent email</t>
  </si>
  <si>
    <t xml:space="preserve">KIMONO</t>
  </si>
  <si>
    <t xml:space="preserve">BENICIA</t>
  </si>
  <si>
    <t xml:space="preserve">email sent</t>
  </si>
  <si>
    <t xml:space="preserve">MARINA SUPER</t>
  </si>
  <si>
    <t xml:space="preserve">cc expired</t>
  </si>
  <si>
    <t xml:space="preserve">MARISCOS EL AJOYANO</t>
  </si>
  <si>
    <t xml:space="preserve">Jose Q</t>
  </si>
  <si>
    <t xml:space="preserve">MIKE'S MARKET</t>
  </si>
  <si>
    <t xml:space="preserve">PWR BRICK</t>
  </si>
  <si>
    <t xml:space="preserve">MOLTI AMICI</t>
  </si>
  <si>
    <t xml:space="preserve">MOUNTAIN MIKE'S</t>
  </si>
  <si>
    <t xml:space="preserve">NEWARK</t>
  </si>
  <si>
    <t xml:space="preserve">MOYLAN'S</t>
  </si>
  <si>
    <t xml:space="preserve">OCEANVIEW DINER</t>
  </si>
  <si>
    <t xml:space="preserve">PEACOCK GAP</t>
  </si>
  <si>
    <t xml:space="preserve">POGGIO TRATTORIA</t>
  </si>
  <si>
    <t xml:space="preserve">POINT RICHMOND MKT</t>
  </si>
  <si>
    <t xml:space="preserve">BEN</t>
  </si>
  <si>
    <t xml:space="preserve">QUINCE</t>
  </si>
  <si>
    <t xml:space="preserve">QUINCE RESTAURANT</t>
  </si>
  <si>
    <t xml:space="preserve">REX ACE HARDWARE</t>
  </si>
  <si>
    <t xml:space="preserve">RILEY'S BAR</t>
  </si>
  <si>
    <t xml:space="preserve">RIVERFRONT CAFÉ</t>
  </si>
  <si>
    <t xml:space="preserve">SAI'S RESTAURANT &amp; BAR</t>
  </si>
  <si>
    <t xml:space="preserve">Salt &amp; Pepper</t>
  </si>
  <si>
    <t xml:space="preserve">SAN RAFAEL JOE'S</t>
  </si>
  <si>
    <t xml:space="preserve">SAN RAFALE JOE'S</t>
  </si>
  <si>
    <t xml:space="preserve">SEABREEZE</t>
  </si>
  <si>
    <t xml:space="preserve">perm closed</t>
  </si>
  <si>
    <t xml:space="preserve">SERVINO'S RESTAURANT</t>
  </si>
  <si>
    <t xml:space="preserve">called left message</t>
  </si>
  <si>
    <t xml:space="preserve">SOL FOOD COMMISARY</t>
  </si>
  <si>
    <t xml:space="preserve">BRETT</t>
  </si>
  <si>
    <t xml:space="preserve">THE CANTINA</t>
  </si>
  <si>
    <t xml:space="preserve">THE COOLER</t>
  </si>
  <si>
    <t xml:space="preserve">THE TRIDENT</t>
  </si>
  <si>
    <t xml:space="preserve">THE VILLAGE ITALIAN RESTAURANT</t>
  </si>
  <si>
    <t xml:space="preserve">THREE BROTHERS GRILL</t>
  </si>
  <si>
    <t xml:space="preserve">POTTSTOWN</t>
  </si>
  <si>
    <t xml:space="preserve">NO answer</t>
  </si>
  <si>
    <t xml:space="preserve">TIA MARGARITA</t>
  </si>
  <si>
    <t xml:space="preserve">TOMATINA</t>
  </si>
  <si>
    <t xml:space="preserve">ALAMEDA</t>
  </si>
  <si>
    <t xml:space="preserve">corp</t>
  </si>
  <si>
    <t xml:space="preserve">ROSEVILLE</t>
  </si>
  <si>
    <t xml:space="preserve">VESUVIO</t>
  </si>
  <si>
    <t xml:space="preserve">VINTAGE WINE MERCHANT</t>
  </si>
  <si>
    <t xml:space="preserve">WEST PORTAL DAILY</t>
  </si>
  <si>
    <t xml:space="preserve">called</t>
  </si>
  <si>
    <t xml:space="preserve">DK</t>
  </si>
  <si>
    <t xml:space="preserve">PARTS/ONSITE</t>
  </si>
  <si>
    <t xml:space="preserve">A&amp;W</t>
  </si>
  <si>
    <t xml:space="preserve">MONTHLY</t>
  </si>
  <si>
    <t xml:space="preserve">PH</t>
  </si>
  <si>
    <t xml:space="preserve">MB</t>
  </si>
  <si>
    <t xml:space="preserve">ARMANDO'S</t>
  </si>
  <si>
    <t xml:space="preserve">BIRD &amp; THE BOTTLE</t>
  </si>
  <si>
    <t xml:space="preserve">POLK</t>
  </si>
  <si>
    <t xml:space="preserve">COLE</t>
  </si>
  <si>
    <t xml:space="preserve">BOLINAS PEOPLE STORE</t>
  </si>
  <si>
    <t xml:space="preserve">CLAIRE</t>
  </si>
  <si>
    <t xml:space="preserve">BULL VALLEY ROADHOUSE</t>
  </si>
  <si>
    <t xml:space="preserve">CELIA'S/XALISCO</t>
  </si>
  <si>
    <t xml:space="preserve">DRV</t>
  </si>
  <si>
    <t xml:space="preserve">CHIEFTAIN IRISH PUB</t>
  </si>
  <si>
    <t xml:space="preserve">LG</t>
  </si>
  <si>
    <t xml:space="preserve">CLYDE'S LIQ</t>
  </si>
  <si>
    <t xml:space="preserve">COASTAL PACIFIC</t>
  </si>
  <si>
    <t xml:space="preserve">COCO'S MERCADO</t>
  </si>
  <si>
    <t xml:space="preserve">RA</t>
  </si>
  <si>
    <t xml:space="preserve">COFFEE ROASTERY</t>
  </si>
  <si>
    <t xml:space="preserve">S/A</t>
  </si>
  <si>
    <t xml:space="preserve">JS</t>
  </si>
  <si>
    <t xml:space="preserve">DELANCEY ST</t>
  </si>
  <si>
    <t xml:space="preserve">GROSSMAN'S</t>
  </si>
  <si>
    <t xml:space="preserve">GROSSMAN'S NOSHERY</t>
  </si>
  <si>
    <t xml:space="preserve">GUEST HOUSE REST</t>
  </si>
  <si>
    <t xml:space="preserve">HI DIVE</t>
  </si>
  <si>
    <t xml:space="preserve">SF</t>
  </si>
  <si>
    <t xml:space="preserve">HOUSE OF PRIME RIB</t>
  </si>
  <si>
    <t xml:space="preserve">AZ</t>
  </si>
  <si>
    <t xml:space="preserve">INSALATA</t>
  </si>
  <si>
    <t xml:space="preserve">ISABEL'S VINTAGE</t>
  </si>
  <si>
    <t xml:space="preserve">KITCHEN DOOR</t>
  </si>
  <si>
    <t xml:space="preserve">LA TOSCANA</t>
  </si>
  <si>
    <t xml:space="preserve">LIGHTHOUSE CAFÉ</t>
  </si>
  <si>
    <t xml:space="preserve">SAUS</t>
  </si>
  <si>
    <t xml:space="preserve">PAUL</t>
  </si>
  <si>
    <t xml:space="preserve">GERNER</t>
  </si>
  <si>
    <t xml:space="preserve">MAMANOKO</t>
  </si>
  <si>
    <t xml:space="preserve">OLD CHICAGO PIZZA</t>
  </si>
  <si>
    <t xml:space="preserve">OLD CHICAGO PIZZA DELIVERY</t>
  </si>
  <si>
    <t xml:space="preserve">PETITE LEFT BANK</t>
  </si>
  <si>
    <t xml:space="preserve">RIVER TIME RESTAURANT</t>
  </si>
  <si>
    <t xml:space="preserve">ROUND TABLE PIZZA</t>
  </si>
  <si>
    <t xml:space="preserve">CINDY</t>
  </si>
  <si>
    <t xml:space="preserve">SALT AND PEPPER</t>
  </si>
  <si>
    <t xml:space="preserve">SPECIALTY'S CAFÉ</t>
  </si>
  <si>
    <t xml:space="preserve">STATE MARKET</t>
  </si>
  <si>
    <t xml:space="preserve">TAGLIAFERRI DELI</t>
  </si>
  <si>
    <t xml:space="preserve">THE FORGE HANDCRAFTED PIZZA</t>
  </si>
  <si>
    <t xml:space="preserve">THE TIPSY PIG</t>
  </si>
  <si>
    <t xml:space="preserve">THE VILLAGE ITALIAN REST</t>
  </si>
  <si>
    <t xml:space="preserve">SANTA CLARA</t>
  </si>
  <si>
    <t xml:space="preserve">VALENCIA WHOLE FOODS</t>
  </si>
  <si>
    <t xml:space="preserve">VILLA CORONA</t>
  </si>
  <si>
    <t xml:space="preserve">VINTNER'S GOLF</t>
  </si>
  <si>
    <t xml:space="preserve">WATERBAR</t>
  </si>
  <si>
    <t xml:space="preserve">WILLI'S WINE BAR</t>
  </si>
  <si>
    <t xml:space="preserve">AFTER HOURS PHONES</t>
  </si>
  <si>
    <t xml:space="preserve">PRIMARY</t>
  </si>
  <si>
    <t xml:space="preserve">VACATION REMINDER</t>
  </si>
  <si>
    <t xml:space="preserve">PHONE PERSON</t>
  </si>
  <si>
    <t xml:space="preserve">DOUG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</si>
</sst>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  <numFmt numFmtId="175" formatCode="m/d/yyyy"/>
  </numFmts>
  <fonts count="3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 val="true"/>
      <sz val="8"/>
      <name val="Arial"/>
      <family val="2"/>
    </font>
    <font>
      <b val="true"/>
      <sz val="8"/>
      <name val="Comic Sans MS"/>
      <family val="4"/>
    </font>
    <font>
      <b val="true"/>
      <sz val="14"/>
      <name val="바탕"/>
      <family val="1"/>
    </font>
    <font>
      <b val="true"/>
      <sz val="8"/>
      <name val="바탕"/>
      <family val="1"/>
    </font>
    <font>
      <b val="true"/>
      <sz val="9"/>
      <name val="Arial"/>
      <family val="2"/>
    </font>
    <font>
      <b val="true"/>
      <sz val="8"/>
      <color rgb="FFFF0000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9"/>
      <name val="Arial"/>
      <family val="2"/>
    </font>
    <font>
      <b val="true"/>
      <sz val="9"/>
      <name val="Comic Sans MS"/>
      <family val="4"/>
    </font>
    <font>
      <b val="true"/>
      <sz val="8"/>
      <color rgb="FFFF0000"/>
      <name val="Comic Sans MS"/>
      <family val="4"/>
    </font>
    <font>
      <sz val="8"/>
      <name val="Comic Sans MS"/>
      <family val="4"/>
    </font>
    <font>
      <sz val="8"/>
      <color rgb="FF000000"/>
      <name val="Arial"/>
      <family val="2"/>
    </font>
    <font>
      <b val="true"/>
      <sz val="10"/>
      <name val="Comic Sans MS"/>
      <family val="4"/>
    </font>
    <font>
      <sz val="8"/>
      <color rgb="FFFF0000"/>
      <name val="Comic Sans MS"/>
      <family val="4"/>
    </font>
    <font>
      <b val="true"/>
      <sz val="8"/>
      <color rgb="FF333399"/>
      <name val="Arial"/>
      <family val="2"/>
    </font>
    <font>
      <b val="true"/>
      <sz val="8"/>
      <color rgb="FF99CCFF"/>
      <name val="Comic Sans MS"/>
      <family val="4"/>
    </font>
    <font>
      <b val="true"/>
      <sz val="8"/>
      <name val="Arial"/>
      <family val="0"/>
    </font>
    <font>
      <b val="true"/>
      <vertAlign val="superscript"/>
      <sz val="8"/>
      <name val="Arial"/>
      <family val="0"/>
    </font>
    <font>
      <b val="true"/>
      <sz val="10"/>
      <name val="바탕"/>
      <family val="1"/>
    </font>
    <font>
      <sz val="10"/>
      <name val="바탕"/>
      <family val="1"/>
    </font>
    <font>
      <sz val="8"/>
      <name val="바탕"/>
      <family val="1"/>
    </font>
    <font>
      <sz val="9"/>
      <name val="바탕"/>
      <family val="1"/>
    </font>
    <font>
      <b val="true"/>
      <sz val="12"/>
      <name val="바탕"/>
      <family val="1"/>
    </font>
    <font>
      <b val="true"/>
      <sz val="9"/>
      <name val="바탕"/>
      <family val="1"/>
    </font>
    <font>
      <sz val="12"/>
      <name val="바탕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FF808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AC09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C19" activeCellId="1" sqref="60:60 C19"/>
    </sheetView>
  </sheetViews>
  <sheetFormatPr defaultColWidth="9.13671875" defaultRowHeight="12.8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18.58"/>
    <col collapsed="false" customWidth="true" hidden="false" outlineLevel="0" max="3" min="3" style="3" width="12.29"/>
    <col collapsed="false" customWidth="true" hidden="false" outlineLevel="0" max="4" min="4" style="3" width="8.4"/>
    <col collapsed="false" customWidth="true" hidden="false" outlineLevel="0" max="5" min="5" style="4" width="5.01"/>
    <col collapsed="false" customWidth="true" hidden="false" outlineLevel="0" max="6" min="6" style="3" width="10.71"/>
    <col collapsed="false" customWidth="true" hidden="false" outlineLevel="0" max="7" min="7" style="5" width="5.28"/>
    <col collapsed="false" customWidth="true" hidden="false" outlineLevel="0" max="8" min="8" style="5" width="6.71"/>
    <col collapsed="false" customWidth="true" hidden="false" outlineLevel="0" max="9" min="9" style="6" width="7.29"/>
    <col collapsed="false" customWidth="true" hidden="false" outlineLevel="0" max="10" min="10" style="6" width="6.15"/>
    <col collapsed="false" customWidth="true" hidden="false" outlineLevel="0" max="11" min="11" style="6" width="8.14"/>
    <col collapsed="false" customWidth="true" hidden="false" outlineLevel="0" max="12" min="12" style="6" width="7"/>
    <col collapsed="false" customWidth="true" hidden="false" outlineLevel="0" max="13" min="13" style="6" width="7.57"/>
    <col collapsed="false" customWidth="true" hidden="false" outlineLevel="0" max="14" min="14" style="6" width="6.42"/>
    <col collapsed="false" customWidth="true" hidden="false" outlineLevel="0" max="15" min="15" style="6" width="5.57"/>
    <col collapsed="false" customWidth="true" hidden="false" outlineLevel="0" max="16" min="16" style="6" width="6.28"/>
    <col collapsed="false" customWidth="true" hidden="false" outlineLevel="0" max="17" min="17" style="6" width="6.42"/>
    <col collapsed="false" customWidth="true" hidden="false" outlineLevel="0" max="18" min="18" style="6" width="6.57"/>
    <col collapsed="false" customWidth="true" hidden="false" outlineLevel="0" max="19" min="19" style="6" width="7.71"/>
    <col collapsed="false" customWidth="true" hidden="false" outlineLevel="0" max="20" min="20" style="6" width="6.88"/>
    <col collapsed="false" customWidth="true" hidden="false" outlineLevel="0" max="21" min="21" style="7" width="7"/>
    <col collapsed="false" customWidth="true" hidden="false" outlineLevel="0" max="22" min="22" style="8" width="12.57"/>
    <col collapsed="false" customWidth="true" hidden="false" outlineLevel="0" max="23" min="23" style="2" width="3.98"/>
    <col collapsed="false" customWidth="true" hidden="false" outlineLevel="0" max="24" min="24" style="9" width="3.14"/>
    <col collapsed="false" customWidth="true" hidden="false" outlineLevel="0" max="25" min="25" style="9" width="4.14"/>
    <col collapsed="false" customWidth="true" hidden="false" outlineLevel="0" max="26" min="26" style="10" width="11.71"/>
    <col collapsed="false" customWidth="true" hidden="false" outlineLevel="0" max="27" min="27" style="11" width="8.29"/>
    <col collapsed="false" customWidth="false" hidden="false" outlineLevel="0" max="1024" min="28" style="2" width="9.13"/>
  </cols>
  <sheetData>
    <row r="1" s="20" customFormat="true" ht="19.9" hidden="false" customHeight="true" outlineLevel="0" collapsed="false">
      <c r="A1" s="12" t="n">
        <v>45383</v>
      </c>
      <c r="B1" s="12"/>
      <c r="C1" s="13" t="s">
        <v>0</v>
      </c>
      <c r="D1" s="14"/>
      <c r="E1" s="15"/>
      <c r="F1" s="16"/>
      <c r="G1" s="17"/>
      <c r="H1" s="17"/>
      <c r="I1" s="18"/>
      <c r="J1" s="19"/>
      <c r="K1" s="18"/>
      <c r="L1" s="18"/>
      <c r="M1" s="18"/>
      <c r="N1" s="18"/>
      <c r="P1" s="18"/>
      <c r="Q1" s="18"/>
      <c r="R1" s="18"/>
      <c r="S1" s="18"/>
      <c r="T1" s="18"/>
      <c r="U1" s="21"/>
      <c r="V1" s="22"/>
      <c r="W1" s="23"/>
      <c r="Z1" s="24"/>
      <c r="AA1" s="25"/>
    </row>
    <row r="2" s="9" customFormat="true" ht="31.5" hidden="false" customHeight="true" outlineLevel="0" collapsed="false">
      <c r="A2" s="26"/>
      <c r="B2" s="27" t="s">
        <v>1</v>
      </c>
      <c r="C2" s="28" t="s">
        <v>2</v>
      </c>
      <c r="D2" s="29" t="s">
        <v>3</v>
      </c>
      <c r="E2" s="30" t="s">
        <v>4</v>
      </c>
      <c r="F2" s="31" t="s">
        <v>5</v>
      </c>
      <c r="G2" s="32" t="s">
        <v>6</v>
      </c>
      <c r="H2" s="33" t="s">
        <v>7</v>
      </c>
      <c r="I2" s="34" t="s">
        <v>8</v>
      </c>
      <c r="J2" s="35" t="s">
        <v>9</v>
      </c>
      <c r="K2" s="36" t="s">
        <v>10</v>
      </c>
      <c r="L2" s="37" t="s">
        <v>11</v>
      </c>
      <c r="M2" s="38" t="s">
        <v>12</v>
      </c>
      <c r="N2" s="39" t="s">
        <v>13</v>
      </c>
      <c r="O2" s="40" t="s">
        <v>14</v>
      </c>
      <c r="P2" s="41" t="s">
        <v>15</v>
      </c>
      <c r="Q2" s="41" t="s">
        <v>16</v>
      </c>
      <c r="R2" s="41" t="s">
        <v>17</v>
      </c>
      <c r="S2" s="42" t="s">
        <v>18</v>
      </c>
      <c r="T2" s="43" t="s">
        <v>19</v>
      </c>
      <c r="U2" s="44" t="s">
        <v>20</v>
      </c>
      <c r="V2" s="45" t="s">
        <v>21</v>
      </c>
      <c r="W2" s="46" t="s">
        <v>22</v>
      </c>
      <c r="X2" s="47" t="s">
        <v>23</v>
      </c>
      <c r="Y2" s="47" t="s">
        <v>24</v>
      </c>
      <c r="Z2" s="48"/>
      <c r="AA2" s="49"/>
    </row>
    <row r="3" s="9" customFormat="true" ht="6.75" hidden="false" customHeight="true" outlineLevel="0" collapsed="false">
      <c r="A3" s="50"/>
      <c r="B3" s="51"/>
      <c r="C3" s="52"/>
      <c r="D3" s="53"/>
      <c r="E3" s="54"/>
      <c r="F3" s="55"/>
      <c r="G3" s="56"/>
      <c r="H3" s="56"/>
      <c r="I3" s="57"/>
      <c r="J3" s="58"/>
      <c r="K3" s="58"/>
      <c r="L3" s="58"/>
      <c r="M3" s="58"/>
      <c r="N3" s="57"/>
      <c r="O3" s="58"/>
      <c r="P3" s="57"/>
      <c r="Q3" s="59"/>
      <c r="R3" s="60"/>
      <c r="S3" s="57"/>
      <c r="T3" s="60"/>
      <c r="U3" s="61"/>
      <c r="V3" s="62"/>
      <c r="W3" s="63"/>
      <c r="X3" s="64"/>
      <c r="Y3" s="64"/>
      <c r="Z3" s="65"/>
      <c r="AA3" s="49"/>
    </row>
    <row r="4" customFormat="false" ht="15.75" hidden="false" customHeight="true" outlineLevel="0" collapsed="false">
      <c r="A4" s="66" t="s">
        <v>25</v>
      </c>
      <c r="B4" s="67"/>
      <c r="C4" s="68"/>
      <c r="D4" s="68"/>
      <c r="E4" s="69"/>
      <c r="F4" s="68"/>
      <c r="G4" s="70"/>
      <c r="H4" s="70"/>
      <c r="I4" s="71"/>
      <c r="J4" s="72"/>
      <c r="K4" s="71"/>
      <c r="L4" s="71"/>
      <c r="M4" s="71"/>
      <c r="N4" s="71"/>
      <c r="O4" s="72"/>
      <c r="P4" s="71"/>
      <c r="Q4" s="71"/>
      <c r="R4" s="71"/>
      <c r="S4" s="71"/>
      <c r="T4" s="71"/>
      <c r="U4" s="73"/>
      <c r="V4" s="74"/>
      <c r="W4" s="75"/>
      <c r="X4" s="67"/>
      <c r="Y4" s="76"/>
      <c r="Z4" s="77"/>
    </row>
    <row r="5" customFormat="false" ht="9" hidden="false" customHeight="true" outlineLevel="0" collapsed="false">
      <c r="A5" s="78"/>
      <c r="B5" s="79"/>
      <c r="C5" s="80"/>
      <c r="D5" s="81"/>
      <c r="E5" s="82"/>
      <c r="F5" s="83"/>
      <c r="G5" s="84"/>
      <c r="H5" s="84"/>
      <c r="I5" s="85"/>
      <c r="J5" s="86"/>
      <c r="K5" s="86"/>
      <c r="L5" s="86"/>
      <c r="M5" s="86"/>
      <c r="N5" s="85"/>
      <c r="O5" s="86"/>
      <c r="P5" s="85"/>
      <c r="Q5" s="87"/>
      <c r="R5" s="88"/>
      <c r="S5" s="85"/>
      <c r="T5" s="88"/>
      <c r="U5" s="89"/>
      <c r="V5" s="90"/>
      <c r="W5" s="91"/>
      <c r="X5" s="92"/>
      <c r="Y5" s="93"/>
      <c r="Z5" s="94"/>
    </row>
    <row r="6" s="9" customFormat="true" ht="14.1" hidden="false" customHeight="true" outlineLevel="0" collapsed="false">
      <c r="A6" s="95"/>
      <c r="B6" s="2"/>
      <c r="C6" s="3"/>
      <c r="D6" s="96"/>
      <c r="E6" s="97"/>
      <c r="F6" s="98"/>
      <c r="G6" s="5"/>
      <c r="H6" s="99"/>
      <c r="I6" s="100"/>
      <c r="J6" s="101"/>
      <c r="K6" s="101"/>
      <c r="L6" s="101"/>
      <c r="M6" s="101"/>
      <c r="N6" s="100"/>
      <c r="O6" s="101"/>
      <c r="P6" s="100"/>
      <c r="Q6" s="6"/>
      <c r="R6" s="102"/>
      <c r="S6" s="100"/>
      <c r="T6" s="102"/>
      <c r="U6" s="103"/>
      <c r="V6" s="90" t="n">
        <f aca="false">SUM(I6:U6)</f>
        <v>0</v>
      </c>
      <c r="W6" s="104"/>
      <c r="Y6" s="105"/>
      <c r="Z6" s="106"/>
      <c r="AA6" s="49"/>
    </row>
    <row r="7" s="9" customFormat="true" ht="14.1" hidden="false" customHeight="true" outlineLevel="0" collapsed="false">
      <c r="A7" s="95"/>
      <c r="B7" s="2"/>
      <c r="C7" s="3"/>
      <c r="D7" s="96"/>
      <c r="E7" s="97"/>
      <c r="F7" s="98"/>
      <c r="G7" s="5"/>
      <c r="H7" s="99"/>
      <c r="I7" s="100"/>
      <c r="J7" s="101"/>
      <c r="K7" s="101"/>
      <c r="L7" s="101"/>
      <c r="M7" s="101"/>
      <c r="N7" s="100"/>
      <c r="O7" s="101"/>
      <c r="P7" s="100"/>
      <c r="Q7" s="6"/>
      <c r="R7" s="102"/>
      <c r="S7" s="100"/>
      <c r="T7" s="102"/>
      <c r="U7" s="103"/>
      <c r="V7" s="90" t="n">
        <f aca="false">SUM(I7:U7)</f>
        <v>0</v>
      </c>
      <c r="W7" s="104"/>
      <c r="Y7" s="105"/>
      <c r="Z7" s="106"/>
      <c r="AA7" s="49"/>
    </row>
    <row r="8" s="9" customFormat="true" ht="14.1" hidden="false" customHeight="true" outlineLevel="0" collapsed="false">
      <c r="A8" s="95"/>
      <c r="B8" s="2"/>
      <c r="C8" s="3"/>
      <c r="D8" s="96"/>
      <c r="E8" s="97"/>
      <c r="F8" s="98"/>
      <c r="G8" s="5"/>
      <c r="H8" s="99"/>
      <c r="I8" s="100"/>
      <c r="J8" s="101"/>
      <c r="K8" s="101"/>
      <c r="L8" s="101"/>
      <c r="M8" s="101"/>
      <c r="N8" s="100"/>
      <c r="O8" s="101"/>
      <c r="P8" s="100"/>
      <c r="Q8" s="6"/>
      <c r="R8" s="102"/>
      <c r="S8" s="100"/>
      <c r="T8" s="102"/>
      <c r="U8" s="103"/>
      <c r="V8" s="90" t="n">
        <f aca="false">SUM(I8:U8)</f>
        <v>0</v>
      </c>
      <c r="W8" s="104"/>
      <c r="Y8" s="105"/>
      <c r="Z8" s="106"/>
      <c r="AA8" s="49"/>
    </row>
    <row r="9" s="9" customFormat="true" ht="14.1" hidden="false" customHeight="true" outlineLevel="0" collapsed="false">
      <c r="A9" s="95"/>
      <c r="B9" s="2"/>
      <c r="C9" s="3"/>
      <c r="D9" s="96"/>
      <c r="E9" s="97"/>
      <c r="F9" s="98"/>
      <c r="G9" s="5"/>
      <c r="H9" s="99"/>
      <c r="I9" s="100"/>
      <c r="J9" s="101"/>
      <c r="K9" s="101"/>
      <c r="L9" s="101"/>
      <c r="M9" s="101"/>
      <c r="N9" s="100"/>
      <c r="O9" s="101"/>
      <c r="P9" s="100"/>
      <c r="Q9" s="6"/>
      <c r="R9" s="102"/>
      <c r="S9" s="100"/>
      <c r="T9" s="102"/>
      <c r="U9" s="103"/>
      <c r="V9" s="90" t="n">
        <f aca="false">SUM(I9:U9)</f>
        <v>0</v>
      </c>
      <c r="W9" s="104"/>
      <c r="Y9" s="105"/>
      <c r="Z9" s="106"/>
      <c r="AA9" s="49"/>
    </row>
    <row r="10" s="9" customFormat="true" ht="14.1" hidden="false" customHeight="true" outlineLevel="0" collapsed="false">
      <c r="A10" s="95"/>
      <c r="B10" s="2"/>
      <c r="C10" s="3"/>
      <c r="D10" s="96"/>
      <c r="E10" s="97"/>
      <c r="F10" s="98"/>
      <c r="G10" s="5"/>
      <c r="H10" s="99"/>
      <c r="I10" s="100"/>
      <c r="J10" s="101"/>
      <c r="K10" s="101"/>
      <c r="L10" s="101"/>
      <c r="M10" s="101"/>
      <c r="N10" s="100"/>
      <c r="O10" s="101"/>
      <c r="P10" s="100"/>
      <c r="Q10" s="6"/>
      <c r="R10" s="102"/>
      <c r="S10" s="100"/>
      <c r="T10" s="102"/>
      <c r="U10" s="103"/>
      <c r="V10" s="90" t="n">
        <f aca="false">SUM(I10:U10)</f>
        <v>0</v>
      </c>
      <c r="W10" s="104"/>
      <c r="Y10" s="105"/>
      <c r="Z10" s="106"/>
      <c r="AA10" s="49"/>
    </row>
    <row r="11" s="9" customFormat="true" ht="14.1" hidden="false" customHeight="true" outlineLevel="0" collapsed="false">
      <c r="A11" s="95"/>
      <c r="B11" s="2"/>
      <c r="C11" s="3"/>
      <c r="D11" s="96"/>
      <c r="E11" s="97"/>
      <c r="F11" s="98"/>
      <c r="G11" s="5"/>
      <c r="H11" s="99"/>
      <c r="I11" s="100"/>
      <c r="J11" s="101"/>
      <c r="K11" s="101"/>
      <c r="L11" s="101"/>
      <c r="M11" s="101"/>
      <c r="N11" s="100"/>
      <c r="O11" s="101"/>
      <c r="P11" s="100"/>
      <c r="Q11" s="6"/>
      <c r="R11" s="102"/>
      <c r="S11" s="100"/>
      <c r="T11" s="102"/>
      <c r="U11" s="103"/>
      <c r="V11" s="90" t="n">
        <f aca="false">SUM(I11:U11)</f>
        <v>0</v>
      </c>
      <c r="W11" s="104"/>
      <c r="Y11" s="105"/>
      <c r="Z11" s="106"/>
      <c r="AA11" s="49"/>
    </row>
    <row r="12" s="9" customFormat="true" ht="14.1" hidden="false" customHeight="true" outlineLevel="0" collapsed="false">
      <c r="A12" s="95"/>
      <c r="B12" s="2"/>
      <c r="C12" s="3"/>
      <c r="D12" s="96"/>
      <c r="E12" s="97"/>
      <c r="F12" s="98"/>
      <c r="G12" s="5"/>
      <c r="H12" s="99"/>
      <c r="I12" s="100"/>
      <c r="J12" s="101"/>
      <c r="K12" s="101"/>
      <c r="L12" s="101"/>
      <c r="M12" s="101"/>
      <c r="N12" s="100"/>
      <c r="O12" s="101"/>
      <c r="P12" s="100"/>
      <c r="Q12" s="6"/>
      <c r="R12" s="102"/>
      <c r="S12" s="100"/>
      <c r="T12" s="102"/>
      <c r="U12" s="103"/>
      <c r="V12" s="90" t="n">
        <f aca="false">SUM(I12:U12)</f>
        <v>0</v>
      </c>
      <c r="W12" s="104"/>
      <c r="Y12" s="105"/>
      <c r="Z12" s="106"/>
      <c r="AA12" s="49"/>
    </row>
    <row r="13" s="9" customFormat="true" ht="14.1" hidden="false" customHeight="true" outlineLevel="0" collapsed="false">
      <c r="A13" s="95"/>
      <c r="B13" s="2"/>
      <c r="C13" s="3"/>
      <c r="D13" s="96"/>
      <c r="E13" s="97"/>
      <c r="F13" s="98"/>
      <c r="G13" s="5"/>
      <c r="H13" s="99"/>
      <c r="I13" s="100"/>
      <c r="J13" s="101"/>
      <c r="K13" s="101"/>
      <c r="L13" s="101"/>
      <c r="M13" s="101"/>
      <c r="N13" s="100"/>
      <c r="O13" s="101"/>
      <c r="P13" s="100"/>
      <c r="Q13" s="6"/>
      <c r="R13" s="102"/>
      <c r="S13" s="100"/>
      <c r="T13" s="102"/>
      <c r="U13" s="103"/>
      <c r="V13" s="90" t="n">
        <f aca="false">SUM(I13:U13)</f>
        <v>0</v>
      </c>
      <c r="W13" s="104"/>
      <c r="Y13" s="105"/>
      <c r="Z13" s="106"/>
      <c r="AA13" s="49"/>
    </row>
    <row r="14" s="9" customFormat="true" ht="14.1" hidden="false" customHeight="true" outlineLevel="0" collapsed="false">
      <c r="A14" s="95"/>
      <c r="B14" s="2"/>
      <c r="C14" s="3"/>
      <c r="D14" s="96"/>
      <c r="E14" s="97"/>
      <c r="F14" s="98"/>
      <c r="G14" s="5"/>
      <c r="H14" s="99"/>
      <c r="I14" s="100"/>
      <c r="J14" s="101"/>
      <c r="K14" s="101"/>
      <c r="L14" s="101"/>
      <c r="M14" s="101"/>
      <c r="N14" s="100"/>
      <c r="O14" s="101"/>
      <c r="P14" s="100"/>
      <c r="Q14" s="6"/>
      <c r="R14" s="102"/>
      <c r="S14" s="100"/>
      <c r="T14" s="102"/>
      <c r="U14" s="103"/>
      <c r="V14" s="90" t="n">
        <f aca="false">SUM(I14:U14)</f>
        <v>0</v>
      </c>
      <c r="W14" s="104"/>
      <c r="Y14" s="105"/>
      <c r="Z14" s="106"/>
      <c r="AA14" s="49"/>
    </row>
    <row r="15" s="9" customFormat="true" ht="14.1" hidden="false" customHeight="true" outlineLevel="0" collapsed="false">
      <c r="A15" s="95"/>
      <c r="B15" s="2"/>
      <c r="C15" s="3"/>
      <c r="D15" s="96"/>
      <c r="E15" s="97"/>
      <c r="F15" s="98"/>
      <c r="G15" s="5"/>
      <c r="H15" s="99"/>
      <c r="I15" s="100"/>
      <c r="J15" s="101"/>
      <c r="K15" s="101"/>
      <c r="L15" s="101"/>
      <c r="M15" s="101"/>
      <c r="N15" s="100"/>
      <c r="O15" s="101"/>
      <c r="P15" s="100"/>
      <c r="Q15" s="6"/>
      <c r="R15" s="102"/>
      <c r="S15" s="100"/>
      <c r="T15" s="102"/>
      <c r="U15" s="103"/>
      <c r="V15" s="90" t="n">
        <f aca="false">SUM(I15:U15)</f>
        <v>0</v>
      </c>
      <c r="W15" s="104"/>
      <c r="Y15" s="105"/>
      <c r="Z15" s="106"/>
      <c r="AA15" s="49"/>
    </row>
    <row r="16" s="9" customFormat="true" ht="14.1" hidden="false" customHeight="true" outlineLevel="0" collapsed="false">
      <c r="A16" s="95"/>
      <c r="B16" s="2"/>
      <c r="C16" s="3"/>
      <c r="D16" s="96"/>
      <c r="E16" s="97"/>
      <c r="F16" s="98"/>
      <c r="G16" s="5"/>
      <c r="H16" s="99"/>
      <c r="I16" s="100"/>
      <c r="J16" s="101"/>
      <c r="K16" s="101"/>
      <c r="L16" s="101"/>
      <c r="M16" s="101"/>
      <c r="N16" s="100"/>
      <c r="O16" s="101"/>
      <c r="P16" s="100"/>
      <c r="Q16" s="6"/>
      <c r="R16" s="102"/>
      <c r="S16" s="100"/>
      <c r="T16" s="102"/>
      <c r="U16" s="103"/>
      <c r="V16" s="90" t="n">
        <f aca="false">SUM(I16:U16)</f>
        <v>0</v>
      </c>
      <c r="W16" s="104"/>
      <c r="Y16" s="105"/>
      <c r="Z16" s="106"/>
      <c r="AA16" s="49"/>
    </row>
    <row r="17" s="9" customFormat="true" ht="14.1" hidden="false" customHeight="true" outlineLevel="0" collapsed="false">
      <c r="A17" s="95"/>
      <c r="B17" s="2"/>
      <c r="C17" s="3"/>
      <c r="D17" s="96"/>
      <c r="E17" s="97"/>
      <c r="F17" s="98"/>
      <c r="G17" s="5"/>
      <c r="H17" s="99"/>
      <c r="I17" s="100"/>
      <c r="J17" s="101"/>
      <c r="K17" s="101"/>
      <c r="L17" s="101"/>
      <c r="M17" s="101"/>
      <c r="N17" s="100"/>
      <c r="O17" s="101"/>
      <c r="P17" s="100"/>
      <c r="Q17" s="6"/>
      <c r="R17" s="102"/>
      <c r="S17" s="100"/>
      <c r="T17" s="102"/>
      <c r="U17" s="103"/>
      <c r="V17" s="90" t="n">
        <f aca="false">SUM(I17:U17)</f>
        <v>0</v>
      </c>
      <c r="W17" s="104"/>
      <c r="Y17" s="105"/>
      <c r="Z17" s="106"/>
      <c r="AA17" s="49"/>
    </row>
    <row r="18" s="9" customFormat="true" ht="14.1" hidden="false" customHeight="true" outlineLevel="0" collapsed="false">
      <c r="A18" s="95"/>
      <c r="B18" s="2"/>
      <c r="C18" s="3"/>
      <c r="D18" s="96"/>
      <c r="E18" s="97"/>
      <c r="F18" s="98"/>
      <c r="G18" s="5"/>
      <c r="H18" s="99"/>
      <c r="I18" s="100"/>
      <c r="J18" s="101"/>
      <c r="K18" s="101"/>
      <c r="L18" s="101"/>
      <c r="M18" s="101"/>
      <c r="N18" s="100"/>
      <c r="O18" s="101"/>
      <c r="P18" s="100"/>
      <c r="Q18" s="6"/>
      <c r="R18" s="102"/>
      <c r="S18" s="100"/>
      <c r="T18" s="102"/>
      <c r="U18" s="103"/>
      <c r="V18" s="90" t="n">
        <f aca="false">SUM(I18:U18)</f>
        <v>0</v>
      </c>
      <c r="W18" s="104"/>
      <c r="Y18" s="105"/>
      <c r="Z18" s="106"/>
      <c r="AA18" s="49"/>
    </row>
    <row r="19" s="9" customFormat="true" ht="14.1" hidden="false" customHeight="true" outlineLevel="0" collapsed="false">
      <c r="A19" s="95"/>
      <c r="B19" s="2"/>
      <c r="C19" s="3"/>
      <c r="D19" s="96"/>
      <c r="E19" s="97"/>
      <c r="F19" s="98"/>
      <c r="G19" s="5"/>
      <c r="H19" s="99"/>
      <c r="I19" s="100"/>
      <c r="J19" s="101"/>
      <c r="K19" s="101"/>
      <c r="L19" s="101"/>
      <c r="M19" s="101"/>
      <c r="N19" s="100"/>
      <c r="O19" s="101"/>
      <c r="P19" s="100"/>
      <c r="Q19" s="6"/>
      <c r="R19" s="102"/>
      <c r="S19" s="100"/>
      <c r="T19" s="102"/>
      <c r="U19" s="103"/>
      <c r="V19" s="90" t="n">
        <f aca="false">SUM(I19:U19)</f>
        <v>0</v>
      </c>
      <c r="W19" s="104"/>
      <c r="Y19" s="105"/>
      <c r="Z19" s="106"/>
      <c r="AA19" s="49"/>
    </row>
    <row r="20" s="9" customFormat="true" ht="14.1" hidden="false" customHeight="true" outlineLevel="0" collapsed="false">
      <c r="A20" s="95"/>
      <c r="B20" s="2"/>
      <c r="C20" s="3"/>
      <c r="D20" s="96"/>
      <c r="E20" s="97"/>
      <c r="F20" s="98"/>
      <c r="G20" s="5"/>
      <c r="H20" s="99"/>
      <c r="I20" s="100"/>
      <c r="J20" s="101"/>
      <c r="K20" s="101"/>
      <c r="L20" s="101"/>
      <c r="M20" s="101"/>
      <c r="N20" s="100"/>
      <c r="O20" s="101"/>
      <c r="P20" s="100"/>
      <c r="Q20" s="6"/>
      <c r="R20" s="102"/>
      <c r="S20" s="100"/>
      <c r="T20" s="102"/>
      <c r="U20" s="103"/>
      <c r="V20" s="90" t="n">
        <f aca="false">SUM(I20:U20)</f>
        <v>0</v>
      </c>
      <c r="W20" s="104"/>
      <c r="Y20" s="105"/>
      <c r="Z20" s="106"/>
      <c r="AA20" s="49"/>
    </row>
    <row r="21" s="9" customFormat="true" ht="14.1" hidden="false" customHeight="true" outlineLevel="0" collapsed="false">
      <c r="A21" s="95"/>
      <c r="B21" s="2"/>
      <c r="C21" s="3"/>
      <c r="D21" s="96"/>
      <c r="E21" s="97"/>
      <c r="F21" s="98"/>
      <c r="G21" s="5"/>
      <c r="H21" s="99"/>
      <c r="I21" s="100"/>
      <c r="J21" s="101"/>
      <c r="K21" s="101"/>
      <c r="L21" s="101"/>
      <c r="M21" s="101"/>
      <c r="N21" s="100"/>
      <c r="O21" s="101"/>
      <c r="P21" s="100"/>
      <c r="Q21" s="6"/>
      <c r="R21" s="102"/>
      <c r="S21" s="100"/>
      <c r="T21" s="102"/>
      <c r="U21" s="103"/>
      <c r="V21" s="90" t="n">
        <f aca="false">SUM(I21:U21)</f>
        <v>0</v>
      </c>
      <c r="W21" s="104"/>
      <c r="Y21" s="105"/>
      <c r="Z21" s="106"/>
      <c r="AA21" s="49"/>
    </row>
    <row r="22" s="9" customFormat="true" ht="14.1" hidden="false" customHeight="true" outlineLevel="0" collapsed="false">
      <c r="A22" s="95"/>
      <c r="B22" s="2"/>
      <c r="C22" s="3"/>
      <c r="D22" s="96"/>
      <c r="E22" s="97"/>
      <c r="F22" s="98"/>
      <c r="G22" s="5"/>
      <c r="H22" s="99"/>
      <c r="I22" s="100"/>
      <c r="J22" s="101"/>
      <c r="K22" s="101"/>
      <c r="L22" s="101"/>
      <c r="M22" s="101"/>
      <c r="N22" s="100"/>
      <c r="O22" s="101"/>
      <c r="P22" s="100"/>
      <c r="Q22" s="6"/>
      <c r="R22" s="102"/>
      <c r="S22" s="100"/>
      <c r="T22" s="102"/>
      <c r="U22" s="103"/>
      <c r="V22" s="90" t="n">
        <f aca="false">SUM(I22:U22)</f>
        <v>0</v>
      </c>
      <c r="W22" s="104"/>
      <c r="Y22" s="105"/>
      <c r="Z22" s="106"/>
      <c r="AA22" s="49"/>
    </row>
    <row r="23" s="9" customFormat="true" ht="14.1" hidden="false" customHeight="true" outlineLevel="0" collapsed="false">
      <c r="A23" s="95"/>
      <c r="B23" s="2"/>
      <c r="C23" s="3"/>
      <c r="D23" s="96"/>
      <c r="E23" s="97"/>
      <c r="F23" s="98"/>
      <c r="G23" s="5"/>
      <c r="H23" s="99"/>
      <c r="I23" s="100"/>
      <c r="J23" s="101"/>
      <c r="K23" s="101"/>
      <c r="L23" s="101"/>
      <c r="M23" s="101"/>
      <c r="N23" s="100"/>
      <c r="O23" s="101"/>
      <c r="P23" s="100"/>
      <c r="Q23" s="6"/>
      <c r="R23" s="102"/>
      <c r="S23" s="100"/>
      <c r="T23" s="102"/>
      <c r="U23" s="103"/>
      <c r="V23" s="90" t="n">
        <f aca="false">SUM(I23:U23)</f>
        <v>0</v>
      </c>
      <c r="W23" s="104"/>
      <c r="Y23" s="105"/>
      <c r="Z23" s="106"/>
      <c r="AA23" s="49"/>
    </row>
    <row r="24" s="9" customFormat="true" ht="14.1" hidden="false" customHeight="true" outlineLevel="0" collapsed="false">
      <c r="A24" s="95"/>
      <c r="B24" s="2"/>
      <c r="C24" s="3"/>
      <c r="D24" s="96"/>
      <c r="E24" s="97"/>
      <c r="F24" s="98"/>
      <c r="G24" s="5"/>
      <c r="H24" s="99"/>
      <c r="I24" s="100"/>
      <c r="J24" s="101"/>
      <c r="K24" s="101"/>
      <c r="L24" s="101"/>
      <c r="M24" s="101"/>
      <c r="N24" s="100"/>
      <c r="O24" s="101"/>
      <c r="P24" s="100"/>
      <c r="Q24" s="6"/>
      <c r="R24" s="102"/>
      <c r="S24" s="100"/>
      <c r="T24" s="102"/>
      <c r="U24" s="103"/>
      <c r="V24" s="90" t="n">
        <f aca="false">SUM(I24:U24)</f>
        <v>0</v>
      </c>
      <c r="W24" s="104"/>
      <c r="Y24" s="105"/>
      <c r="Z24" s="106"/>
      <c r="AA24" s="49"/>
    </row>
    <row r="25" s="9" customFormat="true" ht="14.1" hidden="false" customHeight="true" outlineLevel="0" collapsed="false">
      <c r="A25" s="95"/>
      <c r="B25" s="2"/>
      <c r="C25" s="3"/>
      <c r="D25" s="96"/>
      <c r="E25" s="97"/>
      <c r="F25" s="98"/>
      <c r="G25" s="5"/>
      <c r="H25" s="99"/>
      <c r="I25" s="100"/>
      <c r="J25" s="101"/>
      <c r="K25" s="101"/>
      <c r="L25" s="101"/>
      <c r="M25" s="101"/>
      <c r="N25" s="100"/>
      <c r="O25" s="101"/>
      <c r="P25" s="100"/>
      <c r="Q25" s="6"/>
      <c r="R25" s="102"/>
      <c r="S25" s="100"/>
      <c r="T25" s="102"/>
      <c r="U25" s="103"/>
      <c r="V25" s="90" t="n">
        <f aca="false">SUM(I25:U25)</f>
        <v>0</v>
      </c>
      <c r="W25" s="104"/>
      <c r="Y25" s="105"/>
      <c r="Z25" s="106"/>
      <c r="AA25" s="49"/>
    </row>
    <row r="26" s="9" customFormat="true" ht="14.1" hidden="false" customHeight="true" outlineLevel="0" collapsed="false">
      <c r="A26" s="95"/>
      <c r="B26" s="2"/>
      <c r="C26" s="3"/>
      <c r="D26" s="96"/>
      <c r="E26" s="97"/>
      <c r="F26" s="98"/>
      <c r="G26" s="5"/>
      <c r="H26" s="99"/>
      <c r="I26" s="100"/>
      <c r="J26" s="101"/>
      <c r="K26" s="101"/>
      <c r="L26" s="101"/>
      <c r="M26" s="101"/>
      <c r="N26" s="100"/>
      <c r="O26" s="101"/>
      <c r="P26" s="100"/>
      <c r="Q26" s="6"/>
      <c r="R26" s="102"/>
      <c r="S26" s="100"/>
      <c r="T26" s="102"/>
      <c r="U26" s="103"/>
      <c r="V26" s="90" t="n">
        <f aca="false">SUM(I26:U26)</f>
        <v>0</v>
      </c>
      <c r="W26" s="104"/>
      <c r="Y26" s="105"/>
      <c r="Z26" s="106"/>
      <c r="AA26" s="49"/>
    </row>
    <row r="27" s="9" customFormat="true" ht="14.1" hidden="false" customHeight="true" outlineLevel="0" collapsed="false">
      <c r="A27" s="107"/>
      <c r="B27" s="108" t="s">
        <v>21</v>
      </c>
      <c r="C27" s="109"/>
      <c r="D27" s="110"/>
      <c r="E27" s="111"/>
      <c r="F27" s="109"/>
      <c r="G27" s="112"/>
      <c r="H27" s="112"/>
      <c r="I27" s="113" t="n">
        <f aca="false">SUM(I5:I26)</f>
        <v>0</v>
      </c>
      <c r="J27" s="113" t="n">
        <f aca="false">SUM(J5:J26)</f>
        <v>0</v>
      </c>
      <c r="K27" s="113" t="n">
        <f aca="false">SUM(K5:K26)</f>
        <v>0</v>
      </c>
      <c r="L27" s="114" t="n">
        <f aca="false">SUM(L5:L26)</f>
        <v>0</v>
      </c>
      <c r="M27" s="115" t="n">
        <f aca="false">SUM(M5:M26)</f>
        <v>0</v>
      </c>
      <c r="N27" s="116" t="n">
        <f aca="false">SUM(N5:O26)</f>
        <v>0</v>
      </c>
      <c r="O27" s="116"/>
      <c r="P27" s="117" t="n">
        <f aca="false">SUM(P5:P26)</f>
        <v>0</v>
      </c>
      <c r="Q27" s="117" t="n">
        <f aca="false">SUM(Q5:Q26)</f>
        <v>0</v>
      </c>
      <c r="R27" s="117" t="n">
        <f aca="false">SUM(R5:R26)</f>
        <v>0</v>
      </c>
      <c r="S27" s="118" t="n">
        <f aca="false">SUM(S5:S26)</f>
        <v>0</v>
      </c>
      <c r="T27" s="118" t="n">
        <f aca="false">SUM(T5:T26)</f>
        <v>0</v>
      </c>
      <c r="U27" s="119" t="n">
        <f aca="false">SUM(U5:U26)</f>
        <v>0</v>
      </c>
      <c r="V27" s="120" t="n">
        <f aca="false">SUM(V5:V26)</f>
        <v>0</v>
      </c>
      <c r="W27" s="121"/>
      <c r="X27" s="122"/>
      <c r="Y27" s="123"/>
      <c r="Z27" s="124"/>
      <c r="AA27" s="119" t="n">
        <f aca="false">SUM(AA5:AA26)</f>
        <v>0</v>
      </c>
    </row>
    <row r="28" s="7" customFormat="true" ht="12.75" hidden="false" customHeight="true" outlineLevel="0" collapsed="false">
      <c r="A28" s="1"/>
      <c r="C28" s="125"/>
      <c r="D28" s="125"/>
      <c r="F28" s="125"/>
      <c r="G28" s="126"/>
      <c r="H28" s="126"/>
      <c r="X28" s="8"/>
      <c r="Y28" s="8"/>
      <c r="Z28" s="127"/>
    </row>
    <row r="29" customFormat="false" ht="14.25" hidden="false" customHeight="true" outlineLevel="0" collapsed="false">
      <c r="S29" s="7"/>
      <c r="V29" s="8" t="n">
        <f aca="false">SUM(I27:U27)</f>
        <v>0</v>
      </c>
    </row>
    <row r="30" customFormat="false" ht="9" hidden="false" customHeight="true" outlineLevel="0" collapsed="false">
      <c r="S30" s="7"/>
    </row>
  </sheetData>
  <mergeCells count="2">
    <mergeCell ref="A1:B1"/>
    <mergeCell ref="N27:O27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45" activePane="bottomLeft" state="frozen"/>
      <selection pane="topLeft" activeCell="A1" activeCellId="0" sqref="A1"/>
      <selection pane="bottomLeft" activeCell="A60" activeCellId="0" sqref="60:60"/>
    </sheetView>
  </sheetViews>
  <sheetFormatPr defaultColWidth="6.88671875" defaultRowHeight="12.8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true" outlineLevel="0" max="3" min="3" style="2" width="10.85"/>
    <col collapsed="false" customWidth="true" hidden="false" outlineLevel="0" max="4" min="4" style="128" width="9.13"/>
    <col collapsed="false" customWidth="true" hidden="false" outlineLevel="0" max="5" min="5" style="4" width="5.01"/>
    <col collapsed="false" customWidth="true" hidden="true" outlineLevel="0" max="6" min="6" style="129" width="10.29"/>
    <col collapsed="false" customWidth="true" hidden="false" outlineLevel="0" max="7" min="7" style="130" width="5.57"/>
    <col collapsed="false" customWidth="true" hidden="true" outlineLevel="0" max="8" min="8" style="6" width="9.29"/>
    <col collapsed="false" customWidth="true" hidden="true" outlineLevel="0" max="9" min="9" style="6" width="5.14"/>
    <col collapsed="false" customWidth="true" hidden="true" outlineLevel="0" max="10" min="10" style="6" width="5.57"/>
    <col collapsed="false" customWidth="true" hidden="true" outlineLevel="0" max="11" min="11" style="6" width="7"/>
    <col collapsed="false" customWidth="true" hidden="true" outlineLevel="0" max="12" min="12" style="6" width="7.15"/>
    <col collapsed="false" customWidth="true" hidden="true" outlineLevel="0" max="13" min="13" style="6" width="6.15"/>
    <col collapsed="false" customWidth="true" hidden="true" outlineLevel="0" max="14" min="14" style="6" width="5.43"/>
    <col collapsed="false" customWidth="true" hidden="true" outlineLevel="0" max="15" min="15" style="6" width="6.28"/>
    <col collapsed="false" customWidth="true" hidden="true" outlineLevel="0" max="16" min="16" style="6" width="6.71"/>
    <col collapsed="false" customWidth="true" hidden="true" outlineLevel="0" max="17" min="17" style="7" width="5.7"/>
    <col collapsed="false" customWidth="true" hidden="false" outlineLevel="0" max="18" min="18" style="2" width="7"/>
    <col collapsed="false" customWidth="true" hidden="false" outlineLevel="0" max="19" min="19" style="9" width="7"/>
    <col collapsed="false" customWidth="true" hidden="false" outlineLevel="0" max="20" min="20" style="131" width="6.28"/>
    <col collapsed="false" customWidth="true" hidden="false" outlineLevel="0" max="21" min="21" style="132" width="9.13"/>
    <col collapsed="false" customWidth="true" hidden="false" outlineLevel="0" max="22" min="22" style="10" width="9"/>
    <col collapsed="false" customWidth="true" hidden="false" outlineLevel="0" max="23" min="23" style="9" width="6.71"/>
    <col collapsed="false" customWidth="true" hidden="false" outlineLevel="0" max="24" min="24" style="9" width="3.57"/>
    <col collapsed="false" customWidth="true" hidden="true" outlineLevel="0" max="25" min="25" style="3" width="8.86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33"/>
      <c r="B1" s="134" t="n">
        <v>45382</v>
      </c>
      <c r="C1" s="135"/>
      <c r="D1" s="136"/>
      <c r="E1" s="137" t="s">
        <v>26</v>
      </c>
      <c r="F1" s="138"/>
      <c r="G1" s="138"/>
      <c r="H1" s="139" t="s">
        <v>27</v>
      </c>
      <c r="I1" s="140"/>
      <c r="K1" s="141" t="s">
        <v>28</v>
      </c>
      <c r="L1" s="141"/>
      <c r="M1" s="142"/>
      <c r="N1" s="141"/>
      <c r="O1" s="143" t="s">
        <v>29</v>
      </c>
      <c r="P1" s="144"/>
      <c r="Q1" s="145"/>
      <c r="R1" s="146"/>
      <c r="S1" s="147"/>
      <c r="T1" s="148"/>
      <c r="U1" s="149"/>
      <c r="V1" s="150"/>
      <c r="W1" s="10"/>
      <c r="X1" s="10"/>
    </row>
    <row r="2" s="9" customFormat="true" ht="12.75" hidden="false" customHeight="true" outlineLevel="0" collapsed="false">
      <c r="A2" s="27" t="s">
        <v>30</v>
      </c>
      <c r="B2" s="151" t="s">
        <v>1</v>
      </c>
      <c r="C2" s="151"/>
      <c r="D2" s="152" t="s">
        <v>3</v>
      </c>
      <c r="E2" s="153" t="s">
        <v>31</v>
      </c>
      <c r="F2" s="154" t="s">
        <v>5</v>
      </c>
      <c r="G2" s="155" t="s">
        <v>32</v>
      </c>
      <c r="H2" s="156" t="s">
        <v>33</v>
      </c>
      <c r="I2" s="156" t="s">
        <v>34</v>
      </c>
      <c r="J2" s="156" t="s">
        <v>35</v>
      </c>
      <c r="K2" s="156" t="s">
        <v>36</v>
      </c>
      <c r="L2" s="122" t="s">
        <v>12</v>
      </c>
      <c r="M2" s="157" t="s">
        <v>37</v>
      </c>
      <c r="N2" s="122" t="s">
        <v>38</v>
      </c>
      <c r="O2" s="156" t="s">
        <v>39</v>
      </c>
      <c r="P2" s="156" t="s">
        <v>40</v>
      </c>
      <c r="Q2" s="122" t="s">
        <v>41</v>
      </c>
      <c r="R2" s="156" t="s">
        <v>42</v>
      </c>
      <c r="S2" s="156" t="s">
        <v>19</v>
      </c>
      <c r="T2" s="158" t="s">
        <v>20</v>
      </c>
      <c r="U2" s="151" t="s">
        <v>21</v>
      </c>
      <c r="V2" s="132"/>
      <c r="W2" s="159"/>
      <c r="X2" s="159"/>
      <c r="Y2" s="160"/>
      <c r="Z2" s="2"/>
    </row>
    <row r="3" customFormat="false" ht="4.5" hidden="false" customHeight="true" outlineLevel="0" collapsed="false">
      <c r="D3" s="2"/>
      <c r="F3" s="3"/>
      <c r="G3" s="5"/>
      <c r="I3" s="88"/>
      <c r="M3" s="102"/>
      <c r="Q3" s="6"/>
      <c r="R3" s="6"/>
      <c r="S3" s="6"/>
      <c r="T3" s="7"/>
      <c r="U3" s="8"/>
      <c r="V3" s="104"/>
      <c r="W3" s="161"/>
      <c r="X3" s="161"/>
      <c r="Y3" s="162"/>
      <c r="Z3" s="163"/>
    </row>
    <row r="4" s="9" customFormat="true" ht="14.1" hidden="false" customHeight="true" outlineLevel="0" collapsed="false">
      <c r="A4" s="95" t="s">
        <v>43</v>
      </c>
      <c r="B4" s="2" t="s">
        <v>44</v>
      </c>
      <c r="C4" s="3"/>
      <c r="D4" s="96" t="n">
        <v>4124101</v>
      </c>
      <c r="E4" s="97" t="n">
        <v>45394</v>
      </c>
      <c r="F4" s="98" t="s">
        <v>45</v>
      </c>
      <c r="G4" s="5" t="n">
        <v>45394</v>
      </c>
      <c r="H4" s="99"/>
      <c r="I4" s="100"/>
      <c r="J4" s="101"/>
      <c r="K4" s="101"/>
      <c r="L4" s="101"/>
      <c r="M4" s="101"/>
      <c r="N4" s="100"/>
      <c r="O4" s="101"/>
      <c r="P4" s="100"/>
      <c r="Q4" s="6"/>
      <c r="R4" s="100" t="n">
        <v>208</v>
      </c>
      <c r="S4" s="102" t="n">
        <v>37.5</v>
      </c>
      <c r="T4" s="103" t="n">
        <v>17.16</v>
      </c>
      <c r="U4" s="90" t="n">
        <f aca="false">SUM(I4:T4)</f>
        <v>262.66</v>
      </c>
      <c r="V4" s="104" t="s">
        <v>46</v>
      </c>
      <c r="W4" s="9" t="s">
        <v>47</v>
      </c>
      <c r="X4" s="105" t="s">
        <v>48</v>
      </c>
      <c r="Y4" s="106"/>
      <c r="Z4" s="49"/>
    </row>
    <row r="5" s="9" customFormat="true" ht="14.1" hidden="false" customHeight="true" outlineLevel="0" collapsed="false">
      <c r="A5" s="164" t="s">
        <v>43</v>
      </c>
      <c r="B5" s="165" t="s">
        <v>49</v>
      </c>
      <c r="C5" s="166"/>
      <c r="D5" s="167" t="n">
        <v>2164101</v>
      </c>
      <c r="E5" s="168" t="n">
        <v>45338</v>
      </c>
      <c r="F5" s="169" t="s">
        <v>45</v>
      </c>
      <c r="G5" s="170" t="n">
        <v>45338</v>
      </c>
      <c r="H5" s="171"/>
      <c r="I5" s="172"/>
      <c r="J5" s="172"/>
      <c r="K5" s="172"/>
      <c r="L5" s="172"/>
      <c r="M5" s="171"/>
      <c r="N5" s="172"/>
      <c r="O5" s="171"/>
      <c r="P5" s="173"/>
      <c r="Q5" s="174"/>
      <c r="R5" s="171" t="n">
        <v>165</v>
      </c>
      <c r="S5" s="174" t="n">
        <v>37.5</v>
      </c>
      <c r="T5" s="175" t="n">
        <v>16.91</v>
      </c>
      <c r="U5" s="176" t="n">
        <f aca="false">SUM(H5:T5)</f>
        <v>219.41</v>
      </c>
      <c r="V5" s="177" t="s">
        <v>46</v>
      </c>
      <c r="W5" s="178" t="s">
        <v>43</v>
      </c>
      <c r="X5" s="105" t="s">
        <v>48</v>
      </c>
      <c r="Y5" s="179"/>
      <c r="Z5" s="180"/>
    </row>
    <row r="6" s="9" customFormat="true" ht="14.1" hidden="false" customHeight="true" outlineLevel="0" collapsed="false">
      <c r="A6" s="95" t="s">
        <v>43</v>
      </c>
      <c r="B6" s="2" t="s">
        <v>49</v>
      </c>
      <c r="C6" s="3"/>
      <c r="D6" s="96" t="n">
        <v>3254102</v>
      </c>
      <c r="E6" s="97" t="n">
        <v>45376</v>
      </c>
      <c r="F6" s="98" t="s">
        <v>45</v>
      </c>
      <c r="G6" s="5" t="n">
        <v>45376</v>
      </c>
      <c r="H6" s="100"/>
      <c r="I6" s="101"/>
      <c r="J6" s="101"/>
      <c r="K6" s="101"/>
      <c r="L6" s="101"/>
      <c r="M6" s="100"/>
      <c r="N6" s="101"/>
      <c r="O6" s="100"/>
      <c r="P6" s="6"/>
      <c r="Q6" s="102"/>
      <c r="R6" s="100" t="n">
        <v>143</v>
      </c>
      <c r="S6" s="102" t="n">
        <v>25</v>
      </c>
      <c r="T6" s="103" t="n">
        <v>14.66</v>
      </c>
      <c r="U6" s="90" t="n">
        <f aca="false">SUM(H6:T6)</f>
        <v>182.66</v>
      </c>
      <c r="V6" s="104" t="s">
        <v>46</v>
      </c>
      <c r="W6" s="9" t="s">
        <v>47</v>
      </c>
      <c r="X6" s="105" t="s">
        <v>48</v>
      </c>
      <c r="Y6" s="179"/>
      <c r="Z6" s="180"/>
    </row>
    <row r="7" s="9" customFormat="true" ht="14.1" hidden="false" customHeight="true" outlineLevel="0" collapsed="false">
      <c r="A7" s="95" t="s">
        <v>43</v>
      </c>
      <c r="B7" s="2" t="s">
        <v>50</v>
      </c>
      <c r="C7" s="3"/>
      <c r="D7" s="96" t="n">
        <v>4094107</v>
      </c>
      <c r="E7" s="97" t="n">
        <v>45391</v>
      </c>
      <c r="F7" s="98" t="s">
        <v>45</v>
      </c>
      <c r="G7" s="5" t="n">
        <v>45391</v>
      </c>
      <c r="H7" s="99"/>
      <c r="I7" s="100"/>
      <c r="J7" s="101"/>
      <c r="K7" s="101"/>
      <c r="L7" s="101"/>
      <c r="M7" s="101"/>
      <c r="N7" s="100"/>
      <c r="O7" s="101"/>
      <c r="P7" s="100"/>
      <c r="Q7" s="6"/>
      <c r="R7" s="100" t="n">
        <v>415</v>
      </c>
      <c r="S7" s="102" t="n">
        <v>87.5</v>
      </c>
      <c r="T7" s="103" t="n">
        <v>42.54</v>
      </c>
      <c r="U7" s="90" t="n">
        <f aca="false">SUM(I7:T7)</f>
        <v>545.04</v>
      </c>
      <c r="V7" s="104" t="s">
        <v>46</v>
      </c>
      <c r="W7" s="9" t="s">
        <v>43</v>
      </c>
      <c r="X7" s="105" t="s">
        <v>48</v>
      </c>
      <c r="Y7" s="106"/>
      <c r="Z7" s="49"/>
    </row>
    <row r="8" s="9" customFormat="true" ht="14.1" hidden="false" customHeight="true" outlineLevel="0" collapsed="false">
      <c r="A8" s="95" t="s">
        <v>43</v>
      </c>
      <c r="B8" s="2" t="s">
        <v>51</v>
      </c>
      <c r="C8" s="3"/>
      <c r="D8" s="96" t="n">
        <v>4084108</v>
      </c>
      <c r="E8" s="97" t="n">
        <v>45390</v>
      </c>
      <c r="F8" s="98" t="s">
        <v>45</v>
      </c>
      <c r="G8" s="5" t="n">
        <v>45390</v>
      </c>
      <c r="H8" s="99"/>
      <c r="I8" s="100"/>
      <c r="J8" s="101"/>
      <c r="K8" s="101"/>
      <c r="L8" s="101"/>
      <c r="M8" s="101"/>
      <c r="N8" s="100"/>
      <c r="O8" s="101"/>
      <c r="P8" s="100"/>
      <c r="Q8" s="6"/>
      <c r="R8" s="100" t="n">
        <v>286</v>
      </c>
      <c r="S8" s="102" t="n">
        <v>75</v>
      </c>
      <c r="T8" s="103" t="n">
        <v>24.67</v>
      </c>
      <c r="U8" s="90" t="n">
        <f aca="false">SUM(I8:T8)</f>
        <v>385.67</v>
      </c>
      <c r="V8" s="104" t="s">
        <v>46</v>
      </c>
      <c r="W8" s="9" t="s">
        <v>47</v>
      </c>
      <c r="X8" s="105" t="s">
        <v>48</v>
      </c>
      <c r="Y8" s="106"/>
      <c r="Z8" s="49"/>
    </row>
    <row r="9" s="9" customFormat="true" ht="14.1" hidden="false" customHeight="true" outlineLevel="0" collapsed="false">
      <c r="A9" s="95" t="s">
        <v>43</v>
      </c>
      <c r="B9" s="2" t="s">
        <v>52</v>
      </c>
      <c r="C9" s="3"/>
      <c r="D9" s="96" t="n">
        <v>3274101</v>
      </c>
      <c r="E9" s="97" t="n">
        <v>45378</v>
      </c>
      <c r="F9" s="98" t="s">
        <v>45</v>
      </c>
      <c r="G9" s="5" t="n">
        <v>45383</v>
      </c>
      <c r="H9" s="99"/>
      <c r="I9" s="100"/>
      <c r="J9" s="101"/>
      <c r="K9" s="101"/>
      <c r="L9" s="101"/>
      <c r="M9" s="101"/>
      <c r="N9" s="100"/>
      <c r="O9" s="101"/>
      <c r="P9" s="100"/>
      <c r="Q9" s="6"/>
      <c r="R9" s="100" t="n">
        <v>329</v>
      </c>
      <c r="S9" s="102"/>
      <c r="T9" s="103" t="n">
        <v>30.43</v>
      </c>
      <c r="U9" s="90" t="n">
        <f aca="false">SUM(I9:T9)</f>
        <v>359.43</v>
      </c>
      <c r="V9" s="104" t="s">
        <v>53</v>
      </c>
      <c r="W9" s="9" t="s">
        <v>54</v>
      </c>
      <c r="X9" s="105" t="s">
        <v>48</v>
      </c>
      <c r="Y9" s="106"/>
      <c r="Z9" s="49"/>
    </row>
    <row r="10" s="9" customFormat="true" ht="14.1" hidden="false" customHeight="true" outlineLevel="0" collapsed="false">
      <c r="A10" s="95" t="s">
        <v>43</v>
      </c>
      <c r="B10" s="2" t="s">
        <v>55</v>
      </c>
      <c r="C10" s="3"/>
      <c r="D10" s="96" t="n">
        <v>4024101</v>
      </c>
      <c r="E10" s="97" t="n">
        <v>45384</v>
      </c>
      <c r="F10" s="98" t="s">
        <v>45</v>
      </c>
      <c r="G10" s="5" t="n">
        <v>45384</v>
      </c>
      <c r="H10" s="99"/>
      <c r="I10" s="100"/>
      <c r="J10" s="101"/>
      <c r="K10" s="101"/>
      <c r="L10" s="101"/>
      <c r="M10" s="101"/>
      <c r="N10" s="100"/>
      <c r="O10" s="101"/>
      <c r="P10" s="100"/>
      <c r="Q10" s="6"/>
      <c r="R10" s="100" t="n">
        <v>576</v>
      </c>
      <c r="S10" s="102" t="n">
        <v>112.5</v>
      </c>
      <c r="T10" s="103" t="n">
        <v>49.68</v>
      </c>
      <c r="U10" s="90" t="n">
        <f aca="false">SUM(I10:T10)</f>
        <v>738.18</v>
      </c>
      <c r="V10" s="104" t="s">
        <v>46</v>
      </c>
      <c r="W10" s="9" t="s">
        <v>47</v>
      </c>
      <c r="X10" s="105" t="s">
        <v>48</v>
      </c>
      <c r="Y10" s="106"/>
      <c r="Z10" s="49"/>
    </row>
    <row r="11" s="9" customFormat="true" ht="14.1" hidden="false" customHeight="true" outlineLevel="0" collapsed="false">
      <c r="A11" s="95" t="s">
        <v>43</v>
      </c>
      <c r="B11" s="2" t="s">
        <v>56</v>
      </c>
      <c r="C11" s="3"/>
      <c r="D11" s="96" t="n">
        <v>3224101</v>
      </c>
      <c r="E11" s="97" t="n">
        <v>45373</v>
      </c>
      <c r="F11" s="98" t="s">
        <v>45</v>
      </c>
      <c r="G11" s="5" t="n">
        <v>45373</v>
      </c>
      <c r="H11" s="100"/>
      <c r="I11" s="101"/>
      <c r="J11" s="101"/>
      <c r="K11" s="101"/>
      <c r="L11" s="101"/>
      <c r="M11" s="100"/>
      <c r="N11" s="101"/>
      <c r="O11" s="100"/>
      <c r="P11" s="6"/>
      <c r="Q11" s="102"/>
      <c r="R11" s="100" t="n">
        <v>175</v>
      </c>
      <c r="S11" s="102" t="n">
        <v>37.5</v>
      </c>
      <c r="T11" s="103" t="n">
        <v>16.19</v>
      </c>
      <c r="U11" s="90" t="n">
        <f aca="false">SUM(H11:T11)</f>
        <v>228.69</v>
      </c>
      <c r="V11" s="104" t="s">
        <v>46</v>
      </c>
      <c r="W11" s="9" t="s">
        <v>43</v>
      </c>
      <c r="X11" s="105" t="s">
        <v>48</v>
      </c>
      <c r="Y11" s="179"/>
      <c r="Z11" s="180"/>
    </row>
    <row r="12" s="9" customFormat="true" ht="14.1" hidden="false" customHeight="true" outlineLevel="0" collapsed="false">
      <c r="A12" s="95" t="s">
        <v>43</v>
      </c>
      <c r="B12" s="2" t="s">
        <v>56</v>
      </c>
      <c r="C12" s="3"/>
      <c r="D12" s="96" t="n">
        <v>4014105</v>
      </c>
      <c r="E12" s="97" t="n">
        <v>45383</v>
      </c>
      <c r="F12" s="98" t="s">
        <v>45</v>
      </c>
      <c r="G12" s="5" t="n">
        <v>45383</v>
      </c>
      <c r="H12" s="99"/>
      <c r="I12" s="100"/>
      <c r="J12" s="101"/>
      <c r="K12" s="101"/>
      <c r="L12" s="101"/>
      <c r="M12" s="101"/>
      <c r="N12" s="100"/>
      <c r="O12" s="101"/>
      <c r="P12" s="100"/>
      <c r="Q12" s="6"/>
      <c r="R12" s="100" t="n">
        <v>110</v>
      </c>
      <c r="S12" s="102" t="n">
        <v>25</v>
      </c>
      <c r="T12" s="103" t="n">
        <v>10.18</v>
      </c>
      <c r="U12" s="90" t="n">
        <f aca="false">SUM(I12:T12)</f>
        <v>145.18</v>
      </c>
      <c r="V12" s="104" t="s">
        <v>46</v>
      </c>
      <c r="W12" s="9" t="s">
        <v>43</v>
      </c>
      <c r="X12" s="105" t="s">
        <v>48</v>
      </c>
      <c r="Y12" s="106"/>
      <c r="Z12" s="49"/>
    </row>
    <row r="13" s="9" customFormat="true" ht="14.1" hidden="false" customHeight="true" outlineLevel="0" collapsed="false">
      <c r="A13" s="181" t="s">
        <v>43</v>
      </c>
      <c r="B13" s="182" t="s">
        <v>57</v>
      </c>
      <c r="C13" s="183"/>
      <c r="D13" s="184" t="n">
        <v>11143102</v>
      </c>
      <c r="E13" s="185" t="n">
        <v>45244</v>
      </c>
      <c r="F13" s="186" t="s">
        <v>45</v>
      </c>
      <c r="G13" s="187" t="n">
        <v>45247</v>
      </c>
      <c r="H13" s="188"/>
      <c r="I13" s="189"/>
      <c r="J13" s="189"/>
      <c r="K13" s="189"/>
      <c r="L13" s="189"/>
      <c r="M13" s="188"/>
      <c r="N13" s="189"/>
      <c r="O13" s="188"/>
      <c r="P13" s="190"/>
      <c r="Q13" s="191"/>
      <c r="R13" s="188" t="n">
        <v>900</v>
      </c>
      <c r="S13" s="191" t="n">
        <v>250</v>
      </c>
      <c r="T13" s="192" t="n">
        <v>83.25</v>
      </c>
      <c r="U13" s="193" t="n">
        <f aca="false">SUM(H13:T13)</f>
        <v>1233.25</v>
      </c>
      <c r="V13" s="194" t="s">
        <v>58</v>
      </c>
      <c r="W13" s="195" t="s">
        <v>59</v>
      </c>
      <c r="X13" s="105" t="s">
        <v>48</v>
      </c>
      <c r="Y13" s="196"/>
      <c r="Z13" s="49" t="s">
        <v>60</v>
      </c>
    </row>
    <row r="14" s="9" customFormat="true" ht="14.1" hidden="false" customHeight="true" outlineLevel="0" collapsed="false">
      <c r="A14" s="95" t="s">
        <v>43</v>
      </c>
      <c r="B14" s="2" t="s">
        <v>61</v>
      </c>
      <c r="C14" s="3"/>
      <c r="D14" s="96" t="n">
        <v>4014101</v>
      </c>
      <c r="E14" s="97" t="n">
        <v>45383</v>
      </c>
      <c r="F14" s="98" t="s">
        <v>45</v>
      </c>
      <c r="G14" s="5" t="n">
        <v>45383</v>
      </c>
      <c r="H14" s="99"/>
      <c r="I14" s="100"/>
      <c r="J14" s="101"/>
      <c r="K14" s="101"/>
      <c r="L14" s="101"/>
      <c r="M14" s="101"/>
      <c r="N14" s="100"/>
      <c r="O14" s="101"/>
      <c r="P14" s="100"/>
      <c r="Q14" s="6"/>
      <c r="R14" s="100" t="n">
        <v>39</v>
      </c>
      <c r="S14" s="102" t="n">
        <v>12.5</v>
      </c>
      <c r="T14" s="103" t="n">
        <v>4</v>
      </c>
      <c r="U14" s="90" t="n">
        <f aca="false">SUM(I14:T14)</f>
        <v>55.5</v>
      </c>
      <c r="V14" s="104" t="s">
        <v>46</v>
      </c>
      <c r="W14" s="9" t="s">
        <v>43</v>
      </c>
      <c r="X14" s="105" t="s">
        <v>48</v>
      </c>
      <c r="Y14" s="106"/>
      <c r="Z14" s="49"/>
    </row>
    <row r="15" s="9" customFormat="true" ht="14.1" hidden="false" customHeight="true" outlineLevel="0" collapsed="false">
      <c r="A15" s="95" t="s">
        <v>43</v>
      </c>
      <c r="B15" s="2" t="s">
        <v>62</v>
      </c>
      <c r="C15" s="3" t="s">
        <v>63</v>
      </c>
      <c r="D15" s="96" t="n">
        <v>3204101</v>
      </c>
      <c r="E15" s="97" t="n">
        <v>45371</v>
      </c>
      <c r="F15" s="98" t="s">
        <v>45</v>
      </c>
      <c r="G15" s="5" t="n">
        <v>45371</v>
      </c>
      <c r="H15" s="100"/>
      <c r="I15" s="101"/>
      <c r="J15" s="101"/>
      <c r="K15" s="101"/>
      <c r="L15" s="101"/>
      <c r="M15" s="100"/>
      <c r="N15" s="101"/>
      <c r="O15" s="100"/>
      <c r="P15" s="6"/>
      <c r="Q15" s="102"/>
      <c r="R15" s="100" t="n">
        <v>357</v>
      </c>
      <c r="S15" s="102" t="n">
        <v>67.5</v>
      </c>
      <c r="T15" s="103" t="n">
        <v>32.13</v>
      </c>
      <c r="U15" s="90" t="n">
        <f aca="false">SUM(H15:T15)</f>
        <v>456.63</v>
      </c>
      <c r="V15" s="104" t="s">
        <v>46</v>
      </c>
      <c r="W15" s="9" t="s">
        <v>43</v>
      </c>
      <c r="X15" s="105" t="s">
        <v>48</v>
      </c>
      <c r="Y15" s="179"/>
      <c r="Z15" s="180" t="s">
        <v>64</v>
      </c>
      <c r="AA15" s="9" t="s">
        <v>65</v>
      </c>
    </row>
    <row r="16" s="9" customFormat="true" ht="14.1" hidden="false" customHeight="true" outlineLevel="0" collapsed="false">
      <c r="A16" s="95" t="s">
        <v>43</v>
      </c>
      <c r="B16" s="2" t="s">
        <v>66</v>
      </c>
      <c r="C16" s="3" t="s">
        <v>67</v>
      </c>
      <c r="D16" s="96" t="n">
        <v>4084107</v>
      </c>
      <c r="E16" s="97" t="n">
        <v>45390</v>
      </c>
      <c r="F16" s="98" t="s">
        <v>45</v>
      </c>
      <c r="G16" s="5" t="n">
        <v>45390</v>
      </c>
      <c r="H16" s="99"/>
      <c r="I16" s="100"/>
      <c r="J16" s="101"/>
      <c r="K16" s="101"/>
      <c r="L16" s="101"/>
      <c r="M16" s="101"/>
      <c r="N16" s="100"/>
      <c r="O16" s="101"/>
      <c r="P16" s="100"/>
      <c r="Q16" s="6"/>
      <c r="R16" s="100" t="n">
        <v>217</v>
      </c>
      <c r="S16" s="102" t="n">
        <v>37.5</v>
      </c>
      <c r="T16" s="103" t="n">
        <v>18.45</v>
      </c>
      <c r="U16" s="90" t="n">
        <f aca="false">SUM(I16:T16)</f>
        <v>272.95</v>
      </c>
      <c r="V16" s="104" t="s">
        <v>46</v>
      </c>
      <c r="W16" s="9" t="s">
        <v>47</v>
      </c>
      <c r="X16" s="105" t="s">
        <v>48</v>
      </c>
      <c r="Y16" s="106"/>
      <c r="Z16" s="49"/>
    </row>
    <row r="17" s="9" customFormat="true" ht="14.1" hidden="false" customHeight="true" outlineLevel="0" collapsed="false">
      <c r="A17" s="95" t="s">
        <v>43</v>
      </c>
      <c r="B17" s="2" t="s">
        <v>68</v>
      </c>
      <c r="C17" s="3" t="s">
        <v>67</v>
      </c>
      <c r="D17" s="96" t="n">
        <v>4094108</v>
      </c>
      <c r="E17" s="97" t="n">
        <v>45391</v>
      </c>
      <c r="F17" s="98" t="s">
        <v>45</v>
      </c>
      <c r="G17" s="5" t="n">
        <v>45391</v>
      </c>
      <c r="H17" s="99"/>
      <c r="I17" s="100"/>
      <c r="J17" s="101"/>
      <c r="K17" s="101"/>
      <c r="L17" s="101"/>
      <c r="M17" s="101"/>
      <c r="N17" s="100"/>
      <c r="O17" s="101"/>
      <c r="P17" s="100"/>
      <c r="Q17" s="6"/>
      <c r="R17" s="100" t="n">
        <v>55</v>
      </c>
      <c r="S17" s="102" t="n">
        <v>12.5</v>
      </c>
      <c r="T17" s="103" t="n">
        <v>4.68</v>
      </c>
      <c r="U17" s="90" t="n">
        <f aca="false">SUM(I17:T17)</f>
        <v>72.18</v>
      </c>
      <c r="V17" s="104" t="s">
        <v>46</v>
      </c>
      <c r="W17" s="9" t="s">
        <v>43</v>
      </c>
      <c r="X17" s="105" t="s">
        <v>48</v>
      </c>
      <c r="Y17" s="106"/>
      <c r="Z17" s="49"/>
    </row>
    <row r="18" s="9" customFormat="true" ht="14.1" hidden="false" customHeight="true" outlineLevel="0" collapsed="false">
      <c r="A18" s="181" t="s">
        <v>43</v>
      </c>
      <c r="B18" s="182" t="s">
        <v>69</v>
      </c>
      <c r="C18" s="183" t="s">
        <v>67</v>
      </c>
      <c r="D18" s="184" t="n">
        <v>11093103</v>
      </c>
      <c r="E18" s="185" t="n">
        <v>45239</v>
      </c>
      <c r="F18" s="186" t="s">
        <v>45</v>
      </c>
      <c r="G18" s="187" t="n">
        <v>45240</v>
      </c>
      <c r="H18" s="188"/>
      <c r="I18" s="189"/>
      <c r="J18" s="189"/>
      <c r="K18" s="189"/>
      <c r="L18" s="189"/>
      <c r="M18" s="188"/>
      <c r="N18" s="189"/>
      <c r="O18" s="188"/>
      <c r="P18" s="190"/>
      <c r="Q18" s="191"/>
      <c r="R18" s="188" t="n">
        <v>84</v>
      </c>
      <c r="S18" s="191" t="n">
        <v>25</v>
      </c>
      <c r="T18" s="192" t="n">
        <v>7.14</v>
      </c>
      <c r="U18" s="193" t="n">
        <f aca="false">SUM(H18:T18)</f>
        <v>116.14</v>
      </c>
      <c r="V18" s="194" t="s">
        <v>46</v>
      </c>
      <c r="W18" s="195" t="s">
        <v>70</v>
      </c>
      <c r="X18" s="105" t="s">
        <v>48</v>
      </c>
      <c r="Y18" s="196"/>
      <c r="Z18" s="49" t="s">
        <v>60</v>
      </c>
      <c r="AB18" s="9" t="s">
        <v>71</v>
      </c>
    </row>
    <row r="19" s="9" customFormat="true" ht="14.1" hidden="false" customHeight="true" outlineLevel="0" collapsed="false">
      <c r="A19" s="95" t="s">
        <v>43</v>
      </c>
      <c r="B19" s="2" t="s">
        <v>72</v>
      </c>
      <c r="C19" s="3"/>
      <c r="D19" s="96" t="n">
        <v>4084104</v>
      </c>
      <c r="E19" s="97" t="n">
        <v>45390</v>
      </c>
      <c r="F19" s="98" t="s">
        <v>45</v>
      </c>
      <c r="G19" s="5" t="n">
        <v>45390</v>
      </c>
      <c r="H19" s="99"/>
      <c r="I19" s="100"/>
      <c r="J19" s="101"/>
      <c r="K19" s="101"/>
      <c r="L19" s="101"/>
      <c r="M19" s="101"/>
      <c r="N19" s="100"/>
      <c r="O19" s="101"/>
      <c r="P19" s="100"/>
      <c r="Q19" s="6"/>
      <c r="R19" s="100" t="n">
        <v>188</v>
      </c>
      <c r="S19" s="102" t="n">
        <v>37.5</v>
      </c>
      <c r="T19" s="103" t="n">
        <v>16.92</v>
      </c>
      <c r="U19" s="90" t="n">
        <f aca="false">SUM(I19:T19)</f>
        <v>242.42</v>
      </c>
      <c r="V19" s="104" t="s">
        <v>46</v>
      </c>
      <c r="W19" s="9" t="s">
        <v>47</v>
      </c>
      <c r="X19" s="105" t="s">
        <v>48</v>
      </c>
      <c r="Y19" s="106"/>
      <c r="Z19" s="49"/>
    </row>
    <row r="20" s="9" customFormat="true" ht="14.1" hidden="false" customHeight="true" outlineLevel="0" collapsed="false">
      <c r="A20" s="95" t="s">
        <v>43</v>
      </c>
      <c r="B20" s="2" t="s">
        <v>73</v>
      </c>
      <c r="C20" s="3"/>
      <c r="D20" s="96" t="n">
        <v>4034102</v>
      </c>
      <c r="E20" s="97" t="n">
        <v>45385</v>
      </c>
      <c r="F20" s="98" t="s">
        <v>45</v>
      </c>
      <c r="G20" s="5" t="n">
        <v>45385</v>
      </c>
      <c r="H20" s="99"/>
      <c r="I20" s="100"/>
      <c r="J20" s="101"/>
      <c r="K20" s="101"/>
      <c r="L20" s="101"/>
      <c r="M20" s="101"/>
      <c r="N20" s="100"/>
      <c r="O20" s="101"/>
      <c r="P20" s="100"/>
      <c r="Q20" s="6"/>
      <c r="R20" s="100" t="n">
        <v>39</v>
      </c>
      <c r="S20" s="102" t="n">
        <v>12.5</v>
      </c>
      <c r="T20" s="103" t="n">
        <v>3.36</v>
      </c>
      <c r="U20" s="90" t="n">
        <f aca="false">SUM(I20:T20)</f>
        <v>54.86</v>
      </c>
      <c r="V20" s="104" t="s">
        <v>46</v>
      </c>
      <c r="W20" s="9" t="s">
        <v>43</v>
      </c>
      <c r="X20" s="105" t="s">
        <v>48</v>
      </c>
      <c r="Y20" s="106"/>
      <c r="Z20" s="49"/>
    </row>
    <row r="21" s="9" customFormat="true" ht="14.1" hidden="false" customHeight="true" outlineLevel="0" collapsed="false">
      <c r="A21" s="95" t="s">
        <v>43</v>
      </c>
      <c r="B21" s="2" t="s">
        <v>74</v>
      </c>
      <c r="C21" s="3"/>
      <c r="D21" s="96" t="n">
        <v>4034104</v>
      </c>
      <c r="E21" s="97" t="n">
        <v>45385</v>
      </c>
      <c r="F21" s="98" t="s">
        <v>45</v>
      </c>
      <c r="G21" s="5" t="n">
        <v>45385</v>
      </c>
      <c r="H21" s="99"/>
      <c r="I21" s="100"/>
      <c r="J21" s="101"/>
      <c r="K21" s="101"/>
      <c r="L21" s="101"/>
      <c r="M21" s="101"/>
      <c r="N21" s="100"/>
      <c r="O21" s="101"/>
      <c r="P21" s="100"/>
      <c r="Q21" s="6"/>
      <c r="R21" s="100" t="n">
        <v>65</v>
      </c>
      <c r="S21" s="102" t="n">
        <v>12.5</v>
      </c>
      <c r="T21" s="103" t="n">
        <v>5.61</v>
      </c>
      <c r="U21" s="90" t="n">
        <f aca="false">SUM(I21:T21)</f>
        <v>83.11</v>
      </c>
      <c r="V21" s="104" t="s">
        <v>46</v>
      </c>
      <c r="W21" s="9" t="s">
        <v>43</v>
      </c>
      <c r="X21" s="105" t="s">
        <v>48</v>
      </c>
      <c r="Y21" s="106"/>
      <c r="Z21" s="49"/>
    </row>
    <row r="22" s="9" customFormat="true" ht="14.1" hidden="false" customHeight="true" outlineLevel="0" collapsed="false">
      <c r="A22" s="95" t="s">
        <v>43</v>
      </c>
      <c r="B22" s="2" t="s">
        <v>75</v>
      </c>
      <c r="C22" s="3"/>
      <c r="D22" s="96" t="n">
        <v>3214103</v>
      </c>
      <c r="E22" s="97" t="n">
        <v>45372</v>
      </c>
      <c r="F22" s="98" t="s">
        <v>45</v>
      </c>
      <c r="G22" s="5" t="n">
        <v>45372</v>
      </c>
      <c r="H22" s="100"/>
      <c r="I22" s="101"/>
      <c r="J22" s="101"/>
      <c r="K22" s="101"/>
      <c r="L22" s="101"/>
      <c r="M22" s="100"/>
      <c r="N22" s="101"/>
      <c r="O22" s="100"/>
      <c r="P22" s="6"/>
      <c r="Q22" s="102"/>
      <c r="R22" s="100" t="n">
        <v>110</v>
      </c>
      <c r="S22" s="102" t="n">
        <v>25</v>
      </c>
      <c r="T22" s="103" t="n">
        <v>8.53</v>
      </c>
      <c r="U22" s="90" t="n">
        <f aca="false">SUM(H22:T22)</f>
        <v>143.53</v>
      </c>
      <c r="V22" s="104" t="s">
        <v>46</v>
      </c>
      <c r="W22" s="9" t="s">
        <v>43</v>
      </c>
      <c r="X22" s="105" t="s">
        <v>48</v>
      </c>
      <c r="Y22" s="179"/>
      <c r="Z22" s="180"/>
    </row>
    <row r="23" s="9" customFormat="true" ht="14.1" hidden="false" customHeight="true" outlineLevel="0" collapsed="false">
      <c r="A23" s="95" t="s">
        <v>43</v>
      </c>
      <c r="B23" s="2" t="s">
        <v>76</v>
      </c>
      <c r="C23" s="3"/>
      <c r="D23" s="96" t="n">
        <v>4084110</v>
      </c>
      <c r="E23" s="97" t="n">
        <v>45390</v>
      </c>
      <c r="F23" s="98" t="s">
        <v>45</v>
      </c>
      <c r="G23" s="5" t="n">
        <v>45390</v>
      </c>
      <c r="H23" s="99"/>
      <c r="I23" s="100"/>
      <c r="J23" s="101"/>
      <c r="K23" s="101"/>
      <c r="L23" s="101"/>
      <c r="M23" s="101"/>
      <c r="N23" s="100"/>
      <c r="O23" s="101"/>
      <c r="P23" s="100"/>
      <c r="Q23" s="6"/>
      <c r="R23" s="100" t="n">
        <v>900</v>
      </c>
      <c r="S23" s="102" t="n">
        <v>150</v>
      </c>
      <c r="T23" s="103" t="n">
        <v>65.25</v>
      </c>
      <c r="U23" s="90" t="n">
        <f aca="false">SUM(I23:T23)</f>
        <v>1115.25</v>
      </c>
      <c r="V23" s="104" t="s">
        <v>77</v>
      </c>
      <c r="W23" s="9" t="s">
        <v>78</v>
      </c>
      <c r="X23" s="197" t="s">
        <v>48</v>
      </c>
      <c r="Y23" s="106"/>
      <c r="Z23" s="49"/>
    </row>
    <row r="24" s="9" customFormat="true" ht="14.1" hidden="false" customHeight="true" outlineLevel="0" collapsed="false">
      <c r="A24" s="198" t="s">
        <v>43</v>
      </c>
      <c r="B24" s="199" t="s">
        <v>79</v>
      </c>
      <c r="C24" s="200"/>
      <c r="D24" s="201" t="n">
        <v>1184062</v>
      </c>
      <c r="E24" s="202" t="n">
        <v>45309</v>
      </c>
      <c r="F24" s="203" t="s">
        <v>45</v>
      </c>
      <c r="G24" s="204" t="n">
        <v>45310</v>
      </c>
      <c r="H24" s="205"/>
      <c r="I24" s="206"/>
      <c r="J24" s="206"/>
      <c r="K24" s="206"/>
      <c r="L24" s="206"/>
      <c r="M24" s="205"/>
      <c r="N24" s="206"/>
      <c r="O24" s="205"/>
      <c r="P24" s="207"/>
      <c r="Q24" s="208"/>
      <c r="R24" s="205" t="n">
        <v>615</v>
      </c>
      <c r="S24" s="208"/>
      <c r="T24" s="209"/>
      <c r="U24" s="210" t="n">
        <f aca="false">SUM(H24:T24)</f>
        <v>615</v>
      </c>
      <c r="V24" s="211" t="s">
        <v>53</v>
      </c>
      <c r="W24" s="212" t="s">
        <v>80</v>
      </c>
      <c r="X24" s="105" t="s">
        <v>48</v>
      </c>
      <c r="Y24" s="196"/>
      <c r="Z24" s="49"/>
    </row>
    <row r="25" s="9" customFormat="true" ht="14.1" hidden="false" customHeight="true" outlineLevel="0" collapsed="false">
      <c r="A25" s="95" t="s">
        <v>43</v>
      </c>
      <c r="B25" s="2" t="s">
        <v>81</v>
      </c>
      <c r="C25" s="3"/>
      <c r="D25" s="96" t="n">
        <v>4014103</v>
      </c>
      <c r="E25" s="97" t="n">
        <v>45383</v>
      </c>
      <c r="F25" s="98" t="s">
        <v>45</v>
      </c>
      <c r="G25" s="5" t="n">
        <v>45383</v>
      </c>
      <c r="H25" s="99"/>
      <c r="I25" s="100"/>
      <c r="J25" s="101"/>
      <c r="K25" s="101"/>
      <c r="L25" s="101"/>
      <c r="M25" s="101"/>
      <c r="N25" s="100"/>
      <c r="O25" s="101"/>
      <c r="P25" s="100"/>
      <c r="Q25" s="6"/>
      <c r="R25" s="100" t="n">
        <v>396</v>
      </c>
      <c r="S25" s="102" t="n">
        <v>62.5</v>
      </c>
      <c r="T25" s="103" t="n">
        <v>34.16</v>
      </c>
      <c r="U25" s="90" t="n">
        <f aca="false">SUM(I25:T25)</f>
        <v>492.66</v>
      </c>
      <c r="V25" s="104" t="s">
        <v>46</v>
      </c>
      <c r="W25" s="9" t="s">
        <v>43</v>
      </c>
      <c r="X25" s="105" t="s">
        <v>48</v>
      </c>
      <c r="Y25" s="106"/>
      <c r="Z25" s="49"/>
    </row>
    <row r="26" s="9" customFormat="true" ht="14.1" hidden="false" customHeight="true" outlineLevel="0" collapsed="false">
      <c r="A26" s="164" t="s">
        <v>43</v>
      </c>
      <c r="B26" s="165" t="s">
        <v>82</v>
      </c>
      <c r="C26" s="166"/>
      <c r="D26" s="167" t="n">
        <v>2134104</v>
      </c>
      <c r="E26" s="168" t="n">
        <v>45335</v>
      </c>
      <c r="F26" s="169" t="s">
        <v>45</v>
      </c>
      <c r="G26" s="170" t="n">
        <v>45335</v>
      </c>
      <c r="H26" s="171"/>
      <c r="I26" s="172"/>
      <c r="J26" s="172"/>
      <c r="K26" s="172"/>
      <c r="L26" s="172"/>
      <c r="M26" s="171"/>
      <c r="N26" s="172"/>
      <c r="O26" s="171"/>
      <c r="P26" s="173"/>
      <c r="Q26" s="174"/>
      <c r="R26" s="171" t="n">
        <v>260</v>
      </c>
      <c r="S26" s="174" t="n">
        <v>50</v>
      </c>
      <c r="T26" s="175" t="n">
        <v>23.73</v>
      </c>
      <c r="U26" s="176" t="n">
        <f aca="false">SUM(H26:T26)</f>
        <v>333.73</v>
      </c>
      <c r="V26" s="177" t="s">
        <v>46</v>
      </c>
      <c r="W26" s="178" t="s">
        <v>43</v>
      </c>
      <c r="X26" s="105" t="s">
        <v>48</v>
      </c>
      <c r="Y26" s="179"/>
      <c r="Z26" s="180"/>
    </row>
    <row r="27" s="9" customFormat="true" ht="14.1" hidden="false" customHeight="true" outlineLevel="0" collapsed="false">
      <c r="A27" s="95" t="s">
        <v>43</v>
      </c>
      <c r="B27" s="2" t="s">
        <v>83</v>
      </c>
      <c r="C27" s="3"/>
      <c r="D27" s="96" t="n">
        <v>3184104</v>
      </c>
      <c r="E27" s="97" t="n">
        <v>45369</v>
      </c>
      <c r="F27" s="98" t="s">
        <v>45</v>
      </c>
      <c r="G27" s="5" t="n">
        <v>45369</v>
      </c>
      <c r="H27" s="100"/>
      <c r="I27" s="101"/>
      <c r="J27" s="101"/>
      <c r="K27" s="101"/>
      <c r="L27" s="101"/>
      <c r="M27" s="100"/>
      <c r="N27" s="101"/>
      <c r="O27" s="100"/>
      <c r="P27" s="6"/>
      <c r="Q27" s="102"/>
      <c r="R27" s="100" t="n">
        <v>78</v>
      </c>
      <c r="S27" s="102" t="n">
        <v>12.5</v>
      </c>
      <c r="T27" s="103" t="n">
        <v>6.73</v>
      </c>
      <c r="U27" s="90" t="n">
        <f aca="false">SUM(H27:T27)</f>
        <v>97.23</v>
      </c>
      <c r="V27" s="104" t="s">
        <v>46</v>
      </c>
      <c r="W27" s="9" t="s">
        <v>70</v>
      </c>
      <c r="X27" s="105" t="s">
        <v>48</v>
      </c>
      <c r="Y27" s="179"/>
      <c r="Z27" s="180"/>
    </row>
    <row r="28" s="9" customFormat="true" ht="14.1" hidden="false" customHeight="true" outlineLevel="0" collapsed="false">
      <c r="A28" s="95" t="s">
        <v>43</v>
      </c>
      <c r="B28" s="2" t="s">
        <v>84</v>
      </c>
      <c r="C28" s="3"/>
      <c r="D28" s="96" t="n">
        <v>2284103</v>
      </c>
      <c r="E28" s="97" t="n">
        <v>45350</v>
      </c>
      <c r="F28" s="98" t="s">
        <v>45</v>
      </c>
      <c r="G28" s="5" t="n">
        <v>45352</v>
      </c>
      <c r="H28" s="100"/>
      <c r="I28" s="101"/>
      <c r="J28" s="101"/>
      <c r="K28" s="101"/>
      <c r="L28" s="101"/>
      <c r="M28" s="100"/>
      <c r="N28" s="101"/>
      <c r="O28" s="100"/>
      <c r="P28" s="6"/>
      <c r="Q28" s="102"/>
      <c r="R28" s="100" t="n">
        <v>104</v>
      </c>
      <c r="S28" s="102"/>
      <c r="T28" s="103" t="n">
        <v>9.62</v>
      </c>
      <c r="U28" s="90" t="n">
        <f aca="false">SUM(H28:T28)</f>
        <v>113.62</v>
      </c>
      <c r="V28" s="104" t="s">
        <v>58</v>
      </c>
      <c r="W28" s="9" t="s">
        <v>43</v>
      </c>
      <c r="X28" s="105" t="s">
        <v>48</v>
      </c>
      <c r="Y28" s="179"/>
      <c r="Z28" s="180"/>
    </row>
    <row r="29" s="9" customFormat="true" ht="14.1" hidden="false" customHeight="true" outlineLevel="0" collapsed="false">
      <c r="A29" s="95" t="s">
        <v>43</v>
      </c>
      <c r="B29" s="2" t="s">
        <v>85</v>
      </c>
      <c r="C29" s="3"/>
      <c r="D29" s="96" t="n">
        <v>4094101</v>
      </c>
      <c r="E29" s="97" t="n">
        <v>45391</v>
      </c>
      <c r="F29" s="98" t="s">
        <v>45</v>
      </c>
      <c r="G29" s="5" t="n">
        <v>45391</v>
      </c>
      <c r="H29" s="99"/>
      <c r="I29" s="100"/>
      <c r="J29" s="101"/>
      <c r="K29" s="101"/>
      <c r="L29" s="101"/>
      <c r="M29" s="101"/>
      <c r="N29" s="100"/>
      <c r="O29" s="101"/>
      <c r="P29" s="100"/>
      <c r="Q29" s="6"/>
      <c r="R29" s="100" t="n">
        <v>245</v>
      </c>
      <c r="S29" s="102" t="n">
        <v>37.5</v>
      </c>
      <c r="T29" s="103" t="n">
        <v>22.97</v>
      </c>
      <c r="U29" s="90" t="n">
        <f aca="false">SUM(I29:T29)</f>
        <v>305.47</v>
      </c>
      <c r="V29" s="104" t="s">
        <v>46</v>
      </c>
      <c r="W29" s="9" t="s">
        <v>43</v>
      </c>
      <c r="X29" s="197" t="s">
        <v>48</v>
      </c>
      <c r="Y29" s="106"/>
      <c r="Z29" s="49"/>
    </row>
    <row r="30" s="9" customFormat="true" ht="14.1" hidden="false" customHeight="true" outlineLevel="0" collapsed="false">
      <c r="A30" s="95" t="s">
        <v>43</v>
      </c>
      <c r="B30" s="2" t="s">
        <v>86</v>
      </c>
      <c r="C30" s="3"/>
      <c r="D30" s="96" t="n">
        <v>2294108</v>
      </c>
      <c r="E30" s="97" t="n">
        <v>45351</v>
      </c>
      <c r="F30" s="98" t="s">
        <v>45</v>
      </c>
      <c r="G30" s="5" t="n">
        <v>45352</v>
      </c>
      <c r="H30" s="100"/>
      <c r="I30" s="101"/>
      <c r="J30" s="101"/>
      <c r="K30" s="101"/>
      <c r="L30" s="101"/>
      <c r="M30" s="100"/>
      <c r="N30" s="101"/>
      <c r="O30" s="100"/>
      <c r="P30" s="6"/>
      <c r="Q30" s="102"/>
      <c r="R30" s="100" t="n">
        <v>375</v>
      </c>
      <c r="S30" s="102" t="n">
        <v>87.5</v>
      </c>
      <c r="T30" s="103" t="n">
        <v>34.69</v>
      </c>
      <c r="U30" s="90" t="n">
        <f aca="false">SUM(H30:T30)</f>
        <v>497.19</v>
      </c>
      <c r="V30" s="104" t="s">
        <v>46</v>
      </c>
      <c r="W30" s="9" t="s">
        <v>43</v>
      </c>
      <c r="X30" s="105" t="s">
        <v>48</v>
      </c>
      <c r="Y30" s="179"/>
      <c r="Z30" s="180"/>
    </row>
    <row r="31" s="9" customFormat="true" ht="14.1" hidden="false" customHeight="true" outlineLevel="0" collapsed="false">
      <c r="A31" s="95" t="s">
        <v>43</v>
      </c>
      <c r="B31" s="2" t="s">
        <v>87</v>
      </c>
      <c r="C31" s="3"/>
      <c r="D31" s="96" t="n">
        <v>4014107</v>
      </c>
      <c r="E31" s="97" t="n">
        <v>45383</v>
      </c>
      <c r="F31" s="98" t="s">
        <v>45</v>
      </c>
      <c r="G31" s="5" t="n">
        <v>45383</v>
      </c>
      <c r="H31" s="99"/>
      <c r="I31" s="100"/>
      <c r="J31" s="101"/>
      <c r="K31" s="101"/>
      <c r="L31" s="101"/>
      <c r="M31" s="101"/>
      <c r="N31" s="100"/>
      <c r="O31" s="101"/>
      <c r="P31" s="100"/>
      <c r="Q31" s="6"/>
      <c r="R31" s="100" t="n">
        <v>65</v>
      </c>
      <c r="S31" s="102" t="n">
        <v>12.5</v>
      </c>
      <c r="T31" s="103" t="n">
        <v>5.36</v>
      </c>
      <c r="U31" s="90" t="n">
        <f aca="false">SUM(I31:T31)</f>
        <v>82.86</v>
      </c>
      <c r="V31" s="104" t="s">
        <v>46</v>
      </c>
      <c r="W31" s="9" t="s">
        <v>43</v>
      </c>
      <c r="X31" s="105" t="s">
        <v>48</v>
      </c>
      <c r="Y31" s="106"/>
      <c r="Z31" s="49"/>
    </row>
    <row r="32" s="9" customFormat="true" ht="14.1" hidden="false" customHeight="true" outlineLevel="0" collapsed="false">
      <c r="A32" s="181" t="s">
        <v>43</v>
      </c>
      <c r="B32" s="182" t="s">
        <v>88</v>
      </c>
      <c r="C32" s="183"/>
      <c r="D32" s="184" t="n">
        <v>10243102</v>
      </c>
      <c r="E32" s="185" t="n">
        <v>45223</v>
      </c>
      <c r="F32" s="186" t="s">
        <v>45</v>
      </c>
      <c r="G32" s="187" t="n">
        <v>45223</v>
      </c>
      <c r="H32" s="188"/>
      <c r="I32" s="189"/>
      <c r="J32" s="189"/>
      <c r="K32" s="189"/>
      <c r="L32" s="189"/>
      <c r="M32" s="188"/>
      <c r="N32" s="189"/>
      <c r="O32" s="188"/>
      <c r="P32" s="190"/>
      <c r="Q32" s="191"/>
      <c r="R32" s="188" t="n">
        <v>110</v>
      </c>
      <c r="S32" s="191" t="n">
        <v>25</v>
      </c>
      <c r="T32" s="192" t="n">
        <v>9.08</v>
      </c>
      <c r="U32" s="193" t="n">
        <f aca="false">SUM(H32:T32)</f>
        <v>144.08</v>
      </c>
      <c r="V32" s="194" t="s">
        <v>46</v>
      </c>
      <c r="W32" s="195" t="s">
        <v>59</v>
      </c>
      <c r="X32" s="105" t="s">
        <v>48</v>
      </c>
      <c r="Y32" s="49"/>
      <c r="Z32" s="9" t="s">
        <v>89</v>
      </c>
    </row>
    <row r="33" s="9" customFormat="true" ht="14.1" hidden="false" customHeight="true" outlineLevel="0" collapsed="false">
      <c r="A33" s="164" t="s">
        <v>43</v>
      </c>
      <c r="B33" s="165" t="s">
        <v>90</v>
      </c>
      <c r="C33" s="166" t="s">
        <v>91</v>
      </c>
      <c r="D33" s="167" t="n">
        <v>2024101</v>
      </c>
      <c r="E33" s="168" t="n">
        <v>45324</v>
      </c>
      <c r="F33" s="169" t="s">
        <v>92</v>
      </c>
      <c r="G33" s="170" t="n">
        <v>45324</v>
      </c>
      <c r="H33" s="171"/>
      <c r="I33" s="172"/>
      <c r="J33" s="172"/>
      <c r="K33" s="172"/>
      <c r="L33" s="172"/>
      <c r="M33" s="171"/>
      <c r="N33" s="172"/>
      <c r="O33" s="171"/>
      <c r="P33" s="173" t="n">
        <v>180</v>
      </c>
      <c r="Q33" s="174" t="n">
        <v>90</v>
      </c>
      <c r="R33" s="171"/>
      <c r="S33" s="174"/>
      <c r="T33" s="175"/>
      <c r="U33" s="176" t="n">
        <f aca="false">SUM(H33:T33)</f>
        <v>270</v>
      </c>
      <c r="V33" s="177" t="s">
        <v>92</v>
      </c>
      <c r="W33" s="178" t="s">
        <v>93</v>
      </c>
      <c r="X33" s="105" t="s">
        <v>48</v>
      </c>
      <c r="Y33" s="179"/>
      <c r="Z33" s="180"/>
    </row>
    <row r="34" s="9" customFormat="true" ht="14.1" hidden="false" customHeight="true" outlineLevel="0" collapsed="false">
      <c r="A34" s="164" t="s">
        <v>43</v>
      </c>
      <c r="B34" s="165" t="s">
        <v>94</v>
      </c>
      <c r="C34" s="166"/>
      <c r="D34" s="167" t="n">
        <v>2154102</v>
      </c>
      <c r="E34" s="168" t="n">
        <v>45337</v>
      </c>
      <c r="F34" s="169" t="s">
        <v>45</v>
      </c>
      <c r="G34" s="170" t="n">
        <v>45338</v>
      </c>
      <c r="H34" s="171"/>
      <c r="I34" s="172"/>
      <c r="J34" s="172"/>
      <c r="K34" s="172"/>
      <c r="L34" s="172"/>
      <c r="M34" s="171"/>
      <c r="N34" s="172"/>
      <c r="O34" s="171"/>
      <c r="P34" s="173"/>
      <c r="Q34" s="174"/>
      <c r="R34" s="171" t="n">
        <v>65</v>
      </c>
      <c r="S34" s="174" t="n">
        <v>12.5</v>
      </c>
      <c r="T34" s="175" t="n">
        <v>5.53</v>
      </c>
      <c r="U34" s="176" t="n">
        <f aca="false">SUM(H34:T34)</f>
        <v>83.03</v>
      </c>
      <c r="V34" s="177" t="s">
        <v>46</v>
      </c>
      <c r="W34" s="178" t="s">
        <v>43</v>
      </c>
      <c r="X34" s="105" t="s">
        <v>48</v>
      </c>
      <c r="Y34" s="179"/>
      <c r="Z34" s="180"/>
    </row>
    <row r="35" s="9" customFormat="true" ht="14.1" hidden="false" customHeight="true" outlineLevel="0" collapsed="false">
      <c r="A35" s="95" t="s">
        <v>43</v>
      </c>
      <c r="B35" s="2" t="s">
        <v>95</v>
      </c>
      <c r="C35" s="3" t="s">
        <v>96</v>
      </c>
      <c r="D35" s="96" t="n">
        <v>4084105</v>
      </c>
      <c r="E35" s="97" t="n">
        <v>45390</v>
      </c>
      <c r="F35" s="98" t="s">
        <v>45</v>
      </c>
      <c r="G35" s="5" t="n">
        <v>45390</v>
      </c>
      <c r="H35" s="99"/>
      <c r="I35" s="100"/>
      <c r="J35" s="101"/>
      <c r="K35" s="101"/>
      <c r="L35" s="101"/>
      <c r="M35" s="101"/>
      <c r="N35" s="100"/>
      <c r="O35" s="101"/>
      <c r="P35" s="100"/>
      <c r="Q35" s="6"/>
      <c r="R35" s="100" t="n">
        <v>65</v>
      </c>
      <c r="S35" s="102" t="n">
        <v>12.5</v>
      </c>
      <c r="T35" s="103" t="n">
        <v>5.85</v>
      </c>
      <c r="U35" s="90" t="n">
        <f aca="false">SUM(I35:T35)</f>
        <v>83.35</v>
      </c>
      <c r="V35" s="104" t="s">
        <v>46</v>
      </c>
      <c r="W35" s="9" t="s">
        <v>47</v>
      </c>
      <c r="X35" s="105" t="s">
        <v>48</v>
      </c>
      <c r="Y35" s="106"/>
      <c r="Z35" s="49"/>
    </row>
    <row r="36" s="9" customFormat="true" ht="14.1" hidden="false" customHeight="true" outlineLevel="0" collapsed="false">
      <c r="A36" s="95" t="s">
        <v>43</v>
      </c>
      <c r="B36" s="2" t="s">
        <v>97</v>
      </c>
      <c r="C36" s="3"/>
      <c r="D36" s="96" t="n">
        <v>4034105</v>
      </c>
      <c r="E36" s="97" t="n">
        <v>45385</v>
      </c>
      <c r="F36" s="98" t="s">
        <v>45</v>
      </c>
      <c r="G36" s="5" t="n">
        <v>45386</v>
      </c>
      <c r="H36" s="99"/>
      <c r="I36" s="100"/>
      <c r="J36" s="101"/>
      <c r="K36" s="101"/>
      <c r="L36" s="101"/>
      <c r="M36" s="101"/>
      <c r="N36" s="100"/>
      <c r="O36" s="101"/>
      <c r="P36" s="100"/>
      <c r="Q36" s="6"/>
      <c r="R36" s="100" t="n">
        <v>416</v>
      </c>
      <c r="S36" s="102" t="n">
        <v>62.5</v>
      </c>
      <c r="T36" s="103" t="n">
        <v>35.88</v>
      </c>
      <c r="U36" s="90" t="n">
        <f aca="false">SUM(I36:T36)</f>
        <v>514.38</v>
      </c>
      <c r="V36" s="104" t="s">
        <v>46</v>
      </c>
      <c r="W36" s="9" t="s">
        <v>47</v>
      </c>
      <c r="X36" s="105" t="s">
        <v>48</v>
      </c>
      <c r="Y36" s="106"/>
      <c r="Z36" s="49"/>
    </row>
    <row r="37" s="9" customFormat="true" ht="14.1" hidden="false" customHeight="true" outlineLevel="0" collapsed="false">
      <c r="A37" s="181" t="s">
        <v>43</v>
      </c>
      <c r="B37" s="182" t="s">
        <v>98</v>
      </c>
      <c r="C37" s="183"/>
      <c r="D37" s="184" t="n">
        <v>7273103</v>
      </c>
      <c r="E37" s="185" t="n">
        <v>45134</v>
      </c>
      <c r="F37" s="186" t="s">
        <v>45</v>
      </c>
      <c r="G37" s="187" t="n">
        <v>45135</v>
      </c>
      <c r="H37" s="188"/>
      <c r="I37" s="189"/>
      <c r="J37" s="189"/>
      <c r="K37" s="189"/>
      <c r="L37" s="189"/>
      <c r="M37" s="188"/>
      <c r="N37" s="189"/>
      <c r="O37" s="188"/>
      <c r="P37" s="190"/>
      <c r="Q37" s="191"/>
      <c r="R37" s="188" t="n">
        <v>39</v>
      </c>
      <c r="S37" s="191" t="n">
        <v>12.5</v>
      </c>
      <c r="T37" s="192" t="n">
        <v>3.36</v>
      </c>
      <c r="U37" s="193" t="n">
        <f aca="false">SUM(H37:T37)</f>
        <v>54.86</v>
      </c>
      <c r="V37" s="194" t="s">
        <v>46</v>
      </c>
      <c r="W37" s="195" t="s">
        <v>70</v>
      </c>
      <c r="X37" s="105" t="s">
        <v>48</v>
      </c>
      <c r="Y37" s="196"/>
      <c r="Z37" s="213" t="s">
        <v>99</v>
      </c>
      <c r="AA37" s="9" t="s">
        <v>100</v>
      </c>
    </row>
    <row r="38" s="9" customFormat="true" ht="14.1" hidden="false" customHeight="true" outlineLevel="0" collapsed="false">
      <c r="A38" s="181" t="s">
        <v>43</v>
      </c>
      <c r="B38" s="182" t="s">
        <v>101</v>
      </c>
      <c r="C38" s="183" t="s">
        <v>102</v>
      </c>
      <c r="D38" s="184" t="n">
        <v>12123106</v>
      </c>
      <c r="E38" s="185" t="n">
        <v>45272</v>
      </c>
      <c r="F38" s="186" t="s">
        <v>45</v>
      </c>
      <c r="G38" s="187" t="n">
        <v>45272</v>
      </c>
      <c r="H38" s="188"/>
      <c r="I38" s="189"/>
      <c r="J38" s="189"/>
      <c r="K38" s="189"/>
      <c r="L38" s="189"/>
      <c r="M38" s="188"/>
      <c r="N38" s="189"/>
      <c r="O38" s="188"/>
      <c r="P38" s="190"/>
      <c r="Q38" s="191"/>
      <c r="R38" s="188" t="n">
        <v>188</v>
      </c>
      <c r="S38" s="191" t="n">
        <v>37.5</v>
      </c>
      <c r="T38" s="192" t="n">
        <v>15.75</v>
      </c>
      <c r="U38" s="193" t="n">
        <f aca="false">SUM(H38:T38)</f>
        <v>241.25</v>
      </c>
      <c r="V38" s="194" t="s">
        <v>46</v>
      </c>
      <c r="W38" s="195" t="s">
        <v>43</v>
      </c>
      <c r="X38" s="105" t="s">
        <v>48</v>
      </c>
      <c r="Y38" s="196"/>
      <c r="Z38" s="49" t="s">
        <v>103</v>
      </c>
    </row>
    <row r="39" s="9" customFormat="true" ht="14.1" hidden="false" customHeight="true" outlineLevel="0" collapsed="false">
      <c r="A39" s="198" t="s">
        <v>43</v>
      </c>
      <c r="B39" s="199" t="s">
        <v>101</v>
      </c>
      <c r="C39" s="200" t="s">
        <v>102</v>
      </c>
      <c r="D39" s="201" t="n">
        <v>1294104</v>
      </c>
      <c r="E39" s="202" t="n">
        <v>45320</v>
      </c>
      <c r="F39" s="203" t="s">
        <v>45</v>
      </c>
      <c r="G39" s="204" t="n">
        <v>45320</v>
      </c>
      <c r="H39" s="205"/>
      <c r="I39" s="206"/>
      <c r="J39" s="206"/>
      <c r="K39" s="206"/>
      <c r="L39" s="206"/>
      <c r="M39" s="205"/>
      <c r="N39" s="206"/>
      <c r="O39" s="205"/>
      <c r="P39" s="207"/>
      <c r="Q39" s="208"/>
      <c r="R39" s="205" t="n">
        <v>175</v>
      </c>
      <c r="S39" s="208" t="n">
        <v>37.5</v>
      </c>
      <c r="T39" s="209" t="n">
        <v>14.66</v>
      </c>
      <c r="U39" s="210" t="n">
        <f aca="false">SUM(H39:T39)</f>
        <v>227.16</v>
      </c>
      <c r="V39" s="211" t="s">
        <v>46</v>
      </c>
      <c r="W39" s="212" t="s">
        <v>43</v>
      </c>
      <c r="X39" s="105" t="s">
        <v>48</v>
      </c>
      <c r="Y39" s="196"/>
      <c r="Z39" s="49" t="s">
        <v>103</v>
      </c>
      <c r="AB39" s="9" t="s">
        <v>71</v>
      </c>
    </row>
    <row r="40" s="9" customFormat="true" ht="14.1" hidden="false" customHeight="true" outlineLevel="0" collapsed="false">
      <c r="A40" s="95" t="s">
        <v>43</v>
      </c>
      <c r="B40" s="2" t="s">
        <v>104</v>
      </c>
      <c r="C40" s="3"/>
      <c r="D40" s="96" t="n">
        <v>3154106</v>
      </c>
      <c r="E40" s="97" t="n">
        <v>45366</v>
      </c>
      <c r="F40" s="98" t="s">
        <v>45</v>
      </c>
      <c r="G40" s="5" t="n">
        <v>45366</v>
      </c>
      <c r="H40" s="100"/>
      <c r="I40" s="101"/>
      <c r="J40" s="101"/>
      <c r="K40" s="101"/>
      <c r="L40" s="101"/>
      <c r="M40" s="100"/>
      <c r="N40" s="101"/>
      <c r="O40" s="100"/>
      <c r="P40" s="6"/>
      <c r="Q40" s="102"/>
      <c r="R40" s="100" t="n">
        <v>355</v>
      </c>
      <c r="S40" s="102" t="n">
        <v>67.5</v>
      </c>
      <c r="T40" s="103" t="n">
        <v>30.62</v>
      </c>
      <c r="U40" s="90" t="n">
        <f aca="false">SUM(H40:T40)</f>
        <v>453.12</v>
      </c>
      <c r="V40" s="104" t="s">
        <v>46</v>
      </c>
      <c r="W40" s="9" t="s">
        <v>43</v>
      </c>
      <c r="X40" s="105" t="s">
        <v>48</v>
      </c>
      <c r="Y40" s="179"/>
      <c r="Z40" s="180" t="s">
        <v>105</v>
      </c>
    </row>
    <row r="41" s="9" customFormat="true" ht="14.1" hidden="false" customHeight="true" outlineLevel="0" collapsed="false">
      <c r="A41" s="181" t="s">
        <v>43</v>
      </c>
      <c r="B41" s="182" t="s">
        <v>106</v>
      </c>
      <c r="C41" s="183"/>
      <c r="D41" s="184" t="n">
        <v>9013106</v>
      </c>
      <c r="E41" s="185" t="n">
        <v>45170</v>
      </c>
      <c r="F41" s="186" t="s">
        <v>45</v>
      </c>
      <c r="G41" s="187" t="n">
        <v>45174</v>
      </c>
      <c r="H41" s="188"/>
      <c r="I41" s="189"/>
      <c r="J41" s="189"/>
      <c r="K41" s="189"/>
      <c r="L41" s="189"/>
      <c r="M41" s="188"/>
      <c r="N41" s="189"/>
      <c r="O41" s="188"/>
      <c r="P41" s="190"/>
      <c r="Q41" s="191"/>
      <c r="R41" s="188" t="n">
        <v>135</v>
      </c>
      <c r="S41" s="191" t="n">
        <v>25</v>
      </c>
      <c r="T41" s="192" t="n">
        <v>12.99</v>
      </c>
      <c r="U41" s="193" t="n">
        <f aca="false">SUM(H41:T41)</f>
        <v>172.99</v>
      </c>
      <c r="V41" s="194" t="s">
        <v>58</v>
      </c>
      <c r="W41" s="195" t="s">
        <v>93</v>
      </c>
      <c r="X41" s="105" t="s">
        <v>48</v>
      </c>
      <c r="Y41" s="196"/>
      <c r="Z41" s="49" t="s">
        <v>107</v>
      </c>
    </row>
    <row r="42" s="9" customFormat="true" ht="14.1" hidden="false" customHeight="true" outlineLevel="0" collapsed="false">
      <c r="A42" s="198" t="s">
        <v>43</v>
      </c>
      <c r="B42" s="199" t="s">
        <v>108</v>
      </c>
      <c r="C42" s="200"/>
      <c r="D42" s="201" t="n">
        <v>1194105</v>
      </c>
      <c r="E42" s="202" t="n">
        <v>45310</v>
      </c>
      <c r="F42" s="203" t="s">
        <v>109</v>
      </c>
      <c r="G42" s="204" t="n">
        <v>45317</v>
      </c>
      <c r="H42" s="205"/>
      <c r="I42" s="206"/>
      <c r="J42" s="206"/>
      <c r="K42" s="206"/>
      <c r="L42" s="206"/>
      <c r="M42" s="205"/>
      <c r="N42" s="206"/>
      <c r="O42" s="205" t="n">
        <v>95</v>
      </c>
      <c r="P42" s="207"/>
      <c r="Q42" s="208"/>
      <c r="R42" s="205"/>
      <c r="S42" s="208" t="n">
        <v>12.5</v>
      </c>
      <c r="T42" s="209" t="n">
        <v>9.26</v>
      </c>
      <c r="U42" s="210" t="n">
        <f aca="false">SUM(H42:T42)</f>
        <v>116.76</v>
      </c>
      <c r="V42" s="211" t="s">
        <v>46</v>
      </c>
      <c r="W42" s="212" t="s">
        <v>70</v>
      </c>
      <c r="X42" s="105" t="s">
        <v>48</v>
      </c>
      <c r="Y42" s="196"/>
      <c r="Z42" s="49"/>
    </row>
    <row r="43" s="9" customFormat="true" ht="14.1" hidden="false" customHeight="true" outlineLevel="0" collapsed="false">
      <c r="A43" s="181" t="s">
        <v>43</v>
      </c>
      <c r="B43" s="182" t="s">
        <v>110</v>
      </c>
      <c r="C43" s="183"/>
      <c r="D43" s="184" t="n">
        <v>6263103</v>
      </c>
      <c r="E43" s="185" t="n">
        <v>45103</v>
      </c>
      <c r="F43" s="186" t="s">
        <v>45</v>
      </c>
      <c r="G43" s="187" t="n">
        <v>45103</v>
      </c>
      <c r="H43" s="188"/>
      <c r="I43" s="189"/>
      <c r="J43" s="189"/>
      <c r="K43" s="189"/>
      <c r="L43" s="189"/>
      <c r="M43" s="188"/>
      <c r="N43" s="189"/>
      <c r="O43" s="188"/>
      <c r="P43" s="190"/>
      <c r="Q43" s="191"/>
      <c r="R43" s="188" t="n">
        <v>204</v>
      </c>
      <c r="S43" s="191" t="n">
        <v>50</v>
      </c>
      <c r="T43" s="192" t="n">
        <v>18.36</v>
      </c>
      <c r="U43" s="193" t="n">
        <f aca="false">SUM(H43:T43)</f>
        <v>272.36</v>
      </c>
      <c r="V43" s="194" t="s">
        <v>46</v>
      </c>
      <c r="W43" s="195" t="s">
        <v>47</v>
      </c>
      <c r="X43" s="105" t="s">
        <v>48</v>
      </c>
      <c r="Y43" s="196"/>
      <c r="Z43" s="49" t="s">
        <v>60</v>
      </c>
    </row>
    <row r="44" s="9" customFormat="true" ht="14.1" hidden="false" customHeight="true" outlineLevel="0" collapsed="false">
      <c r="A44" s="95" t="s">
        <v>43</v>
      </c>
      <c r="B44" s="2" t="s">
        <v>111</v>
      </c>
      <c r="C44" s="3" t="s">
        <v>112</v>
      </c>
      <c r="D44" s="96" t="n">
        <v>4084109</v>
      </c>
      <c r="E44" s="97" t="n">
        <v>45390</v>
      </c>
      <c r="F44" s="98" t="s">
        <v>45</v>
      </c>
      <c r="G44" s="5" t="n">
        <v>45390</v>
      </c>
      <c r="H44" s="99"/>
      <c r="I44" s="100"/>
      <c r="J44" s="101"/>
      <c r="K44" s="101"/>
      <c r="L44" s="101"/>
      <c r="M44" s="101"/>
      <c r="N44" s="100"/>
      <c r="O44" s="101"/>
      <c r="P44" s="100"/>
      <c r="Q44" s="6"/>
      <c r="R44" s="100" t="n">
        <v>349</v>
      </c>
      <c r="S44" s="102" t="n">
        <v>87.5</v>
      </c>
      <c r="T44" s="103" t="n">
        <v>37.52</v>
      </c>
      <c r="U44" s="90" t="n">
        <f aca="false">SUM(I44:T44)</f>
        <v>474.02</v>
      </c>
      <c r="V44" s="104" t="s">
        <v>46</v>
      </c>
      <c r="W44" s="9" t="s">
        <v>47</v>
      </c>
      <c r="X44" s="105" t="s">
        <v>48</v>
      </c>
      <c r="Y44" s="106"/>
      <c r="Z44" s="49"/>
    </row>
    <row r="45" s="9" customFormat="true" ht="14.1" hidden="false" customHeight="true" outlineLevel="0" collapsed="false">
      <c r="A45" s="95" t="s">
        <v>43</v>
      </c>
      <c r="B45" s="2" t="s">
        <v>113</v>
      </c>
      <c r="C45" s="3"/>
      <c r="D45" s="96" t="n">
        <v>3114110</v>
      </c>
      <c r="E45" s="97" t="n">
        <v>45362</v>
      </c>
      <c r="F45" s="98" t="s">
        <v>45</v>
      </c>
      <c r="G45" s="5" t="n">
        <v>45363</v>
      </c>
      <c r="H45" s="100"/>
      <c r="I45" s="101"/>
      <c r="J45" s="101"/>
      <c r="K45" s="101"/>
      <c r="L45" s="101"/>
      <c r="M45" s="100"/>
      <c r="N45" s="101"/>
      <c r="O45" s="100"/>
      <c r="P45" s="6"/>
      <c r="Q45" s="102"/>
      <c r="R45" s="100" t="n">
        <v>39</v>
      </c>
      <c r="S45" s="102" t="n">
        <v>12.5</v>
      </c>
      <c r="T45" s="103" t="n">
        <v>3.32</v>
      </c>
      <c r="U45" s="90" t="n">
        <f aca="false">SUM(H45:T45)</f>
        <v>54.82</v>
      </c>
      <c r="V45" s="104" t="s">
        <v>46</v>
      </c>
      <c r="W45" s="9" t="s">
        <v>43</v>
      </c>
      <c r="X45" s="105" t="s">
        <v>48</v>
      </c>
      <c r="Y45" s="179"/>
      <c r="Z45" s="180"/>
    </row>
    <row r="46" s="9" customFormat="true" ht="14.1" hidden="false" customHeight="true" outlineLevel="0" collapsed="false">
      <c r="A46" s="95" t="s">
        <v>43</v>
      </c>
      <c r="B46" s="2" t="s">
        <v>113</v>
      </c>
      <c r="C46" s="3"/>
      <c r="D46" s="96" t="n">
        <v>3134102</v>
      </c>
      <c r="E46" s="97" t="n">
        <v>45364</v>
      </c>
      <c r="F46" s="98" t="s">
        <v>45</v>
      </c>
      <c r="G46" s="5" t="n">
        <v>45364</v>
      </c>
      <c r="H46" s="100"/>
      <c r="I46" s="101"/>
      <c r="J46" s="101"/>
      <c r="K46" s="101"/>
      <c r="L46" s="101"/>
      <c r="M46" s="100"/>
      <c r="N46" s="101"/>
      <c r="O46" s="100"/>
      <c r="P46" s="6"/>
      <c r="Q46" s="102"/>
      <c r="R46" s="100" t="n">
        <v>39</v>
      </c>
      <c r="S46" s="102" t="n">
        <v>12.5</v>
      </c>
      <c r="T46" s="103" t="n">
        <v>3.32</v>
      </c>
      <c r="U46" s="90" t="n">
        <f aca="false">SUM(H46:T46)</f>
        <v>54.82</v>
      </c>
      <c r="V46" s="104" t="s">
        <v>46</v>
      </c>
      <c r="W46" s="9" t="s">
        <v>43</v>
      </c>
      <c r="X46" s="105" t="s">
        <v>48</v>
      </c>
      <c r="Y46" s="179"/>
      <c r="Z46" s="180"/>
    </row>
    <row r="47" s="9" customFormat="true" ht="14.1" hidden="false" customHeight="true" outlineLevel="0" collapsed="false">
      <c r="A47" s="181" t="s">
        <v>43</v>
      </c>
      <c r="B47" s="182" t="s">
        <v>114</v>
      </c>
      <c r="C47" s="183"/>
      <c r="D47" s="184" t="n">
        <v>12193106</v>
      </c>
      <c r="E47" s="185" t="n">
        <v>45279</v>
      </c>
      <c r="F47" s="186" t="s">
        <v>45</v>
      </c>
      <c r="G47" s="187" t="n">
        <v>45279</v>
      </c>
      <c r="H47" s="188"/>
      <c r="I47" s="189"/>
      <c r="J47" s="189"/>
      <c r="K47" s="189"/>
      <c r="L47" s="189"/>
      <c r="M47" s="188"/>
      <c r="N47" s="189"/>
      <c r="O47" s="188"/>
      <c r="P47" s="190"/>
      <c r="Q47" s="191"/>
      <c r="R47" s="188" t="n">
        <v>195</v>
      </c>
      <c r="S47" s="191" t="n">
        <v>37.5</v>
      </c>
      <c r="T47" s="192" t="n">
        <v>19.99</v>
      </c>
      <c r="U47" s="193" t="n">
        <f aca="false">SUM(H47:T47)</f>
        <v>252.49</v>
      </c>
      <c r="V47" s="194" t="s">
        <v>46</v>
      </c>
      <c r="W47" s="195" t="s">
        <v>47</v>
      </c>
      <c r="X47" s="105" t="s">
        <v>48</v>
      </c>
      <c r="Y47" s="196"/>
      <c r="Z47" s="49" t="s">
        <v>105</v>
      </c>
    </row>
    <row r="48" s="9" customFormat="true" ht="14.1" hidden="false" customHeight="true" outlineLevel="0" collapsed="false">
      <c r="A48" s="95" t="s">
        <v>43</v>
      </c>
      <c r="B48" s="2" t="s">
        <v>114</v>
      </c>
      <c r="C48" s="3"/>
      <c r="D48" s="96" t="n">
        <v>4084111</v>
      </c>
      <c r="E48" s="97" t="n">
        <v>45390</v>
      </c>
      <c r="F48" s="98" t="s">
        <v>45</v>
      </c>
      <c r="G48" s="5" t="n">
        <v>45390</v>
      </c>
      <c r="H48" s="99"/>
      <c r="I48" s="100"/>
      <c r="J48" s="101"/>
      <c r="K48" s="101"/>
      <c r="L48" s="101"/>
      <c r="M48" s="101"/>
      <c r="N48" s="100"/>
      <c r="O48" s="101"/>
      <c r="P48" s="100"/>
      <c r="Q48" s="6"/>
      <c r="R48" s="100" t="n">
        <v>408</v>
      </c>
      <c r="S48" s="102" t="n">
        <v>87.5</v>
      </c>
      <c r="T48" s="103" t="n">
        <v>41.82</v>
      </c>
      <c r="U48" s="90" t="n">
        <f aca="false">SUM(I48:T48)</f>
        <v>537.32</v>
      </c>
      <c r="V48" s="104" t="s">
        <v>46</v>
      </c>
      <c r="W48" s="9" t="s">
        <v>43</v>
      </c>
      <c r="X48" s="197" t="s">
        <v>48</v>
      </c>
      <c r="Y48" s="106"/>
      <c r="Z48" s="49"/>
    </row>
    <row r="49" s="9" customFormat="true" ht="14.1" hidden="false" customHeight="true" outlineLevel="0" collapsed="false">
      <c r="A49" s="95" t="s">
        <v>43</v>
      </c>
      <c r="B49" s="2" t="s">
        <v>115</v>
      </c>
      <c r="C49" s="3"/>
      <c r="D49" s="96" t="n">
        <v>3214104</v>
      </c>
      <c r="E49" s="97" t="n">
        <v>45372</v>
      </c>
      <c r="F49" s="98" t="s">
        <v>45</v>
      </c>
      <c r="G49" s="5" t="n">
        <v>45372</v>
      </c>
      <c r="H49" s="100"/>
      <c r="I49" s="101"/>
      <c r="J49" s="101"/>
      <c r="K49" s="101"/>
      <c r="L49" s="101"/>
      <c r="M49" s="100"/>
      <c r="N49" s="101"/>
      <c r="O49" s="100"/>
      <c r="P49" s="6"/>
      <c r="Q49" s="102"/>
      <c r="R49" s="100" t="n">
        <v>818</v>
      </c>
      <c r="S49" s="102" t="n">
        <v>162.5</v>
      </c>
      <c r="T49" s="103" t="n">
        <v>75.67</v>
      </c>
      <c r="U49" s="90" t="n">
        <f aca="false">SUM(H49:T49)</f>
        <v>1056.17</v>
      </c>
      <c r="V49" s="104" t="s">
        <v>46</v>
      </c>
      <c r="W49" s="9" t="s">
        <v>43</v>
      </c>
      <c r="X49" s="105" t="s">
        <v>48</v>
      </c>
      <c r="Y49" s="179"/>
      <c r="Z49" s="180"/>
    </row>
    <row r="50" s="9" customFormat="true" ht="14.1" hidden="false" customHeight="true" outlineLevel="0" collapsed="false">
      <c r="A50" s="95" t="s">
        <v>43</v>
      </c>
      <c r="B50" s="2" t="s">
        <v>116</v>
      </c>
      <c r="C50" s="3"/>
      <c r="D50" s="96" t="n">
        <v>4094104</v>
      </c>
      <c r="E50" s="97" t="n">
        <v>45391</v>
      </c>
      <c r="F50" s="98" t="s">
        <v>45</v>
      </c>
      <c r="G50" s="5" t="n">
        <v>45391</v>
      </c>
      <c r="H50" s="99"/>
      <c r="I50" s="100"/>
      <c r="J50" s="101"/>
      <c r="K50" s="101"/>
      <c r="L50" s="101"/>
      <c r="M50" s="101"/>
      <c r="N50" s="100"/>
      <c r="O50" s="101"/>
      <c r="P50" s="100"/>
      <c r="Q50" s="6"/>
      <c r="R50" s="100" t="n">
        <v>414</v>
      </c>
      <c r="S50" s="102" t="n">
        <v>100</v>
      </c>
      <c r="T50" s="103" t="n">
        <v>38.3</v>
      </c>
      <c r="U50" s="90" t="n">
        <f aca="false">SUM(I50:T50)</f>
        <v>552.3</v>
      </c>
      <c r="V50" s="104" t="s">
        <v>46</v>
      </c>
      <c r="W50" s="9" t="s">
        <v>43</v>
      </c>
      <c r="X50" s="105" t="s">
        <v>48</v>
      </c>
      <c r="Y50" s="106"/>
      <c r="Z50" s="49"/>
    </row>
    <row r="51" s="9" customFormat="true" ht="12.75" hidden="false" customHeight="true" outlineLevel="0" collapsed="false">
      <c r="A51" s="95" t="s">
        <v>43</v>
      </c>
      <c r="B51" s="2" t="s">
        <v>116</v>
      </c>
      <c r="C51" s="3"/>
      <c r="D51" s="96" t="n">
        <v>4124104</v>
      </c>
      <c r="E51" s="97" t="n">
        <v>45394</v>
      </c>
      <c r="F51" s="98" t="s">
        <v>45</v>
      </c>
      <c r="G51" s="5" t="n">
        <v>45394</v>
      </c>
      <c r="H51" s="99"/>
      <c r="I51" s="100"/>
      <c r="J51" s="101"/>
      <c r="K51" s="101"/>
      <c r="L51" s="101"/>
      <c r="M51" s="101"/>
      <c r="N51" s="100"/>
      <c r="O51" s="101"/>
      <c r="P51" s="100"/>
      <c r="Q51" s="6"/>
      <c r="R51" s="100" t="n">
        <v>117</v>
      </c>
      <c r="S51" s="102" t="n">
        <v>12.5</v>
      </c>
      <c r="T51" s="103" t="n">
        <v>10.82</v>
      </c>
      <c r="U51" s="90" t="n">
        <f aca="false">SUM(I51:T51)</f>
        <v>140.32</v>
      </c>
      <c r="V51" s="104" t="s">
        <v>46</v>
      </c>
      <c r="W51" s="9" t="s">
        <v>47</v>
      </c>
      <c r="X51" s="105" t="s">
        <v>48</v>
      </c>
      <c r="Y51" s="106"/>
      <c r="Z51" s="49"/>
    </row>
    <row r="52" s="9" customFormat="true" ht="12.75" hidden="false" customHeight="true" outlineLevel="0" collapsed="false">
      <c r="A52" s="95" t="s">
        <v>43</v>
      </c>
      <c r="B52" s="2" t="s">
        <v>117</v>
      </c>
      <c r="C52" s="3"/>
      <c r="D52" s="96" t="n">
        <v>3194101</v>
      </c>
      <c r="E52" s="97" t="n">
        <v>45370</v>
      </c>
      <c r="F52" s="98" t="s">
        <v>45</v>
      </c>
      <c r="G52" s="5" t="n">
        <v>45370</v>
      </c>
      <c r="H52" s="100"/>
      <c r="I52" s="101"/>
      <c r="J52" s="101"/>
      <c r="K52" s="101"/>
      <c r="L52" s="101"/>
      <c r="M52" s="100"/>
      <c r="N52" s="101"/>
      <c r="O52" s="100"/>
      <c r="P52" s="6"/>
      <c r="Q52" s="102"/>
      <c r="R52" s="100" t="n">
        <v>135</v>
      </c>
      <c r="S52" s="102"/>
      <c r="T52" s="103" t="n">
        <v>13.16</v>
      </c>
      <c r="U52" s="90" t="n">
        <f aca="false">SUM(H52:T52)</f>
        <v>148.16</v>
      </c>
      <c r="V52" s="104" t="s">
        <v>53</v>
      </c>
      <c r="W52" s="9" t="s">
        <v>118</v>
      </c>
      <c r="X52" s="105" t="s">
        <v>48</v>
      </c>
      <c r="Y52" s="179"/>
      <c r="Z52" s="180"/>
    </row>
    <row r="53" s="9" customFormat="true" ht="14.1" hidden="false" customHeight="true" outlineLevel="0" collapsed="false">
      <c r="A53" s="95" t="s">
        <v>43</v>
      </c>
      <c r="B53" s="2" t="s">
        <v>119</v>
      </c>
      <c r="C53" s="3"/>
      <c r="D53" s="96" t="n">
        <v>3144102</v>
      </c>
      <c r="E53" s="97" t="n">
        <v>45365</v>
      </c>
      <c r="F53" s="98" t="s">
        <v>45</v>
      </c>
      <c r="G53" s="5" t="n">
        <v>45365</v>
      </c>
      <c r="H53" s="100"/>
      <c r="I53" s="101"/>
      <c r="J53" s="101"/>
      <c r="K53" s="101"/>
      <c r="L53" s="101"/>
      <c r="M53" s="100"/>
      <c r="N53" s="101"/>
      <c r="O53" s="100"/>
      <c r="P53" s="6"/>
      <c r="Q53" s="102"/>
      <c r="R53" s="100" t="n">
        <v>330</v>
      </c>
      <c r="S53" s="102" t="n">
        <v>75</v>
      </c>
      <c r="T53" s="103" t="n">
        <v>28.48</v>
      </c>
      <c r="U53" s="90" t="n">
        <f aca="false">SUM(H53:T53)</f>
        <v>433.48</v>
      </c>
      <c r="V53" s="104" t="s">
        <v>46</v>
      </c>
      <c r="W53" s="9" t="s">
        <v>43</v>
      </c>
      <c r="X53" s="105" t="s">
        <v>48</v>
      </c>
      <c r="Y53" s="179"/>
      <c r="Z53" s="180"/>
    </row>
    <row r="54" s="9" customFormat="true" ht="14.1" hidden="false" customHeight="true" outlineLevel="0" collapsed="false">
      <c r="A54" s="95" t="s">
        <v>43</v>
      </c>
      <c r="B54" s="2" t="s">
        <v>119</v>
      </c>
      <c r="C54" s="3"/>
      <c r="D54" s="96" t="n">
        <v>4014102</v>
      </c>
      <c r="E54" s="97" t="n">
        <v>45383</v>
      </c>
      <c r="F54" s="98" t="s">
        <v>45</v>
      </c>
      <c r="G54" s="5" t="n">
        <v>45383</v>
      </c>
      <c r="H54" s="99"/>
      <c r="I54" s="100"/>
      <c r="J54" s="101"/>
      <c r="K54" s="101"/>
      <c r="L54" s="101"/>
      <c r="M54" s="101"/>
      <c r="N54" s="100"/>
      <c r="O54" s="101"/>
      <c r="P54" s="100"/>
      <c r="Q54" s="6"/>
      <c r="R54" s="100" t="n">
        <v>240</v>
      </c>
      <c r="S54" s="102" t="n">
        <v>50</v>
      </c>
      <c r="T54" s="103" t="n">
        <v>20.71</v>
      </c>
      <c r="U54" s="90" t="n">
        <f aca="false">SUM(I54:T54)</f>
        <v>310.71</v>
      </c>
      <c r="V54" s="104" t="s">
        <v>46</v>
      </c>
      <c r="W54" s="9" t="s">
        <v>43</v>
      </c>
      <c r="X54" s="105" t="s">
        <v>48</v>
      </c>
      <c r="Y54" s="106"/>
      <c r="Z54" s="49"/>
    </row>
    <row r="55" s="9" customFormat="true" ht="14.1" hidden="false" customHeight="true" outlineLevel="0" collapsed="false">
      <c r="A55" s="164" t="s">
        <v>43</v>
      </c>
      <c r="B55" s="165" t="s">
        <v>120</v>
      </c>
      <c r="C55" s="166"/>
      <c r="D55" s="167" t="n">
        <v>2014105</v>
      </c>
      <c r="E55" s="168" t="n">
        <v>45323</v>
      </c>
      <c r="F55" s="169" t="s">
        <v>45</v>
      </c>
      <c r="G55" s="170" t="n">
        <v>45323</v>
      </c>
      <c r="H55" s="171"/>
      <c r="I55" s="172"/>
      <c r="J55" s="172"/>
      <c r="K55" s="172"/>
      <c r="L55" s="172"/>
      <c r="M55" s="171"/>
      <c r="N55" s="172"/>
      <c r="O55" s="171"/>
      <c r="P55" s="173"/>
      <c r="Q55" s="174"/>
      <c r="R55" s="171" t="n">
        <v>266</v>
      </c>
      <c r="S55" s="174" t="n">
        <v>37.5</v>
      </c>
      <c r="T55" s="175" t="n">
        <v>22.96</v>
      </c>
      <c r="U55" s="176" t="n">
        <f aca="false">SUM(H55:T55)</f>
        <v>326.46</v>
      </c>
      <c r="V55" s="177" t="s">
        <v>46</v>
      </c>
      <c r="W55" s="178" t="s">
        <v>43</v>
      </c>
      <c r="X55" s="105" t="s">
        <v>48</v>
      </c>
      <c r="Y55" s="179"/>
      <c r="Z55" s="180"/>
    </row>
    <row r="56" s="9" customFormat="true" ht="14.1" hidden="false" customHeight="true" outlineLevel="0" collapsed="false">
      <c r="A56" s="95" t="s">
        <v>43</v>
      </c>
      <c r="B56" s="2" t="s">
        <v>121</v>
      </c>
      <c r="C56" s="3"/>
      <c r="D56" s="96" t="n">
        <v>4084103</v>
      </c>
      <c r="E56" s="97" t="n">
        <v>45390</v>
      </c>
      <c r="F56" s="98" t="s">
        <v>45</v>
      </c>
      <c r="G56" s="5" t="n">
        <v>45390</v>
      </c>
      <c r="H56" s="99"/>
      <c r="I56" s="100"/>
      <c r="J56" s="101"/>
      <c r="K56" s="101"/>
      <c r="L56" s="101"/>
      <c r="M56" s="101"/>
      <c r="N56" s="100"/>
      <c r="O56" s="101"/>
      <c r="P56" s="100"/>
      <c r="Q56" s="6"/>
      <c r="R56" s="100" t="n">
        <v>65</v>
      </c>
      <c r="S56" s="102" t="n">
        <v>12.5</v>
      </c>
      <c r="T56" s="103" t="n">
        <v>6.18</v>
      </c>
      <c r="U56" s="90" t="n">
        <f aca="false">SUM(I56:T56)</f>
        <v>83.68</v>
      </c>
      <c r="V56" s="104" t="s">
        <v>46</v>
      </c>
      <c r="W56" s="9" t="s">
        <v>47</v>
      </c>
      <c r="X56" s="105" t="s">
        <v>48</v>
      </c>
      <c r="Y56" s="106"/>
      <c r="Z56" s="49"/>
    </row>
    <row r="57" s="9" customFormat="true" ht="14.1" hidden="false" customHeight="true" outlineLevel="0" collapsed="false">
      <c r="A57" s="95" t="s">
        <v>43</v>
      </c>
      <c r="B57" s="2" t="s">
        <v>122</v>
      </c>
      <c r="C57" s="3"/>
      <c r="D57" s="96" t="n">
        <v>4014106</v>
      </c>
      <c r="E57" s="97" t="n">
        <v>45383</v>
      </c>
      <c r="F57" s="98" t="s">
        <v>45</v>
      </c>
      <c r="G57" s="5" t="n">
        <v>45383</v>
      </c>
      <c r="H57" s="99"/>
      <c r="I57" s="100"/>
      <c r="J57" s="101"/>
      <c r="K57" s="101"/>
      <c r="L57" s="101"/>
      <c r="M57" s="101"/>
      <c r="N57" s="100"/>
      <c r="O57" s="101"/>
      <c r="P57" s="100"/>
      <c r="Q57" s="6"/>
      <c r="R57" s="100" t="n">
        <v>65</v>
      </c>
      <c r="S57" s="102" t="n">
        <v>12.5</v>
      </c>
      <c r="T57" s="103" t="n">
        <v>5.36</v>
      </c>
      <c r="U57" s="90" t="n">
        <f aca="false">SUM(I57:T57)</f>
        <v>82.86</v>
      </c>
      <c r="V57" s="104" t="s">
        <v>46</v>
      </c>
      <c r="W57" s="9" t="s">
        <v>43</v>
      </c>
      <c r="X57" s="105" t="s">
        <v>48</v>
      </c>
      <c r="Y57" s="106"/>
      <c r="Z57" s="49"/>
    </row>
    <row r="58" s="9" customFormat="true" ht="14.1" hidden="false" customHeight="true" outlineLevel="0" collapsed="false">
      <c r="A58" s="95" t="s">
        <v>43</v>
      </c>
      <c r="B58" s="2" t="s">
        <v>123</v>
      </c>
      <c r="C58" s="3"/>
      <c r="D58" s="96" t="n">
        <v>4114101</v>
      </c>
      <c r="E58" s="97" t="n">
        <v>45393</v>
      </c>
      <c r="F58" s="98" t="s">
        <v>45</v>
      </c>
      <c r="G58" s="5" t="n">
        <v>45393</v>
      </c>
      <c r="H58" s="99"/>
      <c r="I58" s="100"/>
      <c r="J58" s="101"/>
      <c r="K58" s="101"/>
      <c r="L58" s="101"/>
      <c r="M58" s="101"/>
      <c r="N58" s="100"/>
      <c r="O58" s="101"/>
      <c r="P58" s="100"/>
      <c r="Q58" s="6"/>
      <c r="R58" s="100" t="n">
        <v>130</v>
      </c>
      <c r="S58" s="102" t="n">
        <v>25</v>
      </c>
      <c r="T58" s="103" t="n">
        <v>12.35</v>
      </c>
      <c r="U58" s="90" t="n">
        <f aca="false">SUM(I58:T58)</f>
        <v>167.35</v>
      </c>
      <c r="V58" s="104" t="s">
        <v>46</v>
      </c>
      <c r="W58" s="9" t="s">
        <v>43</v>
      </c>
      <c r="X58" s="105" t="s">
        <v>48</v>
      </c>
      <c r="Y58" s="106"/>
      <c r="Z58" s="49"/>
    </row>
    <row r="59" s="9" customFormat="true" ht="14.1" hidden="false" customHeight="true" outlineLevel="0" collapsed="false">
      <c r="A59" s="164" t="s">
        <v>43</v>
      </c>
      <c r="B59" s="165" t="s">
        <v>124</v>
      </c>
      <c r="C59" s="166"/>
      <c r="D59" s="167" t="n">
        <v>2124104</v>
      </c>
      <c r="E59" s="168" t="n">
        <v>45334</v>
      </c>
      <c r="F59" s="169" t="s">
        <v>45</v>
      </c>
      <c r="G59" s="170" t="n">
        <v>45334</v>
      </c>
      <c r="H59" s="171"/>
      <c r="I59" s="172"/>
      <c r="J59" s="172"/>
      <c r="K59" s="172"/>
      <c r="L59" s="172"/>
      <c r="M59" s="171"/>
      <c r="N59" s="172"/>
      <c r="O59" s="171"/>
      <c r="P59" s="173"/>
      <c r="Q59" s="174"/>
      <c r="R59" s="171" t="n">
        <v>55</v>
      </c>
      <c r="S59" s="174" t="n">
        <v>12.5</v>
      </c>
      <c r="T59" s="175" t="n">
        <v>4.75</v>
      </c>
      <c r="U59" s="176" t="n">
        <f aca="false">SUM(H59:T59)</f>
        <v>72.25</v>
      </c>
      <c r="V59" s="177" t="s">
        <v>46</v>
      </c>
      <c r="W59" s="178" t="s">
        <v>43</v>
      </c>
      <c r="X59" s="105" t="s">
        <v>48</v>
      </c>
      <c r="Y59" s="179"/>
      <c r="Z59" s="180"/>
    </row>
    <row r="60" s="9" customFormat="true" ht="14.1" hidden="false" customHeight="true" outlineLevel="0" collapsed="false">
      <c r="A60" s="95" t="s">
        <v>43</v>
      </c>
      <c r="B60" s="2" t="s">
        <v>125</v>
      </c>
      <c r="C60" s="3"/>
      <c r="D60" s="96" t="n">
        <v>3214101</v>
      </c>
      <c r="E60" s="97" t="n">
        <v>45372</v>
      </c>
      <c r="F60" s="98" t="s">
        <v>45</v>
      </c>
      <c r="G60" s="5" t="n">
        <v>45372</v>
      </c>
      <c r="H60" s="100"/>
      <c r="I60" s="101"/>
      <c r="J60" s="101"/>
      <c r="K60" s="101"/>
      <c r="L60" s="101"/>
      <c r="M60" s="100"/>
      <c r="N60" s="101"/>
      <c r="O60" s="100"/>
      <c r="P60" s="6"/>
      <c r="Q60" s="102"/>
      <c r="R60" s="100" t="n">
        <v>120</v>
      </c>
      <c r="S60" s="102" t="n">
        <v>25</v>
      </c>
      <c r="T60" s="103" t="n">
        <v>9.9</v>
      </c>
      <c r="U60" s="90" t="n">
        <f aca="false">SUM(H60:T60)</f>
        <v>154.9</v>
      </c>
      <c r="V60" s="104" t="s">
        <v>46</v>
      </c>
      <c r="W60" s="9" t="s">
        <v>43</v>
      </c>
      <c r="X60" s="105" t="s">
        <v>48</v>
      </c>
      <c r="Y60" s="179"/>
      <c r="Z60" s="180" t="s">
        <v>105</v>
      </c>
    </row>
    <row r="61" s="9" customFormat="true" ht="14.1" hidden="false" customHeight="true" outlineLevel="0" collapsed="false">
      <c r="A61" s="164" t="s">
        <v>43</v>
      </c>
      <c r="B61" s="165" t="s">
        <v>126</v>
      </c>
      <c r="C61" s="166"/>
      <c r="D61" s="167" t="n">
        <v>2294102</v>
      </c>
      <c r="E61" s="168" t="n">
        <v>45351</v>
      </c>
      <c r="F61" s="169" t="s">
        <v>45</v>
      </c>
      <c r="G61" s="170" t="n">
        <v>45351</v>
      </c>
      <c r="H61" s="171"/>
      <c r="I61" s="172"/>
      <c r="J61" s="172"/>
      <c r="K61" s="172"/>
      <c r="L61" s="172"/>
      <c r="M61" s="171"/>
      <c r="N61" s="172"/>
      <c r="O61" s="171"/>
      <c r="P61" s="173"/>
      <c r="Q61" s="174"/>
      <c r="R61" s="171" t="n">
        <v>105</v>
      </c>
      <c r="S61" s="174" t="n">
        <v>12.5</v>
      </c>
      <c r="T61" s="175" t="n">
        <v>9.71</v>
      </c>
      <c r="U61" s="176" t="n">
        <f aca="false">SUM(H61:T61)</f>
        <v>127.21</v>
      </c>
      <c r="V61" s="177" t="s">
        <v>46</v>
      </c>
      <c r="W61" s="178" t="s">
        <v>43</v>
      </c>
      <c r="X61" s="105" t="s">
        <v>48</v>
      </c>
      <c r="Y61" s="179"/>
      <c r="Z61" s="180"/>
    </row>
    <row r="62" s="9" customFormat="true" ht="14.1" hidden="false" customHeight="true" outlineLevel="0" collapsed="false">
      <c r="A62" s="95" t="s">
        <v>43</v>
      </c>
      <c r="B62" s="2" t="s">
        <v>127</v>
      </c>
      <c r="C62" s="3"/>
      <c r="D62" s="96" t="n">
        <v>4024102</v>
      </c>
      <c r="E62" s="97" t="n">
        <v>45384</v>
      </c>
      <c r="F62" s="98" t="s">
        <v>45</v>
      </c>
      <c r="G62" s="5" t="n">
        <v>45384</v>
      </c>
      <c r="H62" s="99"/>
      <c r="I62" s="100"/>
      <c r="J62" s="101"/>
      <c r="K62" s="101"/>
      <c r="L62" s="101"/>
      <c r="M62" s="101"/>
      <c r="N62" s="100"/>
      <c r="O62" s="101"/>
      <c r="P62" s="100"/>
      <c r="Q62" s="6"/>
      <c r="R62" s="100" t="n">
        <v>100</v>
      </c>
      <c r="S62" s="102" t="n">
        <v>25</v>
      </c>
      <c r="T62" s="103" t="n">
        <v>9.25</v>
      </c>
      <c r="U62" s="90" t="n">
        <f aca="false">SUM(I62:T62)</f>
        <v>134.25</v>
      </c>
      <c r="V62" s="104" t="s">
        <v>46</v>
      </c>
      <c r="W62" s="9" t="s">
        <v>47</v>
      </c>
      <c r="X62" s="105" t="s">
        <v>48</v>
      </c>
      <c r="Y62" s="106"/>
      <c r="Z62" s="49"/>
    </row>
    <row r="63" s="9" customFormat="true" ht="14.1" hidden="false" customHeight="true" outlineLevel="0" collapsed="false">
      <c r="A63" s="181" t="s">
        <v>43</v>
      </c>
      <c r="B63" s="182" t="s">
        <v>128</v>
      </c>
      <c r="C63" s="183"/>
      <c r="D63" s="184" t="n">
        <v>11023102</v>
      </c>
      <c r="E63" s="185" t="n">
        <v>45232</v>
      </c>
      <c r="F63" s="186" t="s">
        <v>45</v>
      </c>
      <c r="G63" s="187" t="n">
        <v>45232</v>
      </c>
      <c r="H63" s="188"/>
      <c r="I63" s="189"/>
      <c r="J63" s="189"/>
      <c r="K63" s="189"/>
      <c r="L63" s="189"/>
      <c r="M63" s="188"/>
      <c r="N63" s="189"/>
      <c r="O63" s="188"/>
      <c r="P63" s="190"/>
      <c r="Q63" s="191"/>
      <c r="R63" s="188" t="n">
        <v>110</v>
      </c>
      <c r="S63" s="191" t="n">
        <v>25</v>
      </c>
      <c r="T63" s="192" t="n">
        <v>9.49</v>
      </c>
      <c r="U63" s="193" t="n">
        <f aca="false">SUM(H63:T63)</f>
        <v>144.49</v>
      </c>
      <c r="V63" s="194" t="s">
        <v>46</v>
      </c>
      <c r="W63" s="195" t="s">
        <v>70</v>
      </c>
      <c r="X63" s="105" t="s">
        <v>48</v>
      </c>
      <c r="Y63" s="196"/>
      <c r="Z63" s="49" t="s">
        <v>129</v>
      </c>
    </row>
    <row r="64" s="9" customFormat="true" ht="14.1" hidden="false" customHeight="true" outlineLevel="0" collapsed="false">
      <c r="A64" s="181" t="s">
        <v>43</v>
      </c>
      <c r="B64" s="182" t="s">
        <v>130</v>
      </c>
      <c r="C64" s="183"/>
      <c r="D64" s="184" t="n">
        <v>10033111</v>
      </c>
      <c r="E64" s="185" t="n">
        <v>45202</v>
      </c>
      <c r="F64" s="186" t="s">
        <v>45</v>
      </c>
      <c r="G64" s="187" t="n">
        <v>45203</v>
      </c>
      <c r="H64" s="188"/>
      <c r="I64" s="189"/>
      <c r="J64" s="189"/>
      <c r="K64" s="189"/>
      <c r="L64" s="189"/>
      <c r="M64" s="188"/>
      <c r="N64" s="189"/>
      <c r="O64" s="188"/>
      <c r="P64" s="190"/>
      <c r="Q64" s="191"/>
      <c r="R64" s="188" t="n">
        <v>149</v>
      </c>
      <c r="S64" s="191" t="n">
        <v>37.5</v>
      </c>
      <c r="T64" s="192" t="n">
        <v>12.29</v>
      </c>
      <c r="U64" s="193" t="n">
        <f aca="false">SUM(H64:T64)</f>
        <v>198.79</v>
      </c>
      <c r="V64" s="194" t="s">
        <v>46</v>
      </c>
      <c r="W64" s="195" t="s">
        <v>43</v>
      </c>
      <c r="X64" s="105" t="s">
        <v>48</v>
      </c>
      <c r="Y64" s="49"/>
      <c r="Z64" s="9" t="s">
        <v>131</v>
      </c>
    </row>
    <row r="65" s="9" customFormat="true" ht="14.1" hidden="false" customHeight="true" outlineLevel="0" collapsed="false">
      <c r="A65" s="95" t="s">
        <v>43</v>
      </c>
      <c r="B65" s="2" t="s">
        <v>132</v>
      </c>
      <c r="C65" s="3"/>
      <c r="D65" s="96" t="n">
        <v>4084101</v>
      </c>
      <c r="E65" s="97" t="n">
        <v>45390</v>
      </c>
      <c r="F65" s="98" t="s">
        <v>45</v>
      </c>
      <c r="G65" s="5" t="n">
        <v>45393</v>
      </c>
      <c r="H65" s="99"/>
      <c r="I65" s="100"/>
      <c r="J65" s="101"/>
      <c r="K65" s="101"/>
      <c r="L65" s="101"/>
      <c r="M65" s="101"/>
      <c r="N65" s="100"/>
      <c r="O65" s="101"/>
      <c r="P65" s="100"/>
      <c r="Q65" s="6"/>
      <c r="R65" s="100" t="n">
        <v>2150</v>
      </c>
      <c r="S65" s="102"/>
      <c r="T65" s="103" t="n">
        <v>198.88</v>
      </c>
      <c r="U65" s="90" t="n">
        <f aca="false">SUM(I65:T65)</f>
        <v>2348.88</v>
      </c>
      <c r="V65" s="104" t="s">
        <v>53</v>
      </c>
      <c r="W65" s="9" t="s">
        <v>133</v>
      </c>
      <c r="X65" s="105" t="s">
        <v>48</v>
      </c>
      <c r="Y65" s="106"/>
      <c r="Z65" s="49"/>
    </row>
    <row r="66" s="9" customFormat="true" ht="14.1" hidden="false" customHeight="true" outlineLevel="0" collapsed="false">
      <c r="A66" s="95" t="s">
        <v>43</v>
      </c>
      <c r="B66" s="2" t="s">
        <v>134</v>
      </c>
      <c r="C66" s="3"/>
      <c r="D66" s="96" t="n">
        <v>4034106</v>
      </c>
      <c r="E66" s="97" t="n">
        <v>45385</v>
      </c>
      <c r="F66" s="98" t="s">
        <v>45</v>
      </c>
      <c r="G66" s="5" t="n">
        <v>45386</v>
      </c>
      <c r="H66" s="99"/>
      <c r="I66" s="100"/>
      <c r="J66" s="101"/>
      <c r="K66" s="101"/>
      <c r="L66" s="101"/>
      <c r="M66" s="101"/>
      <c r="N66" s="100"/>
      <c r="O66" s="101"/>
      <c r="P66" s="100"/>
      <c r="Q66" s="6"/>
      <c r="R66" s="100" t="n">
        <v>285</v>
      </c>
      <c r="S66" s="102" t="n">
        <v>62.5</v>
      </c>
      <c r="T66" s="103" t="n">
        <v>23.51</v>
      </c>
      <c r="U66" s="90" t="n">
        <f aca="false">SUM(I66:T66)</f>
        <v>371.01</v>
      </c>
      <c r="V66" s="104" t="s">
        <v>46</v>
      </c>
      <c r="W66" s="9" t="s">
        <v>47</v>
      </c>
      <c r="X66" s="105" t="s">
        <v>48</v>
      </c>
      <c r="Y66" s="106"/>
      <c r="Z66" s="49"/>
    </row>
    <row r="67" s="9" customFormat="true" ht="14.1" hidden="false" customHeight="true" outlineLevel="0" collapsed="false">
      <c r="A67" s="95" t="s">
        <v>43</v>
      </c>
      <c r="B67" s="2" t="s">
        <v>135</v>
      </c>
      <c r="C67" s="3"/>
      <c r="D67" s="96" t="n">
        <v>3014101</v>
      </c>
      <c r="E67" s="97" t="n">
        <v>45352</v>
      </c>
      <c r="F67" s="98" t="s">
        <v>45</v>
      </c>
      <c r="G67" s="5" t="n">
        <v>45352</v>
      </c>
      <c r="H67" s="100"/>
      <c r="I67" s="101"/>
      <c r="J67" s="101"/>
      <c r="K67" s="101"/>
      <c r="L67" s="101"/>
      <c r="M67" s="100"/>
      <c r="N67" s="101"/>
      <c r="O67" s="100"/>
      <c r="P67" s="6"/>
      <c r="Q67" s="102"/>
      <c r="R67" s="100" t="n">
        <v>65</v>
      </c>
      <c r="S67" s="102" t="n">
        <v>12.5</v>
      </c>
      <c r="T67" s="103" t="n">
        <v>6.99</v>
      </c>
      <c r="U67" s="90" t="n">
        <f aca="false">SUM(H67:T67)</f>
        <v>84.49</v>
      </c>
      <c r="V67" s="104" t="s">
        <v>46</v>
      </c>
      <c r="W67" s="9" t="s">
        <v>43</v>
      </c>
      <c r="X67" s="105" t="s">
        <v>48</v>
      </c>
      <c r="Y67" s="179"/>
      <c r="Z67" s="180"/>
    </row>
    <row r="68" s="9" customFormat="true" ht="14.1" hidden="false" customHeight="true" outlineLevel="0" collapsed="false">
      <c r="A68" s="198" t="s">
        <v>43</v>
      </c>
      <c r="B68" s="199" t="s">
        <v>136</v>
      </c>
      <c r="C68" s="200"/>
      <c r="D68" s="201" t="n">
        <v>1264103</v>
      </c>
      <c r="E68" s="202" t="n">
        <v>45317</v>
      </c>
      <c r="F68" s="203" t="s">
        <v>45</v>
      </c>
      <c r="G68" s="204" t="n">
        <v>45317</v>
      </c>
      <c r="H68" s="205"/>
      <c r="I68" s="206"/>
      <c r="J68" s="206"/>
      <c r="K68" s="206"/>
      <c r="L68" s="206"/>
      <c r="M68" s="205"/>
      <c r="N68" s="206"/>
      <c r="O68" s="205"/>
      <c r="P68" s="207"/>
      <c r="Q68" s="208"/>
      <c r="R68" s="205" t="n">
        <v>726</v>
      </c>
      <c r="S68" s="208" t="n">
        <v>137.5</v>
      </c>
      <c r="T68" s="209" t="n">
        <v>67.16</v>
      </c>
      <c r="U68" s="210" t="n">
        <f aca="false">SUM(H68:T68)</f>
        <v>930.66</v>
      </c>
      <c r="V68" s="211" t="s">
        <v>46</v>
      </c>
      <c r="W68" s="212" t="s">
        <v>70</v>
      </c>
      <c r="X68" s="105" t="s">
        <v>48</v>
      </c>
      <c r="Y68" s="196"/>
      <c r="Z68" s="49"/>
      <c r="AMJ68" s="0"/>
    </row>
    <row r="69" s="9" customFormat="true" ht="14.1" hidden="false" customHeight="true" outlineLevel="0" collapsed="false">
      <c r="A69" s="181" t="s">
        <v>43</v>
      </c>
      <c r="B69" s="182" t="s">
        <v>137</v>
      </c>
      <c r="C69" s="183"/>
      <c r="D69" s="184" t="n">
        <v>12133101</v>
      </c>
      <c r="E69" s="185" t="n">
        <v>45273</v>
      </c>
      <c r="F69" s="186" t="s">
        <v>45</v>
      </c>
      <c r="G69" s="187" t="n">
        <v>45273</v>
      </c>
      <c r="H69" s="188"/>
      <c r="I69" s="189"/>
      <c r="J69" s="189"/>
      <c r="K69" s="189"/>
      <c r="L69" s="189"/>
      <c r="M69" s="188"/>
      <c r="N69" s="189"/>
      <c r="O69" s="188"/>
      <c r="P69" s="190"/>
      <c r="Q69" s="191"/>
      <c r="R69" s="188" t="n">
        <v>198</v>
      </c>
      <c r="S69" s="191" t="n">
        <v>37.5</v>
      </c>
      <c r="T69" s="192" t="n">
        <v>16.83</v>
      </c>
      <c r="U69" s="193" t="n">
        <f aca="false">SUM(H69:T69)</f>
        <v>252.33</v>
      </c>
      <c r="V69" s="194" t="s">
        <v>46</v>
      </c>
      <c r="W69" s="195" t="s">
        <v>43</v>
      </c>
      <c r="X69" s="105" t="s">
        <v>48</v>
      </c>
      <c r="Y69" s="196"/>
      <c r="Z69" s="49" t="s">
        <v>60</v>
      </c>
      <c r="AMJ69" s="0"/>
    </row>
    <row r="70" s="9" customFormat="true" ht="14.1" hidden="false" customHeight="true" outlineLevel="0" collapsed="false">
      <c r="A70" s="181" t="s">
        <v>43</v>
      </c>
      <c r="B70" s="182" t="s">
        <v>138</v>
      </c>
      <c r="C70" s="183" t="s">
        <v>139</v>
      </c>
      <c r="D70" s="184" t="n">
        <v>10053103</v>
      </c>
      <c r="E70" s="185" t="n">
        <v>45204</v>
      </c>
      <c r="F70" s="186" t="s">
        <v>45</v>
      </c>
      <c r="G70" s="187" t="n">
        <v>45204</v>
      </c>
      <c r="H70" s="188"/>
      <c r="I70" s="189"/>
      <c r="J70" s="189"/>
      <c r="K70" s="189"/>
      <c r="L70" s="189"/>
      <c r="M70" s="188"/>
      <c r="N70" s="189"/>
      <c r="O70" s="188"/>
      <c r="P70" s="190"/>
      <c r="Q70" s="191"/>
      <c r="R70" s="188" t="n">
        <v>155</v>
      </c>
      <c r="S70" s="191" t="n">
        <v>25</v>
      </c>
      <c r="T70" s="192"/>
      <c r="U70" s="193" t="n">
        <f aca="false">SUM(H70:T70)</f>
        <v>180</v>
      </c>
      <c r="V70" s="194" t="s">
        <v>46</v>
      </c>
      <c r="W70" s="195" t="s">
        <v>59</v>
      </c>
      <c r="X70" s="105" t="s">
        <v>48</v>
      </c>
      <c r="Y70" s="49"/>
      <c r="Z70" s="9" t="s">
        <v>140</v>
      </c>
      <c r="AMJ70" s="0"/>
    </row>
    <row r="71" s="9" customFormat="true" ht="14.1" hidden="false" customHeight="true" outlineLevel="0" collapsed="false">
      <c r="A71" s="95" t="s">
        <v>43</v>
      </c>
      <c r="B71" s="2" t="s">
        <v>141</v>
      </c>
      <c r="C71" s="3"/>
      <c r="D71" s="96" t="n">
        <v>3184102</v>
      </c>
      <c r="E71" s="97" t="n">
        <v>45369</v>
      </c>
      <c r="F71" s="98" t="s">
        <v>45</v>
      </c>
      <c r="G71" s="5" t="n">
        <v>45369</v>
      </c>
      <c r="H71" s="100"/>
      <c r="I71" s="101"/>
      <c r="J71" s="101"/>
      <c r="K71" s="101"/>
      <c r="L71" s="101"/>
      <c r="M71" s="100"/>
      <c r="N71" s="101"/>
      <c r="O71" s="100"/>
      <c r="P71" s="6"/>
      <c r="Q71" s="102"/>
      <c r="R71" s="100" t="n">
        <v>318</v>
      </c>
      <c r="S71" s="102" t="n">
        <v>67.5</v>
      </c>
      <c r="T71" s="103" t="n">
        <v>27.43</v>
      </c>
      <c r="U71" s="90" t="n">
        <f aca="false">SUM(H71:T71)</f>
        <v>412.93</v>
      </c>
      <c r="V71" s="104" t="s">
        <v>46</v>
      </c>
      <c r="W71" s="9" t="s">
        <v>70</v>
      </c>
      <c r="X71" s="105" t="s">
        <v>48</v>
      </c>
      <c r="Y71" s="179"/>
      <c r="Z71" s="180"/>
      <c r="AMJ71" s="0"/>
    </row>
    <row r="72" s="9" customFormat="true" ht="14.1" hidden="false" customHeight="true" outlineLevel="0" collapsed="false">
      <c r="A72" s="198" t="s">
        <v>43</v>
      </c>
      <c r="B72" s="199" t="s">
        <v>142</v>
      </c>
      <c r="C72" s="200" t="s">
        <v>143</v>
      </c>
      <c r="D72" s="201" t="n">
        <v>1044108</v>
      </c>
      <c r="E72" s="202" t="n">
        <v>45295</v>
      </c>
      <c r="F72" s="203" t="s">
        <v>45</v>
      </c>
      <c r="G72" s="204" t="n">
        <v>45296</v>
      </c>
      <c r="H72" s="205"/>
      <c r="I72" s="206"/>
      <c r="J72" s="206"/>
      <c r="K72" s="206"/>
      <c r="L72" s="206"/>
      <c r="M72" s="205"/>
      <c r="N72" s="206"/>
      <c r="O72" s="205"/>
      <c r="P72" s="207"/>
      <c r="Q72" s="208"/>
      <c r="R72" s="205" t="n">
        <v>162</v>
      </c>
      <c r="S72" s="208" t="n">
        <v>25</v>
      </c>
      <c r="T72" s="209" t="n">
        <v>17.42</v>
      </c>
      <c r="U72" s="210" t="n">
        <f aca="false">SUM(H72:T72)</f>
        <v>204.42</v>
      </c>
      <c r="V72" s="211" t="s">
        <v>46</v>
      </c>
      <c r="W72" s="212" t="s">
        <v>70</v>
      </c>
      <c r="X72" s="105" t="s">
        <v>48</v>
      </c>
      <c r="Y72" s="196"/>
      <c r="Z72" s="49" t="s">
        <v>144</v>
      </c>
      <c r="AMJ72" s="0"/>
    </row>
    <row r="73" s="9" customFormat="true" ht="14.1" hidden="false" customHeight="true" outlineLevel="0" collapsed="false">
      <c r="A73" s="95" t="s">
        <v>43</v>
      </c>
      <c r="B73" s="2" t="s">
        <v>142</v>
      </c>
      <c r="C73" s="3" t="s">
        <v>145</v>
      </c>
      <c r="D73" s="96" t="n">
        <v>4084102</v>
      </c>
      <c r="E73" s="97" t="n">
        <v>45390</v>
      </c>
      <c r="F73" s="98" t="s">
        <v>45</v>
      </c>
      <c r="G73" s="5" t="n">
        <v>45390</v>
      </c>
      <c r="H73" s="99"/>
      <c r="I73" s="100"/>
      <c r="J73" s="101"/>
      <c r="K73" s="101"/>
      <c r="L73" s="101"/>
      <c r="M73" s="101"/>
      <c r="N73" s="100"/>
      <c r="O73" s="101"/>
      <c r="P73" s="100"/>
      <c r="Q73" s="6"/>
      <c r="R73" s="100" t="n">
        <v>65</v>
      </c>
      <c r="S73" s="102" t="n">
        <v>12.5</v>
      </c>
      <c r="T73" s="103" t="n">
        <v>5.04</v>
      </c>
      <c r="U73" s="90" t="n">
        <f aca="false">SUM(I73:T73)</f>
        <v>82.54</v>
      </c>
      <c r="V73" s="104" t="s">
        <v>46</v>
      </c>
      <c r="W73" s="9" t="s">
        <v>47</v>
      </c>
      <c r="X73" s="105" t="s">
        <v>48</v>
      </c>
      <c r="Y73" s="106"/>
      <c r="Z73" s="49"/>
      <c r="AMJ73" s="0"/>
    </row>
    <row r="74" s="9" customFormat="true" ht="14.1" hidden="false" customHeight="true" outlineLevel="0" collapsed="false">
      <c r="A74" s="95" t="s">
        <v>43</v>
      </c>
      <c r="B74" s="2" t="s">
        <v>142</v>
      </c>
      <c r="C74" s="3" t="s">
        <v>143</v>
      </c>
      <c r="D74" s="96" t="n">
        <v>4124102</v>
      </c>
      <c r="E74" s="97" t="n">
        <v>45394</v>
      </c>
      <c r="F74" s="98" t="s">
        <v>45</v>
      </c>
      <c r="G74" s="5" t="n">
        <v>45394</v>
      </c>
      <c r="H74" s="99"/>
      <c r="I74" s="100"/>
      <c r="J74" s="101"/>
      <c r="K74" s="101"/>
      <c r="L74" s="101"/>
      <c r="M74" s="101"/>
      <c r="N74" s="100"/>
      <c r="O74" s="101"/>
      <c r="P74" s="100"/>
      <c r="Q74" s="6"/>
      <c r="R74" s="100" t="n">
        <v>169</v>
      </c>
      <c r="S74" s="102" t="n">
        <v>37.5</v>
      </c>
      <c r="T74" s="103" t="n">
        <v>18.17</v>
      </c>
      <c r="U74" s="90" t="n">
        <f aca="false">SUM(I74:T74)</f>
        <v>224.67</v>
      </c>
      <c r="V74" s="104" t="s">
        <v>46</v>
      </c>
      <c r="W74" s="9" t="s">
        <v>47</v>
      </c>
      <c r="X74" s="105" t="s">
        <v>48</v>
      </c>
      <c r="Y74" s="106"/>
      <c r="Z74" s="49"/>
      <c r="AMJ74" s="0"/>
    </row>
    <row r="75" s="9" customFormat="true" ht="14.1" hidden="false" customHeight="true" outlineLevel="0" collapsed="false">
      <c r="A75" s="95" t="s">
        <v>43</v>
      </c>
      <c r="B75" s="2" t="s">
        <v>146</v>
      </c>
      <c r="C75" s="3"/>
      <c r="D75" s="96" t="n">
        <v>3114102</v>
      </c>
      <c r="E75" s="97" t="n">
        <v>45362</v>
      </c>
      <c r="F75" s="98" t="s">
        <v>45</v>
      </c>
      <c r="G75" s="5" t="n">
        <v>45362</v>
      </c>
      <c r="H75" s="100"/>
      <c r="I75" s="101"/>
      <c r="J75" s="101"/>
      <c r="K75" s="101"/>
      <c r="L75" s="101"/>
      <c r="M75" s="100"/>
      <c r="N75" s="101"/>
      <c r="O75" s="100"/>
      <c r="P75" s="6"/>
      <c r="Q75" s="102"/>
      <c r="R75" s="100" t="n">
        <v>130</v>
      </c>
      <c r="S75" s="102" t="n">
        <v>25</v>
      </c>
      <c r="T75" s="103" t="n">
        <v>11.21</v>
      </c>
      <c r="U75" s="90" t="n">
        <f aca="false">SUM(H75:T75)</f>
        <v>166.21</v>
      </c>
      <c r="V75" s="104" t="s">
        <v>46</v>
      </c>
      <c r="W75" s="9" t="s">
        <v>43</v>
      </c>
      <c r="X75" s="105" t="s">
        <v>48</v>
      </c>
      <c r="Y75" s="179"/>
      <c r="Z75" s="180"/>
      <c r="AMJ75" s="0"/>
    </row>
    <row r="76" s="9" customFormat="true" ht="14.1" hidden="false" customHeight="true" outlineLevel="0" collapsed="false">
      <c r="A76" s="181" t="s">
        <v>43</v>
      </c>
      <c r="B76" s="182" t="s">
        <v>147</v>
      </c>
      <c r="C76" s="183"/>
      <c r="D76" s="184" t="n">
        <v>12083104</v>
      </c>
      <c r="E76" s="185" t="n">
        <v>45268</v>
      </c>
      <c r="F76" s="186" t="s">
        <v>45</v>
      </c>
      <c r="G76" s="187" t="n">
        <v>45268</v>
      </c>
      <c r="H76" s="188"/>
      <c r="I76" s="189"/>
      <c r="J76" s="189"/>
      <c r="K76" s="189"/>
      <c r="L76" s="189"/>
      <c r="M76" s="188"/>
      <c r="N76" s="189"/>
      <c r="O76" s="188"/>
      <c r="P76" s="190"/>
      <c r="Q76" s="191"/>
      <c r="R76" s="188" t="n">
        <v>65</v>
      </c>
      <c r="S76" s="191" t="n">
        <v>12.5</v>
      </c>
      <c r="T76" s="192" t="n">
        <v>6.09</v>
      </c>
      <c r="U76" s="193" t="n">
        <f aca="false">SUM(H76:T76)</f>
        <v>83.59</v>
      </c>
      <c r="V76" s="194" t="s">
        <v>46</v>
      </c>
      <c r="W76" s="195" t="s">
        <v>70</v>
      </c>
      <c r="X76" s="105" t="s">
        <v>48</v>
      </c>
      <c r="Y76" s="196"/>
      <c r="Z76" s="49" t="s">
        <v>60</v>
      </c>
      <c r="AMJ76" s="0"/>
    </row>
    <row r="77" s="9" customFormat="true" ht="14.1" hidden="false" customHeight="true" outlineLevel="0" collapsed="false">
      <c r="A77" s="198" t="s">
        <v>43</v>
      </c>
      <c r="B77" s="199" t="s">
        <v>148</v>
      </c>
      <c r="C77" s="200"/>
      <c r="D77" s="201" t="n">
        <v>1054102</v>
      </c>
      <c r="E77" s="202" t="n">
        <v>45296</v>
      </c>
      <c r="F77" s="203" t="s">
        <v>45</v>
      </c>
      <c r="G77" s="204" t="n">
        <v>45299</v>
      </c>
      <c r="H77" s="205"/>
      <c r="I77" s="206"/>
      <c r="J77" s="206"/>
      <c r="K77" s="206"/>
      <c r="L77" s="206"/>
      <c r="M77" s="205"/>
      <c r="N77" s="206"/>
      <c r="O77" s="205"/>
      <c r="P77" s="207"/>
      <c r="Q77" s="208"/>
      <c r="R77" s="205" t="n">
        <v>65</v>
      </c>
      <c r="S77" s="208" t="n">
        <v>12.5</v>
      </c>
      <c r="T77" s="209" t="n">
        <v>5.61</v>
      </c>
      <c r="U77" s="210" t="n">
        <f aca="false">SUM(H77:T77)</f>
        <v>83.11</v>
      </c>
      <c r="V77" s="211" t="s">
        <v>46</v>
      </c>
      <c r="W77" s="212" t="s">
        <v>43</v>
      </c>
      <c r="X77" s="105" t="s">
        <v>48</v>
      </c>
      <c r="Y77" s="196"/>
      <c r="Z77" s="49" t="s">
        <v>149</v>
      </c>
      <c r="AMJ77" s="0"/>
    </row>
    <row r="78" s="9" customFormat="true" ht="14.1" hidden="false" customHeight="true" outlineLevel="0" collapsed="false">
      <c r="A78" s="198" t="s">
        <v>150</v>
      </c>
      <c r="B78" s="199" t="s">
        <v>49</v>
      </c>
      <c r="C78" s="200"/>
      <c r="D78" s="201" t="n">
        <v>1184071</v>
      </c>
      <c r="E78" s="202" t="n">
        <v>45309</v>
      </c>
      <c r="F78" s="203" t="s">
        <v>151</v>
      </c>
      <c r="G78" s="204" t="n">
        <v>45309</v>
      </c>
      <c r="H78" s="205"/>
      <c r="I78" s="206"/>
      <c r="J78" s="206"/>
      <c r="K78" s="206"/>
      <c r="L78" s="206"/>
      <c r="M78" s="205"/>
      <c r="N78" s="206"/>
      <c r="O78" s="205" t="n">
        <v>380</v>
      </c>
      <c r="P78" s="207" t="n">
        <v>90</v>
      </c>
      <c r="Q78" s="208" t="n">
        <v>90</v>
      </c>
      <c r="R78" s="205"/>
      <c r="S78" s="208"/>
      <c r="T78" s="209" t="n">
        <v>38.95</v>
      </c>
      <c r="U78" s="210" t="n">
        <f aca="false">SUM(H78:T78)</f>
        <v>598.95</v>
      </c>
      <c r="V78" s="211" t="s">
        <v>58</v>
      </c>
      <c r="W78" s="212" t="s">
        <v>150</v>
      </c>
      <c r="X78" s="105" t="s">
        <v>48</v>
      </c>
      <c r="Y78" s="196"/>
      <c r="Z78" s="49"/>
      <c r="AMJ78" s="0"/>
    </row>
    <row r="79" s="9" customFormat="true" ht="14.1" hidden="false" customHeight="true" outlineLevel="0" collapsed="false">
      <c r="A79" s="181"/>
      <c r="B79" s="182"/>
      <c r="C79" s="183"/>
      <c r="D79" s="184"/>
      <c r="E79" s="185"/>
      <c r="F79" s="186"/>
      <c r="G79" s="187"/>
      <c r="H79" s="188"/>
      <c r="I79" s="189"/>
      <c r="J79" s="189"/>
      <c r="K79" s="189"/>
      <c r="L79" s="189"/>
      <c r="M79" s="188"/>
      <c r="N79" s="189"/>
      <c r="O79" s="188"/>
      <c r="P79" s="190"/>
      <c r="Q79" s="191"/>
      <c r="R79" s="188"/>
      <c r="S79" s="191"/>
      <c r="T79" s="192"/>
      <c r="U79" s="193"/>
      <c r="V79" s="194"/>
      <c r="W79" s="195"/>
      <c r="X79" s="105"/>
      <c r="Y79" s="196"/>
      <c r="Z79" s="49"/>
      <c r="AMJ79" s="0"/>
    </row>
    <row r="80" s="9" customFormat="true" ht="14.1" hidden="false" customHeight="true" outlineLevel="0" collapsed="false">
      <c r="A80" s="181"/>
      <c r="B80" s="182"/>
      <c r="C80" s="183"/>
      <c r="D80" s="184"/>
      <c r="E80" s="185"/>
      <c r="F80" s="186"/>
      <c r="G80" s="187"/>
      <c r="H80" s="188"/>
      <c r="I80" s="189"/>
      <c r="J80" s="189"/>
      <c r="K80" s="189"/>
      <c r="L80" s="189"/>
      <c r="M80" s="188"/>
      <c r="N80" s="189"/>
      <c r="O80" s="188"/>
      <c r="P80" s="190"/>
      <c r="Q80" s="191"/>
      <c r="R80" s="188"/>
      <c r="S80" s="191"/>
      <c r="T80" s="192"/>
      <c r="U80" s="193"/>
      <c r="V80" s="194"/>
      <c r="W80" s="195"/>
      <c r="X80" s="105"/>
      <c r="Y80" s="196"/>
      <c r="Z80" s="49"/>
      <c r="AMJ80" s="0"/>
    </row>
    <row r="81" s="9" customFormat="true" ht="14.1" hidden="false" customHeight="true" outlineLevel="0" collapsed="false">
      <c r="A81" s="181"/>
      <c r="B81" s="182"/>
      <c r="C81" s="183"/>
      <c r="D81" s="184"/>
      <c r="E81" s="185"/>
      <c r="F81" s="186"/>
      <c r="G81" s="187"/>
      <c r="H81" s="188"/>
      <c r="I81" s="189"/>
      <c r="J81" s="189"/>
      <c r="K81" s="189"/>
      <c r="L81" s="189"/>
      <c r="M81" s="188"/>
      <c r="N81" s="189"/>
      <c r="O81" s="188"/>
      <c r="P81" s="190"/>
      <c r="Q81" s="191"/>
      <c r="R81" s="188"/>
      <c r="S81" s="191"/>
      <c r="T81" s="192"/>
      <c r="U81" s="193"/>
      <c r="V81" s="194"/>
      <c r="W81" s="195"/>
      <c r="X81" s="105"/>
      <c r="Y81" s="196"/>
      <c r="Z81" s="49"/>
      <c r="AMJ81" s="0"/>
    </row>
    <row r="82" s="9" customFormat="true" ht="14.1" hidden="false" customHeight="true" outlineLevel="0" collapsed="false">
      <c r="A82" s="181"/>
      <c r="B82" s="182"/>
      <c r="C82" s="183"/>
      <c r="D82" s="184"/>
      <c r="E82" s="185"/>
      <c r="F82" s="186"/>
      <c r="G82" s="187"/>
      <c r="H82" s="188"/>
      <c r="I82" s="189"/>
      <c r="J82" s="189"/>
      <c r="K82" s="189"/>
      <c r="L82" s="189"/>
      <c r="M82" s="188"/>
      <c r="N82" s="189"/>
      <c r="O82" s="188"/>
      <c r="P82" s="190"/>
      <c r="Q82" s="191"/>
      <c r="R82" s="188"/>
      <c r="S82" s="191"/>
      <c r="T82" s="192"/>
      <c r="U82" s="193"/>
      <c r="V82" s="194"/>
      <c r="W82" s="195"/>
      <c r="X82" s="105"/>
      <c r="Y82" s="196"/>
      <c r="Z82" s="49"/>
      <c r="AMJ82" s="0"/>
    </row>
    <row r="83" s="9" customFormat="true" ht="14.1" hidden="false" customHeight="true" outlineLevel="0" collapsed="false">
      <c r="A83" s="214"/>
      <c r="B83" s="215"/>
      <c r="C83" s="216"/>
      <c r="D83" s="216"/>
      <c r="E83" s="217"/>
      <c r="F83" s="218"/>
      <c r="G83" s="219"/>
      <c r="H83" s="220"/>
      <c r="I83" s="220"/>
      <c r="J83" s="221"/>
      <c r="K83" s="221"/>
      <c r="L83" s="221"/>
      <c r="M83" s="220"/>
      <c r="N83" s="220"/>
      <c r="O83" s="220"/>
      <c r="P83" s="121"/>
      <c r="Q83" s="222"/>
      <c r="R83" s="220"/>
      <c r="S83" s="222"/>
      <c r="T83" s="223"/>
      <c r="U83" s="224"/>
      <c r="V83" s="225"/>
      <c r="W83" s="27"/>
      <c r="X83" s="27"/>
      <c r="Y83" s="226" t="n">
        <f aca="false">SUM(U66:U82)</f>
        <v>3674.91</v>
      </c>
      <c r="Z83" s="227" t="e">
        <f aca="false">Y83/V170</f>
        <v>#DIV/0!</v>
      </c>
      <c r="AA83" s="49"/>
      <c r="AMJ83" s="0"/>
    </row>
    <row r="84" s="9" customFormat="true" ht="14.1" hidden="false" customHeight="true" outlineLevel="0" collapsed="false">
      <c r="A84" s="198"/>
      <c r="B84" s="199"/>
      <c r="C84" s="200"/>
      <c r="D84" s="201"/>
      <c r="E84" s="202"/>
      <c r="F84" s="203"/>
      <c r="G84" s="204"/>
      <c r="H84" s="205"/>
      <c r="I84" s="206"/>
      <c r="J84" s="206"/>
      <c r="K84" s="206"/>
      <c r="L84" s="206"/>
      <c r="M84" s="205"/>
      <c r="N84" s="206"/>
      <c r="O84" s="205"/>
      <c r="P84" s="207"/>
      <c r="Q84" s="208"/>
      <c r="R84" s="205"/>
      <c r="S84" s="208"/>
      <c r="T84" s="209"/>
      <c r="U84" s="210"/>
      <c r="V84" s="211"/>
      <c r="W84" s="212"/>
      <c r="X84" s="105"/>
      <c r="Y84" s="196"/>
      <c r="Z84" s="49"/>
      <c r="AMJ84" s="0"/>
    </row>
    <row r="85" s="9" customFormat="true" ht="14.1" hidden="false" customHeight="true" outlineLevel="0" collapsed="false">
      <c r="A85" s="198"/>
      <c r="B85" s="199"/>
      <c r="C85" s="200"/>
      <c r="D85" s="201"/>
      <c r="E85" s="202"/>
      <c r="F85" s="203"/>
      <c r="G85" s="204"/>
      <c r="H85" s="205"/>
      <c r="I85" s="206"/>
      <c r="J85" s="206"/>
      <c r="K85" s="206"/>
      <c r="L85" s="206"/>
      <c r="M85" s="205"/>
      <c r="N85" s="206"/>
      <c r="O85" s="205"/>
      <c r="P85" s="207"/>
      <c r="Q85" s="208"/>
      <c r="R85" s="205"/>
      <c r="S85" s="208"/>
      <c r="T85" s="209"/>
      <c r="U85" s="210"/>
      <c r="V85" s="211"/>
      <c r="W85" s="212"/>
      <c r="X85" s="105"/>
      <c r="Y85" s="196"/>
      <c r="Z85" s="49"/>
      <c r="AMJ85" s="0"/>
    </row>
    <row r="86" s="9" customFormat="true" ht="14.1" hidden="false" customHeight="true" outlineLevel="0" collapsed="false">
      <c r="A86" s="198"/>
      <c r="B86" s="199"/>
      <c r="C86" s="200"/>
      <c r="D86" s="201"/>
      <c r="E86" s="202"/>
      <c r="F86" s="203"/>
      <c r="G86" s="204"/>
      <c r="H86" s="205"/>
      <c r="I86" s="206"/>
      <c r="J86" s="206"/>
      <c r="K86" s="206"/>
      <c r="L86" s="206"/>
      <c r="M86" s="205"/>
      <c r="N86" s="206"/>
      <c r="O86" s="205"/>
      <c r="P86" s="207"/>
      <c r="Q86" s="208"/>
      <c r="R86" s="205"/>
      <c r="S86" s="208"/>
      <c r="T86" s="209"/>
      <c r="U86" s="210"/>
      <c r="V86" s="211"/>
      <c r="W86" s="212"/>
      <c r="X86" s="105"/>
      <c r="Y86" s="196"/>
      <c r="Z86" s="49"/>
      <c r="AMJ86" s="0"/>
    </row>
    <row r="87" s="9" customFormat="true" ht="14.1" hidden="false" customHeight="true" outlineLevel="0" collapsed="false">
      <c r="A87" s="214"/>
      <c r="B87" s="215"/>
      <c r="C87" s="216"/>
      <c r="D87" s="216"/>
      <c r="E87" s="217"/>
      <c r="F87" s="218"/>
      <c r="G87" s="219"/>
      <c r="H87" s="220"/>
      <c r="I87" s="220"/>
      <c r="J87" s="221"/>
      <c r="K87" s="221"/>
      <c r="L87" s="221"/>
      <c r="M87" s="220"/>
      <c r="N87" s="220"/>
      <c r="O87" s="220"/>
      <c r="P87" s="121"/>
      <c r="Q87" s="222"/>
      <c r="R87" s="220"/>
      <c r="S87" s="222"/>
      <c r="T87" s="223"/>
      <c r="U87" s="224"/>
      <c r="V87" s="225"/>
      <c r="W87" s="27"/>
      <c r="X87" s="27"/>
      <c r="Y87" s="228" t="n">
        <f aca="false">SUM(U77:U86)</f>
        <v>682.06</v>
      </c>
      <c r="Z87" s="227" t="e">
        <f aca="false">Y87/V163</f>
        <v>#DIV/0!</v>
      </c>
      <c r="AA87" s="49"/>
      <c r="AMJ87" s="0"/>
    </row>
    <row r="88" s="9" customFormat="true" ht="14.1" hidden="false" customHeight="true" outlineLevel="0" collapsed="false">
      <c r="A88" s="164"/>
      <c r="B88" s="165"/>
      <c r="C88" s="166"/>
      <c r="D88" s="167"/>
      <c r="E88" s="168"/>
      <c r="F88" s="169"/>
      <c r="G88" s="170"/>
      <c r="H88" s="171"/>
      <c r="I88" s="172"/>
      <c r="J88" s="172"/>
      <c r="K88" s="172"/>
      <c r="L88" s="172"/>
      <c r="M88" s="171"/>
      <c r="N88" s="172"/>
      <c r="O88" s="171"/>
      <c r="P88" s="173"/>
      <c r="Q88" s="174"/>
      <c r="R88" s="171"/>
      <c r="S88" s="174"/>
      <c r="T88" s="175"/>
      <c r="U88" s="176"/>
      <c r="V88" s="177"/>
      <c r="W88" s="178"/>
      <c r="X88" s="105"/>
      <c r="Y88" s="179"/>
      <c r="Z88" s="180"/>
      <c r="AMJ88" s="0"/>
    </row>
    <row r="89" s="9" customFormat="true" ht="14.1" hidden="false" customHeight="true" outlineLevel="0" collapsed="false">
      <c r="A89" s="164"/>
      <c r="B89" s="165"/>
      <c r="C89" s="166"/>
      <c r="D89" s="167"/>
      <c r="E89" s="168"/>
      <c r="F89" s="169"/>
      <c r="G89" s="170"/>
      <c r="H89" s="171"/>
      <c r="I89" s="172"/>
      <c r="J89" s="172"/>
      <c r="K89" s="172"/>
      <c r="L89" s="172"/>
      <c r="M89" s="171"/>
      <c r="N89" s="172"/>
      <c r="O89" s="171"/>
      <c r="P89" s="173"/>
      <c r="Q89" s="174"/>
      <c r="R89" s="171"/>
      <c r="S89" s="174"/>
      <c r="T89" s="175"/>
      <c r="U89" s="176"/>
      <c r="V89" s="177"/>
      <c r="W89" s="178"/>
      <c r="X89" s="105"/>
      <c r="Y89" s="179"/>
      <c r="Z89" s="180"/>
      <c r="AMJ89" s="0"/>
    </row>
    <row r="90" s="9" customFormat="true" ht="14.1" hidden="false" customHeight="true" outlineLevel="0" collapsed="false">
      <c r="A90" s="164"/>
      <c r="B90" s="165"/>
      <c r="C90" s="166"/>
      <c r="D90" s="167"/>
      <c r="E90" s="168"/>
      <c r="F90" s="169"/>
      <c r="G90" s="170"/>
      <c r="H90" s="171"/>
      <c r="I90" s="172"/>
      <c r="J90" s="172"/>
      <c r="K90" s="172"/>
      <c r="L90" s="172"/>
      <c r="M90" s="171"/>
      <c r="N90" s="172"/>
      <c r="O90" s="171"/>
      <c r="P90" s="173"/>
      <c r="Q90" s="174"/>
      <c r="R90" s="171"/>
      <c r="S90" s="174"/>
      <c r="T90" s="175"/>
      <c r="U90" s="176"/>
      <c r="V90" s="177"/>
      <c r="W90" s="178"/>
      <c r="X90" s="105"/>
      <c r="Y90" s="179"/>
      <c r="Z90" s="180"/>
      <c r="AMJ90" s="0"/>
    </row>
    <row r="91" s="9" customFormat="true" ht="14.1" hidden="false" customHeight="true" outlineLevel="0" collapsed="false">
      <c r="A91" s="164"/>
      <c r="B91" s="165"/>
      <c r="C91" s="166"/>
      <c r="D91" s="167"/>
      <c r="E91" s="168"/>
      <c r="F91" s="169"/>
      <c r="G91" s="170"/>
      <c r="H91" s="171"/>
      <c r="I91" s="172"/>
      <c r="J91" s="172"/>
      <c r="K91" s="172"/>
      <c r="L91" s="172"/>
      <c r="M91" s="171"/>
      <c r="N91" s="172"/>
      <c r="O91" s="171"/>
      <c r="P91" s="173"/>
      <c r="Q91" s="174"/>
      <c r="R91" s="171"/>
      <c r="S91" s="174"/>
      <c r="T91" s="175"/>
      <c r="U91" s="176"/>
      <c r="V91" s="177"/>
      <c r="W91" s="178"/>
      <c r="X91" s="105"/>
      <c r="Y91" s="179"/>
      <c r="Z91" s="180"/>
      <c r="AMJ91" s="0"/>
    </row>
    <row r="92" s="9" customFormat="true" ht="14.1" hidden="false" customHeight="true" outlineLevel="0" collapsed="false">
      <c r="A92" s="164"/>
      <c r="B92" s="165"/>
      <c r="C92" s="166"/>
      <c r="D92" s="167"/>
      <c r="E92" s="168"/>
      <c r="F92" s="169"/>
      <c r="G92" s="170"/>
      <c r="H92" s="171"/>
      <c r="I92" s="172"/>
      <c r="J92" s="172"/>
      <c r="K92" s="172"/>
      <c r="L92" s="172"/>
      <c r="M92" s="171"/>
      <c r="N92" s="172"/>
      <c r="O92" s="171"/>
      <c r="P92" s="173"/>
      <c r="Q92" s="174"/>
      <c r="R92" s="171"/>
      <c r="S92" s="174"/>
      <c r="T92" s="175"/>
      <c r="U92" s="176"/>
      <c r="V92" s="177"/>
      <c r="W92" s="178"/>
      <c r="X92" s="105"/>
      <c r="Y92" s="179"/>
      <c r="Z92" s="180"/>
      <c r="AMJ92" s="0"/>
    </row>
    <row r="93" s="9" customFormat="true" ht="14.1" hidden="false" customHeight="true" outlineLevel="0" collapsed="false">
      <c r="A93" s="164"/>
      <c r="B93" s="165"/>
      <c r="C93" s="166"/>
      <c r="D93" s="167"/>
      <c r="E93" s="168"/>
      <c r="F93" s="169"/>
      <c r="G93" s="170"/>
      <c r="H93" s="171"/>
      <c r="I93" s="172"/>
      <c r="J93" s="172"/>
      <c r="K93" s="172"/>
      <c r="L93" s="172"/>
      <c r="M93" s="171"/>
      <c r="N93" s="172"/>
      <c r="O93" s="171"/>
      <c r="P93" s="173"/>
      <c r="Q93" s="174"/>
      <c r="R93" s="171"/>
      <c r="S93" s="174"/>
      <c r="T93" s="175"/>
      <c r="U93" s="176"/>
      <c r="V93" s="177"/>
      <c r="W93" s="178"/>
      <c r="X93" s="105"/>
      <c r="Y93" s="179"/>
      <c r="Z93" s="180"/>
      <c r="AMJ93" s="0"/>
    </row>
    <row r="94" s="9" customFormat="true" ht="14.1" hidden="false" customHeight="true" outlineLevel="0" collapsed="false">
      <c r="A94" s="164"/>
      <c r="B94" s="165"/>
      <c r="C94" s="166"/>
      <c r="D94" s="167"/>
      <c r="E94" s="168"/>
      <c r="F94" s="169"/>
      <c r="G94" s="170"/>
      <c r="H94" s="171"/>
      <c r="I94" s="172"/>
      <c r="J94" s="172"/>
      <c r="K94" s="172"/>
      <c r="L94" s="172"/>
      <c r="M94" s="171"/>
      <c r="N94" s="172"/>
      <c r="O94" s="171"/>
      <c r="P94" s="173"/>
      <c r="Q94" s="174"/>
      <c r="R94" s="171"/>
      <c r="S94" s="174"/>
      <c r="T94" s="175"/>
      <c r="U94" s="176"/>
      <c r="V94" s="177"/>
      <c r="W94" s="178"/>
      <c r="X94" s="105"/>
      <c r="Y94" s="179"/>
      <c r="Z94" s="180"/>
      <c r="AMJ94" s="0"/>
    </row>
    <row r="95" s="9" customFormat="true" ht="14.1" hidden="false" customHeight="true" outlineLevel="0" collapsed="false">
      <c r="A95" s="164"/>
      <c r="B95" s="165"/>
      <c r="C95" s="166"/>
      <c r="D95" s="167"/>
      <c r="E95" s="168"/>
      <c r="F95" s="169"/>
      <c r="G95" s="170"/>
      <c r="H95" s="171"/>
      <c r="I95" s="172"/>
      <c r="J95" s="172"/>
      <c r="K95" s="172"/>
      <c r="L95" s="172"/>
      <c r="M95" s="171"/>
      <c r="N95" s="172"/>
      <c r="O95" s="171"/>
      <c r="P95" s="173"/>
      <c r="Q95" s="174"/>
      <c r="R95" s="171"/>
      <c r="S95" s="174"/>
      <c r="T95" s="175"/>
      <c r="U95" s="176"/>
      <c r="V95" s="177"/>
      <c r="W95" s="178"/>
      <c r="X95" s="105"/>
      <c r="Y95" s="179"/>
      <c r="Z95" s="180"/>
      <c r="AMJ95" s="0"/>
    </row>
    <row r="96" s="9" customFormat="true" ht="14.1" hidden="false" customHeight="true" outlineLevel="0" collapsed="false">
      <c r="A96" s="164"/>
      <c r="B96" s="165"/>
      <c r="C96" s="166"/>
      <c r="D96" s="167"/>
      <c r="E96" s="168"/>
      <c r="F96" s="169"/>
      <c r="G96" s="170"/>
      <c r="H96" s="171"/>
      <c r="I96" s="172"/>
      <c r="J96" s="172"/>
      <c r="K96" s="172"/>
      <c r="L96" s="172"/>
      <c r="M96" s="171"/>
      <c r="N96" s="172"/>
      <c r="O96" s="171"/>
      <c r="P96" s="173"/>
      <c r="Q96" s="174"/>
      <c r="R96" s="171"/>
      <c r="S96" s="174"/>
      <c r="T96" s="175"/>
      <c r="U96" s="176"/>
      <c r="V96" s="177"/>
      <c r="W96" s="178"/>
      <c r="X96" s="105"/>
      <c r="Y96" s="179"/>
      <c r="Z96" s="180"/>
      <c r="AMJ96" s="0"/>
    </row>
    <row r="97" s="9" customFormat="true" ht="14.1" hidden="false" customHeight="true" outlineLevel="0" collapsed="false">
      <c r="A97" s="164"/>
      <c r="B97" s="165"/>
      <c r="C97" s="166"/>
      <c r="D97" s="167"/>
      <c r="E97" s="168"/>
      <c r="F97" s="169"/>
      <c r="G97" s="170"/>
      <c r="H97" s="171"/>
      <c r="I97" s="172"/>
      <c r="J97" s="172"/>
      <c r="K97" s="172"/>
      <c r="L97" s="172"/>
      <c r="M97" s="171"/>
      <c r="N97" s="172"/>
      <c r="O97" s="171"/>
      <c r="P97" s="173"/>
      <c r="Q97" s="174"/>
      <c r="R97" s="171"/>
      <c r="S97" s="174"/>
      <c r="T97" s="175"/>
      <c r="U97" s="176"/>
      <c r="V97" s="177"/>
      <c r="W97" s="178"/>
      <c r="X97" s="105"/>
      <c r="Y97" s="179"/>
      <c r="Z97" s="180"/>
      <c r="AMJ97" s="0"/>
    </row>
    <row r="98" s="9" customFormat="true" ht="14.1" hidden="false" customHeight="true" outlineLevel="0" collapsed="false">
      <c r="A98" s="214"/>
      <c r="B98" s="215"/>
      <c r="C98" s="216"/>
      <c r="D98" s="216"/>
      <c r="E98" s="217"/>
      <c r="F98" s="218"/>
      <c r="G98" s="219"/>
      <c r="H98" s="220"/>
      <c r="I98" s="220"/>
      <c r="J98" s="221"/>
      <c r="K98" s="221"/>
      <c r="L98" s="221"/>
      <c r="M98" s="220"/>
      <c r="N98" s="220"/>
      <c r="O98" s="220"/>
      <c r="P98" s="121"/>
      <c r="Q98" s="222"/>
      <c r="R98" s="220"/>
      <c r="S98" s="222"/>
      <c r="T98" s="223"/>
      <c r="U98" s="224"/>
      <c r="V98" s="225"/>
      <c r="W98" s="27"/>
      <c r="X98" s="27"/>
      <c r="Y98" s="229" t="n">
        <f aca="false">SUM(U88:U97)</f>
        <v>0</v>
      </c>
      <c r="Z98" s="227" t="e">
        <f aca="false">Y98/V156</f>
        <v>#DIV/0!</v>
      </c>
      <c r="AA98" s="49"/>
      <c r="AMJ98" s="0"/>
    </row>
    <row r="99" s="9" customFormat="true" ht="14.1" hidden="false" customHeight="true" outlineLevel="0" collapsed="false">
      <c r="A99" s="95"/>
      <c r="B99" s="2"/>
      <c r="C99" s="3"/>
      <c r="D99" s="96"/>
      <c r="E99" s="97"/>
      <c r="F99" s="98"/>
      <c r="G99" s="5"/>
      <c r="H99" s="99"/>
      <c r="I99" s="100"/>
      <c r="J99" s="101"/>
      <c r="K99" s="101"/>
      <c r="L99" s="101"/>
      <c r="M99" s="101"/>
      <c r="N99" s="100"/>
      <c r="O99" s="101"/>
      <c r="P99" s="100"/>
      <c r="Q99" s="6"/>
      <c r="R99" s="102"/>
      <c r="S99" s="100"/>
      <c r="T99" s="102"/>
      <c r="U99" s="103"/>
      <c r="V99" s="90"/>
      <c r="W99" s="104"/>
      <c r="Y99" s="105"/>
      <c r="Z99" s="106"/>
      <c r="AA99" s="49"/>
    </row>
    <row r="100" s="9" customFormat="true" ht="14.1" hidden="false" customHeight="true" outlineLevel="0" collapsed="false">
      <c r="A100" s="95"/>
      <c r="B100" s="2"/>
      <c r="C100" s="3"/>
      <c r="D100" s="96"/>
      <c r="E100" s="97"/>
      <c r="F100" s="98"/>
      <c r="G100" s="5"/>
      <c r="H100" s="99"/>
      <c r="I100" s="100"/>
      <c r="J100" s="101"/>
      <c r="K100" s="101"/>
      <c r="L100" s="101"/>
      <c r="M100" s="101"/>
      <c r="N100" s="100"/>
      <c r="O100" s="101"/>
      <c r="P100" s="100"/>
      <c r="Q100" s="6"/>
      <c r="R100" s="102"/>
      <c r="S100" s="100"/>
      <c r="T100" s="102"/>
      <c r="U100" s="103"/>
      <c r="V100" s="90"/>
      <c r="W100" s="104"/>
      <c r="Y100" s="105"/>
      <c r="Z100" s="106"/>
      <c r="AA100" s="49"/>
    </row>
    <row r="101" s="9" customFormat="true" ht="14.1" hidden="false" customHeight="true" outlineLevel="0" collapsed="false">
      <c r="A101" s="95"/>
      <c r="B101" s="2"/>
      <c r="C101" s="3"/>
      <c r="D101" s="96"/>
      <c r="E101" s="97"/>
      <c r="F101" s="98"/>
      <c r="G101" s="5"/>
      <c r="H101" s="99"/>
      <c r="I101" s="100"/>
      <c r="J101" s="101"/>
      <c r="K101" s="101"/>
      <c r="L101" s="101"/>
      <c r="M101" s="101"/>
      <c r="N101" s="100"/>
      <c r="O101" s="101"/>
      <c r="P101" s="100"/>
      <c r="Q101" s="6"/>
      <c r="R101" s="102"/>
      <c r="S101" s="100"/>
      <c r="T101" s="102"/>
      <c r="U101" s="103"/>
      <c r="V101" s="90"/>
      <c r="W101" s="104"/>
      <c r="Y101" s="105"/>
      <c r="Z101" s="106"/>
      <c r="AA101" s="49"/>
    </row>
    <row r="102" s="9" customFormat="true" ht="14.1" hidden="false" customHeight="true" outlineLevel="0" collapsed="false">
      <c r="A102" s="95"/>
      <c r="B102" s="2"/>
      <c r="C102" s="3"/>
      <c r="D102" s="96"/>
      <c r="E102" s="97"/>
      <c r="F102" s="98"/>
      <c r="G102" s="5"/>
      <c r="H102" s="99"/>
      <c r="I102" s="100"/>
      <c r="J102" s="101"/>
      <c r="K102" s="101"/>
      <c r="L102" s="101"/>
      <c r="M102" s="101"/>
      <c r="N102" s="100"/>
      <c r="O102" s="101"/>
      <c r="P102" s="100"/>
      <c r="Q102" s="6"/>
      <c r="R102" s="102"/>
      <c r="S102" s="100"/>
      <c r="T102" s="102"/>
      <c r="U102" s="103"/>
      <c r="V102" s="90"/>
      <c r="W102" s="104"/>
      <c r="Y102" s="105"/>
      <c r="Z102" s="106"/>
      <c r="AA102" s="49"/>
    </row>
    <row r="103" s="9" customFormat="true" ht="14.1" hidden="false" customHeight="true" outlineLevel="0" collapsed="false">
      <c r="A103" s="95"/>
      <c r="B103" s="2"/>
      <c r="C103" s="3"/>
      <c r="D103" s="96"/>
      <c r="E103" s="97"/>
      <c r="F103" s="98"/>
      <c r="G103" s="5"/>
      <c r="H103" s="99"/>
      <c r="I103" s="100"/>
      <c r="J103" s="101"/>
      <c r="K103" s="101"/>
      <c r="L103" s="101"/>
      <c r="M103" s="101"/>
      <c r="N103" s="100"/>
      <c r="O103" s="101"/>
      <c r="P103" s="100"/>
      <c r="Q103" s="6"/>
      <c r="R103" s="102"/>
      <c r="S103" s="100"/>
      <c r="T103" s="102"/>
      <c r="U103" s="103"/>
      <c r="V103" s="90"/>
      <c r="W103" s="104"/>
      <c r="Y103" s="105"/>
      <c r="Z103" s="106"/>
      <c r="AA103" s="49"/>
    </row>
    <row r="104" s="9" customFormat="true" ht="14.1" hidden="false" customHeight="true" outlineLevel="0" collapsed="false">
      <c r="A104" s="95"/>
      <c r="B104" s="2"/>
      <c r="C104" s="3"/>
      <c r="D104" s="96"/>
      <c r="E104" s="97"/>
      <c r="F104" s="98"/>
      <c r="G104" s="5"/>
      <c r="H104" s="99"/>
      <c r="I104" s="100"/>
      <c r="J104" s="101"/>
      <c r="K104" s="101"/>
      <c r="L104" s="101"/>
      <c r="M104" s="101"/>
      <c r="N104" s="100"/>
      <c r="O104" s="101"/>
      <c r="P104" s="100"/>
      <c r="Q104" s="6"/>
      <c r="R104" s="102"/>
      <c r="S104" s="100"/>
      <c r="T104" s="102"/>
      <c r="U104" s="103"/>
      <c r="V104" s="90"/>
      <c r="W104" s="104"/>
      <c r="Y104" s="105"/>
      <c r="Z104" s="106"/>
      <c r="AA104" s="49"/>
    </row>
    <row r="105" s="9" customFormat="true" ht="14.1" hidden="false" customHeight="true" outlineLevel="0" collapsed="false">
      <c r="A105" s="95"/>
      <c r="B105" s="2"/>
      <c r="C105" s="3"/>
      <c r="D105" s="96"/>
      <c r="E105" s="97"/>
      <c r="F105" s="98"/>
      <c r="G105" s="5"/>
      <c r="H105" s="100"/>
      <c r="I105" s="101"/>
      <c r="J105" s="101"/>
      <c r="K105" s="101"/>
      <c r="L105" s="101"/>
      <c r="M105" s="100"/>
      <c r="N105" s="101"/>
      <c r="O105" s="100"/>
      <c r="P105" s="6"/>
      <c r="Q105" s="102"/>
      <c r="R105" s="100"/>
      <c r="S105" s="102"/>
      <c r="T105" s="103"/>
      <c r="U105" s="90"/>
      <c r="V105" s="104"/>
      <c r="X105" s="105"/>
      <c r="Y105" s="179"/>
      <c r="Z105" s="180"/>
    </row>
    <row r="106" s="9" customFormat="true" ht="14.1" hidden="false" customHeight="true" outlineLevel="0" collapsed="false">
      <c r="A106" s="214"/>
      <c r="B106" s="215"/>
      <c r="C106" s="216"/>
      <c r="D106" s="216"/>
      <c r="E106" s="217"/>
      <c r="F106" s="218"/>
      <c r="G106" s="219"/>
      <c r="H106" s="220"/>
      <c r="I106" s="220"/>
      <c r="J106" s="221"/>
      <c r="K106" s="221"/>
      <c r="L106" s="221"/>
      <c r="M106" s="220"/>
      <c r="N106" s="220"/>
      <c r="O106" s="220"/>
      <c r="P106" s="121"/>
      <c r="Q106" s="222"/>
      <c r="R106" s="220"/>
      <c r="S106" s="222"/>
      <c r="T106" s="223"/>
      <c r="U106" s="224"/>
      <c r="V106" s="225"/>
      <c r="W106" s="27"/>
      <c r="X106" s="27"/>
      <c r="Y106" s="230" t="n">
        <f aca="false">SUM(U51:U105)</f>
        <v>8548.7</v>
      </c>
      <c r="Z106" s="227" t="n">
        <f aca="false">Y106/V108</f>
        <v>0.362010935663203</v>
      </c>
      <c r="AA106" s="49"/>
    </row>
    <row r="107" s="9" customFormat="true" ht="19.5" hidden="false" customHeight="true" outlineLevel="0" collapsed="false">
      <c r="A107" s="107"/>
      <c r="B107" s="108" t="s">
        <v>21</v>
      </c>
      <c r="C107" s="109"/>
      <c r="D107" s="110"/>
      <c r="E107" s="111"/>
      <c r="F107" s="109"/>
      <c r="G107" s="112"/>
      <c r="H107" s="113" t="n">
        <f aca="false">SUM(H4:H105)</f>
        <v>0</v>
      </c>
      <c r="I107" s="113" t="n">
        <f aca="false">SUM(I4:I105)</f>
        <v>0</v>
      </c>
      <c r="J107" s="113" t="n">
        <f aca="false">SUM(J4:J105)</f>
        <v>0</v>
      </c>
      <c r="K107" s="114" t="n">
        <f aca="false">SUM(K4:K105)</f>
        <v>0</v>
      </c>
      <c r="L107" s="115" t="n">
        <f aca="false">SUM(L4:L105)</f>
        <v>0</v>
      </c>
      <c r="M107" s="231" t="n">
        <f aca="false">SUM(M4:N105)</f>
        <v>0</v>
      </c>
      <c r="N107" s="232"/>
      <c r="O107" s="117" t="n">
        <f aca="false">SUM(O4:O105)</f>
        <v>475</v>
      </c>
      <c r="P107" s="117" t="n">
        <f aca="false">SUM(P4:P105)</f>
        <v>270</v>
      </c>
      <c r="Q107" s="117" t="n">
        <f aca="false">SUM(Q4:Q105)</f>
        <v>180</v>
      </c>
      <c r="R107" s="118" t="n">
        <f aca="false">SUM(R4:R105)</f>
        <v>18053</v>
      </c>
      <c r="S107" s="118" t="n">
        <f aca="false">SUM(S4:S105)</f>
        <v>3027.5</v>
      </c>
      <c r="T107" s="119" t="n">
        <f aca="false">SUM(T4:T105)</f>
        <v>1608.98</v>
      </c>
      <c r="U107" s="120" t="n">
        <f aca="false">SUM(U4:U105)</f>
        <v>23614.48</v>
      </c>
      <c r="V107" s="121"/>
      <c r="W107" s="233"/>
      <c r="X107" s="233"/>
      <c r="Y107" s="234"/>
    </row>
    <row r="108" s="9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8"/>
      <c r="V108" s="235" t="n">
        <f aca="false">SUM(H107:T107)</f>
        <v>23614.48</v>
      </c>
      <c r="Y108" s="236"/>
      <c r="Z108" s="11"/>
    </row>
    <row r="109" s="9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8"/>
      <c r="V109" s="2"/>
      <c r="Y109" s="236"/>
      <c r="Z109" s="11"/>
    </row>
    <row r="110" s="9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8"/>
      <c r="V110" s="2"/>
      <c r="Y110" s="236"/>
      <c r="Z110" s="11"/>
    </row>
    <row r="111" s="9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8"/>
      <c r="V111" s="2"/>
      <c r="Y111" s="236"/>
      <c r="Z111" s="11"/>
    </row>
    <row r="112" s="9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8"/>
      <c r="V112" s="2"/>
      <c r="Y112" s="236"/>
      <c r="Z112" s="11"/>
    </row>
    <row r="113" s="9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8"/>
      <c r="V113" s="2"/>
      <c r="Y113" s="236"/>
      <c r="Z113" s="11"/>
    </row>
    <row r="114" s="9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8"/>
      <c r="V114" s="2"/>
      <c r="Y114" s="236"/>
      <c r="Z114" s="11"/>
    </row>
    <row r="115" s="9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8"/>
      <c r="V115" s="2"/>
      <c r="Y115" s="236"/>
      <c r="Z115" s="11"/>
    </row>
    <row r="116" s="9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8"/>
      <c r="V116" s="2"/>
      <c r="Y116" s="236"/>
      <c r="Z116" s="11"/>
    </row>
    <row r="117" s="9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8"/>
      <c r="V117" s="2"/>
      <c r="Y117" s="236"/>
      <c r="Z117" s="11"/>
    </row>
    <row r="118" s="9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8"/>
      <c r="V118" s="2"/>
      <c r="Y118" s="236"/>
      <c r="Z118" s="11"/>
    </row>
    <row r="119" s="9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8"/>
      <c r="V119" s="2"/>
      <c r="Y119" s="236"/>
      <c r="Z119" s="11"/>
    </row>
    <row r="120" s="9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8"/>
      <c r="V120" s="2"/>
      <c r="Y120" s="236"/>
      <c r="Z120" s="11"/>
    </row>
    <row r="121" s="9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8"/>
      <c r="V121" s="2"/>
      <c r="Y121" s="236"/>
      <c r="Z121" s="11"/>
    </row>
    <row r="122" s="9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8"/>
      <c r="V122" s="2"/>
      <c r="Y122" s="236"/>
      <c r="Z122" s="11"/>
    </row>
    <row r="123" s="9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8"/>
      <c r="V123" s="2"/>
      <c r="Y123" s="236"/>
      <c r="Z123" s="11"/>
    </row>
    <row r="124" s="9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8"/>
      <c r="V124" s="2"/>
      <c r="Y124" s="236"/>
      <c r="Z124" s="11"/>
    </row>
    <row r="125" s="9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8"/>
      <c r="V125" s="2"/>
      <c r="Y125" s="236"/>
      <c r="Z125" s="11"/>
    </row>
    <row r="126" s="9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8"/>
      <c r="V126" s="2"/>
      <c r="Y126" s="236"/>
      <c r="Z126" s="11"/>
    </row>
    <row r="127" s="9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8"/>
      <c r="V127" s="2"/>
      <c r="Y127" s="236"/>
      <c r="Z127" s="11"/>
    </row>
    <row r="128" s="9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8"/>
      <c r="V128" s="2"/>
      <c r="Y128" s="236"/>
      <c r="Z128" s="11"/>
    </row>
    <row r="129" s="9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8"/>
      <c r="V129" s="2"/>
      <c r="Y129" s="236"/>
      <c r="Z129" s="11"/>
    </row>
    <row r="130" s="9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8"/>
      <c r="V130" s="2"/>
      <c r="Y130" s="236"/>
      <c r="Z130" s="11"/>
    </row>
    <row r="131" s="9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8"/>
      <c r="V131" s="2"/>
      <c r="Y131" s="236"/>
      <c r="Z131" s="11"/>
    </row>
    <row r="132" s="9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8"/>
      <c r="V132" s="2"/>
      <c r="Y132" s="236"/>
      <c r="Z132" s="11"/>
    </row>
    <row r="133" s="9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8"/>
      <c r="V133" s="2"/>
      <c r="Y133" s="236"/>
      <c r="Z133" s="11"/>
    </row>
    <row r="134" s="9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8"/>
      <c r="V134" s="2"/>
      <c r="Y134" s="236"/>
      <c r="Z134" s="11"/>
    </row>
    <row r="135" s="9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8"/>
      <c r="V135" s="2"/>
      <c r="Y135" s="236"/>
      <c r="Z135" s="11"/>
    </row>
    <row r="136" s="9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8"/>
      <c r="V136" s="2"/>
      <c r="Y136" s="236"/>
      <c r="Z136" s="11"/>
    </row>
    <row r="137" s="9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8"/>
      <c r="V137" s="2"/>
      <c r="Y137" s="236"/>
      <c r="Z137" s="11"/>
    </row>
    <row r="138" s="9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8"/>
      <c r="V138" s="2"/>
      <c r="Y138" s="236"/>
      <c r="Z138" s="11"/>
    </row>
    <row r="139" s="9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8"/>
      <c r="V139" s="2"/>
      <c r="Y139" s="236"/>
      <c r="Z139" s="11"/>
    </row>
    <row r="140" s="9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8"/>
      <c r="V140" s="2"/>
      <c r="Y140" s="236"/>
      <c r="Z140" s="11"/>
    </row>
    <row r="141" s="9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8"/>
      <c r="V141" s="2"/>
      <c r="Y141" s="236"/>
      <c r="Z141" s="11"/>
    </row>
    <row r="142" s="9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8"/>
      <c r="V142" s="2"/>
      <c r="Y142" s="236"/>
      <c r="Z142" s="11"/>
    </row>
    <row r="143" s="9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8"/>
      <c r="V143" s="2"/>
      <c r="Y143" s="236"/>
      <c r="Z143" s="11"/>
    </row>
    <row r="144" s="9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8"/>
      <c r="V144" s="2"/>
      <c r="Y144" s="236"/>
      <c r="Z144" s="11"/>
    </row>
    <row r="145" s="9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8"/>
      <c r="V145" s="2"/>
      <c r="Y145" s="236"/>
      <c r="Z145" s="11"/>
    </row>
    <row r="146" s="9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8"/>
      <c r="V146" s="2"/>
      <c r="Y146" s="236"/>
      <c r="Z146" s="11"/>
    </row>
    <row r="147" s="9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8"/>
      <c r="V147" s="2"/>
      <c r="Y147" s="236"/>
      <c r="Z147" s="11"/>
    </row>
    <row r="148" s="9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8"/>
      <c r="V148" s="2"/>
      <c r="Y148" s="236"/>
      <c r="Z148" s="11"/>
    </row>
    <row r="149" s="9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8"/>
      <c r="V149" s="2"/>
      <c r="Y149" s="236"/>
      <c r="Z149" s="11"/>
    </row>
    <row r="150" s="9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8"/>
      <c r="V150" s="2"/>
      <c r="Y150" s="236"/>
      <c r="Z150" s="11"/>
    </row>
    <row r="151" s="9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8"/>
      <c r="V151" s="2"/>
      <c r="Y151" s="236"/>
      <c r="Z151" s="11"/>
    </row>
    <row r="152" s="9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8"/>
      <c r="V152" s="2"/>
      <c r="Y152" s="236"/>
      <c r="Z152" s="11"/>
    </row>
    <row r="153" s="9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8"/>
      <c r="V153" s="2"/>
      <c r="Y153" s="236"/>
      <c r="Z153" s="11"/>
    </row>
    <row r="154" s="9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8"/>
      <c r="V154" s="2"/>
      <c r="Y154" s="236"/>
      <c r="Z154" s="11"/>
    </row>
    <row r="155" s="9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8"/>
      <c r="V155" s="2"/>
      <c r="Y155" s="236"/>
      <c r="Z155" s="11"/>
    </row>
    <row r="156" s="9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8"/>
      <c r="V156" s="2"/>
      <c r="Y156" s="236"/>
      <c r="Z156" s="11"/>
    </row>
    <row r="157" s="9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8"/>
      <c r="V157" s="2"/>
      <c r="Y157" s="236"/>
      <c r="Z157" s="11"/>
    </row>
    <row r="158" s="9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8"/>
      <c r="V158" s="2"/>
      <c r="Y158" s="236"/>
      <c r="Z158" s="11"/>
    </row>
    <row r="159" s="9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8"/>
      <c r="V159" s="2"/>
      <c r="Y159" s="236"/>
      <c r="Z159" s="11"/>
    </row>
    <row r="160" s="9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8"/>
      <c r="V160" s="2"/>
      <c r="Y160" s="236"/>
      <c r="Z160" s="11"/>
    </row>
    <row r="161" s="9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8"/>
      <c r="V161" s="2"/>
      <c r="Y161" s="236"/>
      <c r="Z161" s="11"/>
    </row>
    <row r="162" s="9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8"/>
      <c r="V162" s="2"/>
      <c r="Y162" s="236"/>
      <c r="Z162" s="11"/>
    </row>
    <row r="163" s="9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8"/>
      <c r="V163" s="2"/>
      <c r="Y163" s="236"/>
      <c r="Z163" s="11"/>
    </row>
    <row r="164" s="9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8"/>
      <c r="V164" s="2"/>
      <c r="Y164" s="236"/>
      <c r="Z164" s="11"/>
    </row>
    <row r="165" s="9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8"/>
      <c r="V165" s="2"/>
      <c r="Y165" s="236"/>
      <c r="Z165" s="11"/>
    </row>
    <row r="166" s="9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8"/>
      <c r="V166" s="2"/>
      <c r="Y166" s="236"/>
      <c r="Z166" s="11"/>
    </row>
    <row r="167" s="9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8"/>
      <c r="V167" s="2"/>
      <c r="Y167" s="236"/>
      <c r="Z167" s="11"/>
    </row>
    <row r="168" s="9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8"/>
      <c r="V168" s="2"/>
      <c r="Y168" s="236"/>
      <c r="Z168" s="11"/>
    </row>
    <row r="169" s="9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8"/>
      <c r="V169" s="2"/>
      <c r="Y169" s="236"/>
      <c r="Z169" s="11"/>
    </row>
    <row r="170" s="9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8"/>
      <c r="V170" s="2"/>
      <c r="Y170" s="236"/>
      <c r="Z170" s="11"/>
    </row>
    <row r="171" s="9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8"/>
      <c r="V171" s="2"/>
      <c r="Y171" s="236"/>
      <c r="Z171" s="11"/>
    </row>
    <row r="172" s="9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8"/>
      <c r="V172" s="2"/>
      <c r="Y172" s="236"/>
      <c r="Z172" s="11"/>
    </row>
    <row r="173" s="9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8"/>
      <c r="V173" s="2"/>
      <c r="Y173" s="236"/>
      <c r="Z173" s="11"/>
    </row>
    <row r="174" s="9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8"/>
      <c r="V174" s="2"/>
      <c r="Y174" s="236"/>
      <c r="Z174" s="11"/>
    </row>
    <row r="175" s="9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8"/>
      <c r="V175" s="2"/>
      <c r="Y175" s="236"/>
      <c r="Z175" s="11"/>
    </row>
    <row r="176" s="9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8"/>
      <c r="V176" s="2"/>
      <c r="Y176" s="236"/>
      <c r="Z176" s="11"/>
    </row>
    <row r="177" s="9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8"/>
      <c r="V177" s="2"/>
      <c r="Y177" s="236"/>
      <c r="Z177" s="11"/>
    </row>
    <row r="178" s="9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8"/>
      <c r="V178" s="2"/>
      <c r="Y178" s="236"/>
      <c r="Z178" s="11"/>
    </row>
    <row r="179" s="9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8"/>
      <c r="V179" s="2"/>
      <c r="Y179" s="236"/>
      <c r="Z179" s="11"/>
    </row>
    <row r="180" s="9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8"/>
      <c r="V180" s="2"/>
      <c r="Y180" s="236"/>
      <c r="Z180" s="11"/>
    </row>
    <row r="181" s="9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8"/>
      <c r="V181" s="2"/>
      <c r="Y181" s="236"/>
      <c r="Z181" s="11"/>
    </row>
    <row r="182" s="9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8"/>
      <c r="V182" s="2"/>
      <c r="Y182" s="236"/>
      <c r="Z182" s="11"/>
    </row>
    <row r="183" s="9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8"/>
      <c r="V183" s="2"/>
      <c r="Y183" s="236"/>
      <c r="Z183" s="11"/>
    </row>
    <row r="184" s="9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8"/>
      <c r="V184" s="2"/>
      <c r="Y184" s="236"/>
      <c r="Z184" s="11"/>
    </row>
    <row r="185" s="9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8"/>
      <c r="V185" s="2"/>
      <c r="Y185" s="236"/>
      <c r="Z185" s="11"/>
    </row>
    <row r="186" s="9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8"/>
      <c r="V186" s="2"/>
      <c r="Y186" s="236"/>
      <c r="Z186" s="11"/>
    </row>
    <row r="187" s="9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8"/>
      <c r="V187" s="2"/>
      <c r="Y187" s="236"/>
      <c r="Z187" s="11"/>
    </row>
    <row r="188" s="9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8"/>
      <c r="V188" s="2"/>
      <c r="Y188" s="236"/>
      <c r="Z188" s="11"/>
    </row>
    <row r="189" s="9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8"/>
      <c r="V189" s="2"/>
      <c r="Y189" s="236"/>
      <c r="Z189" s="11"/>
    </row>
    <row r="190" s="9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8"/>
      <c r="V190" s="2"/>
      <c r="Y190" s="236"/>
      <c r="Z190" s="11"/>
    </row>
    <row r="191" s="9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8"/>
      <c r="V191" s="2"/>
      <c r="Y191" s="236"/>
      <c r="Z191" s="11"/>
    </row>
    <row r="192" s="9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8"/>
      <c r="V192" s="2"/>
      <c r="Y192" s="236"/>
      <c r="Z192" s="11"/>
    </row>
    <row r="193" s="9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8"/>
      <c r="V193" s="2"/>
      <c r="Y193" s="236"/>
      <c r="Z193" s="11"/>
    </row>
    <row r="194" s="9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8"/>
      <c r="V194" s="2"/>
      <c r="Y194" s="236"/>
      <c r="Z194" s="11"/>
    </row>
    <row r="195" s="9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8"/>
      <c r="V195" s="2"/>
      <c r="Y195" s="236"/>
      <c r="Z195" s="11"/>
    </row>
    <row r="196" s="9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8"/>
      <c r="V196" s="2"/>
      <c r="Y196" s="236"/>
      <c r="Z196" s="11"/>
    </row>
    <row r="197" s="9" customFormat="true" ht="14.1" hidden="false" customHeight="true" outlineLevel="0" collapsed="false">
      <c r="A197" s="2"/>
      <c r="B197" s="2"/>
      <c r="C197" s="237"/>
      <c r="D197" s="3"/>
      <c r="E197" s="4"/>
      <c r="F197" s="3"/>
      <c r="G197" s="5"/>
      <c r="H197" s="6"/>
      <c r="I197" s="6"/>
      <c r="J197" s="6"/>
      <c r="K197" s="238"/>
      <c r="L197" s="6"/>
      <c r="M197" s="6"/>
      <c r="N197" s="6"/>
      <c r="O197" s="6"/>
      <c r="P197" s="6"/>
      <c r="Q197" s="6"/>
      <c r="R197" s="6"/>
      <c r="S197" s="7"/>
      <c r="T197" s="7"/>
      <c r="V197" s="239"/>
      <c r="W197" s="240"/>
      <c r="X197" s="240"/>
      <c r="Y197" s="241"/>
      <c r="Z197" s="2"/>
    </row>
    <row r="198" s="244" customFormat="true" ht="26.25" hidden="false" customHeight="true" outlineLevel="0" collapsed="false">
      <c r="A198" s="242"/>
      <c r="B198" s="243"/>
      <c r="C198" s="243"/>
      <c r="D198" s="9"/>
      <c r="E198" s="9"/>
      <c r="F198" s="236"/>
      <c r="G198" s="9"/>
      <c r="H198" s="238"/>
      <c r="I198" s="238"/>
      <c r="J198" s="238"/>
      <c r="K198" s="6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132"/>
      <c r="W198" s="10"/>
      <c r="X198" s="10"/>
      <c r="Y198" s="3"/>
      <c r="Z198" s="2"/>
    </row>
    <row r="199" customFormat="false" ht="15" hidden="false" customHeight="true" outlineLevel="0" collapsed="false">
      <c r="V199" s="245"/>
      <c r="W199" s="2"/>
      <c r="X199" s="2"/>
    </row>
    <row r="207" s="2" customFormat="true" ht="9.75" hidden="false" customHeight="true" outlineLevel="0" collapsed="false">
      <c r="F207" s="3"/>
    </row>
    <row r="208" s="2" customFormat="true" ht="10.5" hidden="false" customHeight="true" outlineLevel="0" collapsed="false">
      <c r="F208" s="129"/>
    </row>
    <row r="209" s="2" customFormat="true" ht="9.75" hidden="false" customHeight="true" outlineLevel="0" collapsed="false">
      <c r="F209" s="3"/>
    </row>
    <row r="222" s="2" customFormat="true" ht="9.75" hidden="false" customHeight="true" outlineLevel="0" collapsed="false">
      <c r="J222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2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102" activeCellId="1" sqref="60:60 A102"/>
    </sheetView>
  </sheetViews>
  <sheetFormatPr defaultColWidth="6.88671875" defaultRowHeight="12.8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28" width="9.13"/>
    <col collapsed="false" customWidth="true" hidden="false" outlineLevel="0" max="5" min="5" style="4" width="5.01"/>
    <col collapsed="false" customWidth="true" hidden="false" outlineLevel="0" max="6" min="6" style="129" width="10.29"/>
    <col collapsed="false" customWidth="true" hidden="false" outlineLevel="0" max="7" min="7" style="130" width="5.57"/>
    <col collapsed="false" customWidth="true" hidden="false" outlineLevel="0" max="8" min="8" style="6" width="9.29"/>
    <col collapsed="false" customWidth="true" hidden="false" outlineLevel="0" max="9" min="9" style="6" width="5.14"/>
    <col collapsed="false" customWidth="true" hidden="false" outlineLevel="0" max="10" min="10" style="6" width="5.57"/>
    <col collapsed="false" customWidth="true" hidden="false" outlineLevel="0" max="11" min="11" style="6" width="7"/>
    <col collapsed="false" customWidth="true" hidden="false" outlineLevel="0" max="12" min="12" style="6" width="7.15"/>
    <col collapsed="false" customWidth="true" hidden="false" outlineLevel="0" max="13" min="13" style="6" width="6.15"/>
    <col collapsed="false" customWidth="true" hidden="false" outlineLevel="0" max="14" min="14" style="6" width="5.43"/>
    <col collapsed="false" customWidth="true" hidden="false" outlineLevel="0" max="15" min="15" style="6" width="6.28"/>
    <col collapsed="false" customWidth="true" hidden="false" outlineLevel="0" max="16" min="16" style="6" width="6.71"/>
    <col collapsed="false" customWidth="true" hidden="false" outlineLevel="0" max="17" min="17" style="7" width="5.7"/>
    <col collapsed="false" customWidth="true" hidden="false" outlineLevel="0" max="18" min="18" style="2" width="7"/>
    <col collapsed="false" customWidth="true" hidden="false" outlineLevel="0" max="19" min="19" style="9" width="7"/>
    <col collapsed="false" customWidth="true" hidden="false" outlineLevel="0" max="20" min="20" style="131" width="6.28"/>
    <col collapsed="false" customWidth="true" hidden="false" outlineLevel="0" max="21" min="21" style="132" width="9.13"/>
    <col collapsed="false" customWidth="true" hidden="false" outlineLevel="0" max="22" min="22" style="10" width="9"/>
    <col collapsed="false" customWidth="true" hidden="false" outlineLevel="0" max="23" min="23" style="9" width="6.71"/>
    <col collapsed="false" customWidth="true" hidden="false" outlineLevel="0" max="24" min="24" style="9" width="3.57"/>
    <col collapsed="false" customWidth="true" hidden="false" outlineLevel="0" max="25" min="25" style="3" width="8.86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33"/>
      <c r="B1" s="134" t="n">
        <v>45382</v>
      </c>
      <c r="C1" s="135"/>
      <c r="D1" s="136"/>
      <c r="E1" s="137" t="s">
        <v>26</v>
      </c>
      <c r="F1" s="138"/>
      <c r="G1" s="138"/>
      <c r="H1" s="139" t="s">
        <v>27</v>
      </c>
      <c r="I1" s="140"/>
      <c r="K1" s="141" t="s">
        <v>28</v>
      </c>
      <c r="L1" s="141"/>
      <c r="M1" s="142"/>
      <c r="N1" s="141"/>
      <c r="O1" s="143" t="s">
        <v>29</v>
      </c>
      <c r="P1" s="144"/>
      <c r="Q1" s="145"/>
      <c r="R1" s="146"/>
      <c r="S1" s="147"/>
      <c r="T1" s="148"/>
      <c r="U1" s="149"/>
      <c r="V1" s="150"/>
      <c r="W1" s="10"/>
      <c r="X1" s="10"/>
    </row>
    <row r="2" s="9" customFormat="true" ht="12.75" hidden="false" customHeight="true" outlineLevel="0" collapsed="false">
      <c r="A2" s="27" t="s">
        <v>30</v>
      </c>
      <c r="B2" s="151" t="s">
        <v>1</v>
      </c>
      <c r="C2" s="151"/>
      <c r="D2" s="152" t="s">
        <v>3</v>
      </c>
      <c r="E2" s="153" t="s">
        <v>31</v>
      </c>
      <c r="F2" s="154" t="s">
        <v>5</v>
      </c>
      <c r="G2" s="155" t="s">
        <v>32</v>
      </c>
      <c r="H2" s="156" t="s">
        <v>33</v>
      </c>
      <c r="I2" s="156" t="s">
        <v>34</v>
      </c>
      <c r="J2" s="156" t="s">
        <v>35</v>
      </c>
      <c r="K2" s="156" t="s">
        <v>36</v>
      </c>
      <c r="L2" s="122" t="s">
        <v>12</v>
      </c>
      <c r="M2" s="157" t="s">
        <v>37</v>
      </c>
      <c r="N2" s="122" t="s">
        <v>38</v>
      </c>
      <c r="O2" s="156" t="s">
        <v>39</v>
      </c>
      <c r="P2" s="156" t="s">
        <v>40</v>
      </c>
      <c r="Q2" s="122" t="s">
        <v>41</v>
      </c>
      <c r="R2" s="156" t="s">
        <v>42</v>
      </c>
      <c r="S2" s="156" t="s">
        <v>19</v>
      </c>
      <c r="T2" s="158" t="s">
        <v>20</v>
      </c>
      <c r="U2" s="151" t="s">
        <v>21</v>
      </c>
      <c r="V2" s="132"/>
      <c r="W2" s="159"/>
      <c r="X2" s="159"/>
      <c r="Y2" s="160"/>
      <c r="Z2" s="2"/>
    </row>
    <row r="3" customFormat="false" ht="4.5" hidden="false" customHeight="true" outlineLevel="0" collapsed="false">
      <c r="D3" s="2"/>
      <c r="F3" s="3"/>
      <c r="G3" s="5"/>
      <c r="I3" s="88"/>
      <c r="M3" s="102"/>
      <c r="Q3" s="6"/>
      <c r="R3" s="6"/>
      <c r="S3" s="6"/>
      <c r="T3" s="7"/>
      <c r="U3" s="8"/>
      <c r="V3" s="104"/>
      <c r="W3" s="161"/>
      <c r="X3" s="161"/>
      <c r="Y3" s="162"/>
      <c r="Z3" s="163"/>
    </row>
    <row r="4" s="9" customFormat="true" ht="14.1" hidden="false" customHeight="true" outlineLevel="0" collapsed="false">
      <c r="A4" s="95" t="s">
        <v>43</v>
      </c>
      <c r="B4" s="2" t="s">
        <v>152</v>
      </c>
      <c r="C4" s="3"/>
      <c r="D4" s="96" t="n">
        <v>3154051</v>
      </c>
      <c r="E4" s="97" t="n">
        <v>45366</v>
      </c>
      <c r="F4" s="98" t="s">
        <v>153</v>
      </c>
      <c r="G4" s="5" t="n">
        <v>45366</v>
      </c>
      <c r="H4" s="100"/>
      <c r="I4" s="101" t="n">
        <v>249</v>
      </c>
      <c r="J4" s="101"/>
      <c r="K4" s="101"/>
      <c r="L4" s="101"/>
      <c r="M4" s="100"/>
      <c r="N4" s="101"/>
      <c r="O4" s="100"/>
      <c r="P4" s="6"/>
      <c r="Q4" s="102"/>
      <c r="R4" s="100"/>
      <c r="S4" s="102"/>
      <c r="T4" s="103" t="n">
        <v>20.7</v>
      </c>
      <c r="U4" s="90" t="n">
        <f aca="false">SUM(H4:T4)</f>
        <v>269.7</v>
      </c>
      <c r="V4" s="104" t="s">
        <v>154</v>
      </c>
      <c r="W4" s="9" t="s">
        <v>155</v>
      </c>
      <c r="X4" s="105" t="s">
        <v>48</v>
      </c>
      <c r="Y4" s="179"/>
      <c r="Z4" s="180"/>
    </row>
    <row r="5" s="9" customFormat="true" ht="14.1" hidden="false" customHeight="true" outlineLevel="0" collapsed="false">
      <c r="A5" s="181" t="s">
        <v>43</v>
      </c>
      <c r="B5" s="182" t="s">
        <v>49</v>
      </c>
      <c r="C5" s="183"/>
      <c r="D5" s="184" t="n">
        <v>11133106</v>
      </c>
      <c r="E5" s="185" t="n">
        <v>45243</v>
      </c>
      <c r="F5" s="186" t="s">
        <v>45</v>
      </c>
      <c r="G5" s="187" t="n">
        <v>45243</v>
      </c>
      <c r="H5" s="188"/>
      <c r="I5" s="189"/>
      <c r="J5" s="189"/>
      <c r="K5" s="189"/>
      <c r="L5" s="189"/>
      <c r="M5" s="188"/>
      <c r="N5" s="189"/>
      <c r="O5" s="188"/>
      <c r="P5" s="190"/>
      <c r="Q5" s="191"/>
      <c r="R5" s="188" t="n">
        <v>165</v>
      </c>
      <c r="S5" s="191" t="n">
        <v>37.5</v>
      </c>
      <c r="T5" s="192" t="n">
        <v>16.91</v>
      </c>
      <c r="U5" s="193" t="n">
        <f aca="false">SUM(H5:T5)</f>
        <v>219.41</v>
      </c>
      <c r="V5" s="194" t="s">
        <v>46</v>
      </c>
      <c r="W5" s="195" t="s">
        <v>43</v>
      </c>
      <c r="X5" s="105" t="s">
        <v>48</v>
      </c>
      <c r="Y5" s="196"/>
      <c r="Z5" s="49"/>
    </row>
    <row r="6" s="9" customFormat="true" ht="14.1" hidden="false" customHeight="true" outlineLevel="0" collapsed="false">
      <c r="A6" s="198" t="s">
        <v>150</v>
      </c>
      <c r="B6" s="199" t="s">
        <v>49</v>
      </c>
      <c r="C6" s="200"/>
      <c r="D6" s="201" t="n">
        <v>1184071</v>
      </c>
      <c r="E6" s="202" t="n">
        <v>45309</v>
      </c>
      <c r="F6" s="203" t="s">
        <v>151</v>
      </c>
      <c r="G6" s="204" t="n">
        <v>45309</v>
      </c>
      <c r="H6" s="205"/>
      <c r="I6" s="206"/>
      <c r="J6" s="206"/>
      <c r="K6" s="206"/>
      <c r="L6" s="206"/>
      <c r="M6" s="205"/>
      <c r="N6" s="206"/>
      <c r="O6" s="205" t="n">
        <v>380</v>
      </c>
      <c r="P6" s="207" t="n">
        <v>90</v>
      </c>
      <c r="Q6" s="208" t="n">
        <v>90</v>
      </c>
      <c r="R6" s="205"/>
      <c r="S6" s="208"/>
      <c r="T6" s="209" t="n">
        <v>38.95</v>
      </c>
      <c r="U6" s="210" t="n">
        <f aca="false">SUM(H6:T6)</f>
        <v>598.95</v>
      </c>
      <c r="V6" s="211" t="s">
        <v>58</v>
      </c>
      <c r="W6" s="212" t="s">
        <v>150</v>
      </c>
      <c r="X6" s="105" t="s">
        <v>48</v>
      </c>
      <c r="Y6" s="196"/>
      <c r="Z6" s="49"/>
    </row>
    <row r="7" s="9" customFormat="true" ht="14.1" hidden="false" customHeight="true" outlineLevel="0" collapsed="false">
      <c r="A7" s="164" t="s">
        <v>43</v>
      </c>
      <c r="B7" s="165" t="s">
        <v>49</v>
      </c>
      <c r="C7" s="166"/>
      <c r="D7" s="167" t="n">
        <v>2164101</v>
      </c>
      <c r="E7" s="168" t="n">
        <v>45338</v>
      </c>
      <c r="F7" s="169" t="s">
        <v>45</v>
      </c>
      <c r="G7" s="170" t="n">
        <v>45338</v>
      </c>
      <c r="H7" s="171"/>
      <c r="I7" s="172"/>
      <c r="J7" s="172"/>
      <c r="K7" s="172"/>
      <c r="L7" s="172"/>
      <c r="M7" s="171"/>
      <c r="N7" s="172"/>
      <c r="O7" s="171"/>
      <c r="P7" s="173"/>
      <c r="Q7" s="174"/>
      <c r="R7" s="171" t="n">
        <v>165</v>
      </c>
      <c r="S7" s="174" t="n">
        <v>37.5</v>
      </c>
      <c r="T7" s="175" t="n">
        <v>16.91</v>
      </c>
      <c r="U7" s="176" t="n">
        <f aca="false">SUM(H7:T7)</f>
        <v>219.41</v>
      </c>
      <c r="V7" s="177" t="s">
        <v>46</v>
      </c>
      <c r="W7" s="178" t="s">
        <v>43</v>
      </c>
      <c r="X7" s="105" t="s">
        <v>48</v>
      </c>
      <c r="Y7" s="179"/>
      <c r="Z7" s="180"/>
    </row>
    <row r="8" s="9" customFormat="true" ht="14.1" hidden="false" customHeight="true" outlineLevel="0" collapsed="false">
      <c r="A8" s="95" t="s">
        <v>43</v>
      </c>
      <c r="B8" s="2" t="s">
        <v>49</v>
      </c>
      <c r="C8" s="3"/>
      <c r="D8" s="96" t="n">
        <v>3254102</v>
      </c>
      <c r="E8" s="97" t="n">
        <v>45376</v>
      </c>
      <c r="F8" s="98" t="s">
        <v>45</v>
      </c>
      <c r="G8" s="5" t="n">
        <v>45376</v>
      </c>
      <c r="H8" s="100"/>
      <c r="I8" s="101"/>
      <c r="J8" s="101"/>
      <c r="K8" s="101"/>
      <c r="L8" s="101"/>
      <c r="M8" s="100"/>
      <c r="N8" s="101"/>
      <c r="O8" s="100"/>
      <c r="P8" s="6"/>
      <c r="Q8" s="102"/>
      <c r="R8" s="100" t="n">
        <v>143</v>
      </c>
      <c r="S8" s="102" t="n">
        <v>25</v>
      </c>
      <c r="T8" s="103" t="n">
        <v>14.66</v>
      </c>
      <c r="U8" s="90" t="n">
        <f aca="false">SUM(H8:T8)</f>
        <v>182.66</v>
      </c>
      <c r="V8" s="104" t="s">
        <v>46</v>
      </c>
      <c r="W8" s="9" t="s">
        <v>47</v>
      </c>
      <c r="X8" s="105" t="s">
        <v>48</v>
      </c>
      <c r="Y8" s="179"/>
      <c r="Z8" s="180"/>
    </row>
    <row r="9" s="9" customFormat="true" ht="14.1" hidden="false" customHeight="true" outlineLevel="0" collapsed="false">
      <c r="A9" s="164" t="s">
        <v>43</v>
      </c>
      <c r="B9" s="165" t="s">
        <v>156</v>
      </c>
      <c r="C9" s="166"/>
      <c r="D9" s="167" t="n">
        <v>2294104</v>
      </c>
      <c r="E9" s="168" t="n">
        <v>45351</v>
      </c>
      <c r="F9" s="169" t="s">
        <v>45</v>
      </c>
      <c r="G9" s="170" t="n">
        <v>45351</v>
      </c>
      <c r="H9" s="171"/>
      <c r="I9" s="172"/>
      <c r="J9" s="172"/>
      <c r="K9" s="172"/>
      <c r="L9" s="172"/>
      <c r="M9" s="171"/>
      <c r="N9" s="172"/>
      <c r="O9" s="171"/>
      <c r="P9" s="173"/>
      <c r="Q9" s="174"/>
      <c r="R9" s="171" t="n">
        <v>440</v>
      </c>
      <c r="S9" s="174" t="n">
        <v>100</v>
      </c>
      <c r="T9" s="175" t="n">
        <v>34.1</v>
      </c>
      <c r="U9" s="176" t="n">
        <f aca="false">SUM(H9:T9)</f>
        <v>574.1</v>
      </c>
      <c r="V9" s="177" t="s">
        <v>46</v>
      </c>
      <c r="W9" s="178" t="s">
        <v>43</v>
      </c>
      <c r="X9" s="105" t="s">
        <v>48</v>
      </c>
      <c r="Y9" s="179"/>
      <c r="Z9" s="180"/>
    </row>
    <row r="10" s="9" customFormat="true" ht="14.1" hidden="false" customHeight="true" outlineLevel="0" collapsed="false">
      <c r="A10" s="164" t="s">
        <v>43</v>
      </c>
      <c r="B10" s="165" t="s">
        <v>156</v>
      </c>
      <c r="C10" s="166"/>
      <c r="D10" s="167" t="n">
        <v>2294105</v>
      </c>
      <c r="E10" s="168" t="n">
        <v>45351</v>
      </c>
      <c r="F10" s="169" t="s">
        <v>45</v>
      </c>
      <c r="G10" s="170" t="n">
        <v>45351</v>
      </c>
      <c r="H10" s="171"/>
      <c r="I10" s="172"/>
      <c r="J10" s="172"/>
      <c r="K10" s="172"/>
      <c r="L10" s="172"/>
      <c r="M10" s="171"/>
      <c r="N10" s="172"/>
      <c r="O10" s="171"/>
      <c r="P10" s="173"/>
      <c r="Q10" s="174"/>
      <c r="R10" s="171" t="n">
        <v>5</v>
      </c>
      <c r="S10" s="174" t="n">
        <v>35</v>
      </c>
      <c r="T10" s="175" t="n">
        <v>0.39</v>
      </c>
      <c r="U10" s="176" t="n">
        <f aca="false">SUM(H10:T10)</f>
        <v>40.39</v>
      </c>
      <c r="V10" s="177" t="s">
        <v>46</v>
      </c>
      <c r="W10" s="178" t="s">
        <v>43</v>
      </c>
      <c r="X10" s="105" t="s">
        <v>48</v>
      </c>
      <c r="Y10" s="179"/>
      <c r="Z10" s="180"/>
    </row>
    <row r="11" s="9" customFormat="true" ht="14.1" hidden="false" customHeight="true" outlineLevel="0" collapsed="false">
      <c r="A11" s="95" t="s">
        <v>43</v>
      </c>
      <c r="B11" s="2" t="s">
        <v>56</v>
      </c>
      <c r="C11" s="3"/>
      <c r="D11" s="96" t="n">
        <v>3224101</v>
      </c>
      <c r="E11" s="97" t="n">
        <v>45373</v>
      </c>
      <c r="F11" s="98" t="s">
        <v>45</v>
      </c>
      <c r="G11" s="5" t="n">
        <v>45373</v>
      </c>
      <c r="H11" s="100"/>
      <c r="I11" s="101"/>
      <c r="J11" s="101"/>
      <c r="K11" s="101"/>
      <c r="L11" s="101"/>
      <c r="M11" s="100"/>
      <c r="N11" s="101"/>
      <c r="O11" s="100"/>
      <c r="P11" s="6"/>
      <c r="Q11" s="102"/>
      <c r="R11" s="100" t="n">
        <v>175</v>
      </c>
      <c r="S11" s="102" t="n">
        <v>37.5</v>
      </c>
      <c r="T11" s="103" t="n">
        <v>16.19</v>
      </c>
      <c r="U11" s="90" t="n">
        <f aca="false">SUM(H11:T11)</f>
        <v>228.69</v>
      </c>
      <c r="V11" s="104" t="s">
        <v>46</v>
      </c>
      <c r="W11" s="9" t="s">
        <v>43</v>
      </c>
      <c r="X11" s="105" t="s">
        <v>48</v>
      </c>
      <c r="Y11" s="179"/>
      <c r="Z11" s="180"/>
    </row>
    <row r="12" s="9" customFormat="true" ht="14.1" hidden="false" customHeight="true" outlineLevel="0" collapsed="false">
      <c r="A12" s="181" t="s">
        <v>43</v>
      </c>
      <c r="B12" s="182" t="s">
        <v>57</v>
      </c>
      <c r="C12" s="183"/>
      <c r="D12" s="184" t="n">
        <v>11143102</v>
      </c>
      <c r="E12" s="185" t="n">
        <v>45244</v>
      </c>
      <c r="F12" s="186" t="s">
        <v>45</v>
      </c>
      <c r="G12" s="187" t="n">
        <v>45247</v>
      </c>
      <c r="H12" s="188"/>
      <c r="I12" s="189"/>
      <c r="J12" s="189"/>
      <c r="K12" s="189"/>
      <c r="L12" s="189"/>
      <c r="M12" s="188"/>
      <c r="N12" s="189"/>
      <c r="O12" s="188"/>
      <c r="P12" s="190"/>
      <c r="Q12" s="191"/>
      <c r="R12" s="188" t="n">
        <v>900</v>
      </c>
      <c r="S12" s="191" t="n">
        <v>250</v>
      </c>
      <c r="T12" s="192" t="n">
        <v>83.25</v>
      </c>
      <c r="U12" s="193" t="n">
        <f aca="false">SUM(H12:T12)</f>
        <v>1233.25</v>
      </c>
      <c r="V12" s="194" t="s">
        <v>58</v>
      </c>
      <c r="W12" s="195" t="s">
        <v>59</v>
      </c>
      <c r="X12" s="105" t="s">
        <v>48</v>
      </c>
      <c r="Y12" s="196"/>
      <c r="Z12" s="49"/>
    </row>
    <row r="13" s="9" customFormat="true" ht="14.1" hidden="false" customHeight="true" outlineLevel="0" collapsed="false">
      <c r="A13" s="95" t="s">
        <v>43</v>
      </c>
      <c r="B13" s="2" t="s">
        <v>157</v>
      </c>
      <c r="C13" s="3"/>
      <c r="D13" s="96" t="n">
        <v>3184106</v>
      </c>
      <c r="E13" s="97" t="n">
        <v>45369</v>
      </c>
      <c r="F13" s="98" t="s">
        <v>45</v>
      </c>
      <c r="G13" s="5" t="n">
        <v>45369</v>
      </c>
      <c r="H13" s="100"/>
      <c r="I13" s="101"/>
      <c r="J13" s="101"/>
      <c r="K13" s="101"/>
      <c r="L13" s="101"/>
      <c r="M13" s="100"/>
      <c r="N13" s="101"/>
      <c r="O13" s="100"/>
      <c r="P13" s="6"/>
      <c r="Q13" s="102"/>
      <c r="R13" s="100" t="n">
        <v>110</v>
      </c>
      <c r="S13" s="102" t="n">
        <v>25</v>
      </c>
      <c r="T13" s="103" t="n">
        <v>10.18</v>
      </c>
      <c r="U13" s="90" t="n">
        <f aca="false">SUM(H13:T13)</f>
        <v>145.18</v>
      </c>
      <c r="V13" s="104" t="s">
        <v>46</v>
      </c>
      <c r="W13" s="9" t="s">
        <v>43</v>
      </c>
      <c r="X13" s="105" t="s">
        <v>48</v>
      </c>
      <c r="Y13" s="179"/>
      <c r="Z13" s="180"/>
    </row>
    <row r="14" s="9" customFormat="true" ht="14.1" hidden="false" customHeight="true" outlineLevel="0" collapsed="false">
      <c r="A14" s="95" t="s">
        <v>43</v>
      </c>
      <c r="B14" s="2" t="s">
        <v>62</v>
      </c>
      <c r="C14" s="3" t="s">
        <v>158</v>
      </c>
      <c r="D14" s="96" t="n">
        <v>3064101</v>
      </c>
      <c r="E14" s="97" t="n">
        <v>45357</v>
      </c>
      <c r="F14" s="98" t="s">
        <v>45</v>
      </c>
      <c r="G14" s="5" t="n">
        <v>45357</v>
      </c>
      <c r="H14" s="100"/>
      <c r="I14" s="101"/>
      <c r="J14" s="101"/>
      <c r="K14" s="101"/>
      <c r="L14" s="101"/>
      <c r="M14" s="100"/>
      <c r="N14" s="101"/>
      <c r="O14" s="100"/>
      <c r="P14" s="6"/>
      <c r="Q14" s="102"/>
      <c r="R14" s="100" t="n">
        <v>120</v>
      </c>
      <c r="S14" s="102" t="n">
        <v>25</v>
      </c>
      <c r="T14" s="103" t="n">
        <v>10.35</v>
      </c>
      <c r="U14" s="90" t="n">
        <f aca="false">SUM(H14:T14)</f>
        <v>155.35</v>
      </c>
      <c r="V14" s="104" t="s">
        <v>46</v>
      </c>
      <c r="W14" s="9" t="s">
        <v>43</v>
      </c>
      <c r="X14" s="105" t="s">
        <v>48</v>
      </c>
      <c r="Y14" s="179"/>
      <c r="Z14" s="180"/>
    </row>
    <row r="15" s="9" customFormat="true" ht="14.1" hidden="false" customHeight="true" outlineLevel="0" collapsed="false">
      <c r="A15" s="95" t="s">
        <v>43</v>
      </c>
      <c r="B15" s="2" t="s">
        <v>62</v>
      </c>
      <c r="C15" s="3" t="s">
        <v>63</v>
      </c>
      <c r="D15" s="96" t="n">
        <v>3204101</v>
      </c>
      <c r="E15" s="97" t="n">
        <v>45371</v>
      </c>
      <c r="F15" s="98" t="s">
        <v>45</v>
      </c>
      <c r="G15" s="5" t="n">
        <v>45371</v>
      </c>
      <c r="H15" s="100"/>
      <c r="I15" s="101"/>
      <c r="J15" s="101"/>
      <c r="K15" s="101"/>
      <c r="L15" s="101"/>
      <c r="M15" s="100"/>
      <c r="N15" s="101"/>
      <c r="O15" s="100"/>
      <c r="P15" s="6"/>
      <c r="Q15" s="102"/>
      <c r="R15" s="100" t="n">
        <v>357</v>
      </c>
      <c r="S15" s="102" t="n">
        <v>67.5</v>
      </c>
      <c r="T15" s="103" t="n">
        <v>32.13</v>
      </c>
      <c r="U15" s="90" t="n">
        <f aca="false">SUM(H15:T15)</f>
        <v>456.63</v>
      </c>
      <c r="V15" s="104" t="s">
        <v>46</v>
      </c>
      <c r="W15" s="9" t="s">
        <v>43</v>
      </c>
      <c r="X15" s="105" t="s">
        <v>48</v>
      </c>
      <c r="Y15" s="179"/>
      <c r="Z15" s="180"/>
    </row>
    <row r="16" s="9" customFormat="true" ht="14.1" hidden="false" customHeight="true" outlineLevel="0" collapsed="false">
      <c r="A16" s="95" t="s">
        <v>43</v>
      </c>
      <c r="B16" s="2" t="s">
        <v>62</v>
      </c>
      <c r="C16" s="3" t="s">
        <v>159</v>
      </c>
      <c r="D16" s="96" t="n">
        <v>3254103</v>
      </c>
      <c r="E16" s="97" t="n">
        <v>45376</v>
      </c>
      <c r="F16" s="98" t="s">
        <v>45</v>
      </c>
      <c r="G16" s="5" t="n">
        <v>45376</v>
      </c>
      <c r="H16" s="100"/>
      <c r="I16" s="101"/>
      <c r="J16" s="101"/>
      <c r="K16" s="101"/>
      <c r="L16" s="101"/>
      <c r="M16" s="100"/>
      <c r="N16" s="101"/>
      <c r="O16" s="100"/>
      <c r="P16" s="6"/>
      <c r="Q16" s="102"/>
      <c r="R16" s="100" t="n">
        <v>357</v>
      </c>
      <c r="S16" s="102" t="n">
        <v>62.5</v>
      </c>
      <c r="T16" s="103" t="n">
        <v>30.79</v>
      </c>
      <c r="U16" s="90" t="n">
        <f aca="false">SUM(H16:T16)</f>
        <v>450.29</v>
      </c>
      <c r="V16" s="104" t="s">
        <v>46</v>
      </c>
      <c r="W16" s="9" t="s">
        <v>47</v>
      </c>
      <c r="X16" s="105" t="s">
        <v>48</v>
      </c>
      <c r="Y16" s="179"/>
      <c r="Z16" s="180"/>
    </row>
    <row r="17" s="9" customFormat="true" ht="14.1" hidden="false" customHeight="true" outlineLevel="0" collapsed="false">
      <c r="A17" s="181" t="s">
        <v>43</v>
      </c>
      <c r="B17" s="182" t="s">
        <v>69</v>
      </c>
      <c r="C17" s="183" t="s">
        <v>67</v>
      </c>
      <c r="D17" s="184" t="n">
        <v>11093103</v>
      </c>
      <c r="E17" s="185" t="n">
        <v>45239</v>
      </c>
      <c r="F17" s="186" t="s">
        <v>45</v>
      </c>
      <c r="G17" s="187" t="n">
        <v>45240</v>
      </c>
      <c r="H17" s="188"/>
      <c r="I17" s="189"/>
      <c r="J17" s="189"/>
      <c r="K17" s="189"/>
      <c r="L17" s="189"/>
      <c r="M17" s="188"/>
      <c r="N17" s="189"/>
      <c r="O17" s="188"/>
      <c r="P17" s="190"/>
      <c r="Q17" s="191"/>
      <c r="R17" s="188" t="n">
        <v>84</v>
      </c>
      <c r="S17" s="191" t="n">
        <v>25</v>
      </c>
      <c r="T17" s="192" t="n">
        <v>7.14</v>
      </c>
      <c r="U17" s="193" t="n">
        <f aca="false">SUM(H17:T17)</f>
        <v>116.14</v>
      </c>
      <c r="V17" s="194" t="s">
        <v>46</v>
      </c>
      <c r="W17" s="195" t="s">
        <v>70</v>
      </c>
      <c r="X17" s="105" t="s">
        <v>48</v>
      </c>
      <c r="Y17" s="196"/>
      <c r="Z17" s="49"/>
    </row>
    <row r="18" s="9" customFormat="true" ht="14.1" hidden="false" customHeight="true" outlineLevel="0" collapsed="false">
      <c r="A18" s="181" t="s">
        <v>43</v>
      </c>
      <c r="B18" s="182" t="s">
        <v>160</v>
      </c>
      <c r="C18" s="183"/>
      <c r="D18" s="184" t="n">
        <v>12273104</v>
      </c>
      <c r="E18" s="185" t="n">
        <v>45287</v>
      </c>
      <c r="F18" s="186" t="s">
        <v>45</v>
      </c>
      <c r="G18" s="187" t="n">
        <v>45287</v>
      </c>
      <c r="H18" s="188"/>
      <c r="I18" s="189"/>
      <c r="J18" s="189"/>
      <c r="K18" s="189"/>
      <c r="L18" s="189"/>
      <c r="M18" s="188"/>
      <c r="N18" s="189"/>
      <c r="O18" s="188"/>
      <c r="P18" s="190"/>
      <c r="Q18" s="191"/>
      <c r="R18" s="188" t="n">
        <v>39</v>
      </c>
      <c r="S18" s="191"/>
      <c r="T18" s="192" t="n">
        <v>3.22</v>
      </c>
      <c r="U18" s="193" t="n">
        <f aca="false">SUM(H18:T18)</f>
        <v>42.22</v>
      </c>
      <c r="V18" s="194" t="s">
        <v>53</v>
      </c>
      <c r="W18" s="195" t="s">
        <v>161</v>
      </c>
      <c r="X18" s="105" t="s">
        <v>48</v>
      </c>
      <c r="Y18" s="196"/>
      <c r="Z18" s="49"/>
    </row>
    <row r="19" s="9" customFormat="true" ht="14.1" hidden="false" customHeight="true" outlineLevel="0" collapsed="false">
      <c r="A19" s="95" t="s">
        <v>43</v>
      </c>
      <c r="B19" s="2" t="s">
        <v>72</v>
      </c>
      <c r="C19" s="3"/>
      <c r="D19" s="96" t="n">
        <v>3014103</v>
      </c>
      <c r="E19" s="97" t="n">
        <v>45352</v>
      </c>
      <c r="F19" s="98" t="s">
        <v>45</v>
      </c>
      <c r="G19" s="5" t="n">
        <v>45352</v>
      </c>
      <c r="H19" s="100"/>
      <c r="I19" s="101"/>
      <c r="J19" s="101"/>
      <c r="K19" s="101"/>
      <c r="L19" s="101"/>
      <c r="M19" s="100"/>
      <c r="N19" s="101"/>
      <c r="O19" s="100"/>
      <c r="P19" s="6"/>
      <c r="Q19" s="102"/>
      <c r="R19" s="100" t="n">
        <v>149</v>
      </c>
      <c r="S19" s="102" t="n">
        <v>37.5</v>
      </c>
      <c r="T19" s="103" t="n">
        <v>13.41</v>
      </c>
      <c r="U19" s="90" t="n">
        <f aca="false">SUM(H19:T19)</f>
        <v>199.91</v>
      </c>
      <c r="V19" s="104" t="s">
        <v>46</v>
      </c>
      <c r="W19" s="9" t="s">
        <v>43</v>
      </c>
      <c r="X19" s="105" t="s">
        <v>48</v>
      </c>
      <c r="Y19" s="179"/>
      <c r="Z19" s="180"/>
    </row>
    <row r="20" s="9" customFormat="true" ht="14.1" hidden="false" customHeight="true" outlineLevel="0" collapsed="false">
      <c r="A20" s="198" t="s">
        <v>43</v>
      </c>
      <c r="B20" s="199" t="s">
        <v>162</v>
      </c>
      <c r="C20" s="200"/>
      <c r="D20" s="201" t="n">
        <v>1294101</v>
      </c>
      <c r="E20" s="202" t="n">
        <v>45320</v>
      </c>
      <c r="F20" s="203" t="s">
        <v>45</v>
      </c>
      <c r="G20" s="204" t="n">
        <v>45320</v>
      </c>
      <c r="H20" s="205"/>
      <c r="I20" s="206"/>
      <c r="J20" s="206"/>
      <c r="K20" s="206"/>
      <c r="L20" s="206"/>
      <c r="M20" s="205"/>
      <c r="N20" s="206"/>
      <c r="O20" s="205"/>
      <c r="P20" s="207"/>
      <c r="Q20" s="208"/>
      <c r="R20" s="205" t="n">
        <v>84</v>
      </c>
      <c r="S20" s="208" t="n">
        <v>25</v>
      </c>
      <c r="T20" s="209" t="n">
        <v>7.35</v>
      </c>
      <c r="U20" s="210" t="n">
        <f aca="false">SUM(H20:T20)</f>
        <v>116.35</v>
      </c>
      <c r="V20" s="211" t="s">
        <v>46</v>
      </c>
      <c r="W20" s="212" t="s">
        <v>43</v>
      </c>
      <c r="X20" s="105" t="s">
        <v>48</v>
      </c>
      <c r="Y20" s="196"/>
      <c r="Z20" s="49"/>
    </row>
    <row r="21" s="9" customFormat="true" ht="14.1" hidden="false" customHeight="true" outlineLevel="0" collapsed="false">
      <c r="A21" s="107" t="s">
        <v>43</v>
      </c>
      <c r="B21" s="215" t="s">
        <v>75</v>
      </c>
      <c r="C21" s="216"/>
      <c r="D21" s="216" t="n">
        <v>3214103</v>
      </c>
      <c r="E21" s="217" t="n">
        <v>45372</v>
      </c>
      <c r="F21" s="218" t="s">
        <v>45</v>
      </c>
      <c r="G21" s="219" t="n">
        <v>45372</v>
      </c>
      <c r="H21" s="220"/>
      <c r="I21" s="220"/>
      <c r="J21" s="221"/>
      <c r="K21" s="221"/>
      <c r="L21" s="221"/>
      <c r="M21" s="220"/>
      <c r="N21" s="220"/>
      <c r="O21" s="220"/>
      <c r="P21" s="121"/>
      <c r="Q21" s="222"/>
      <c r="R21" s="220" t="n">
        <v>110</v>
      </c>
      <c r="S21" s="222" t="n">
        <v>25</v>
      </c>
      <c r="T21" s="223" t="n">
        <v>8.53</v>
      </c>
      <c r="U21" s="224" t="n">
        <f aca="false">SUM(H21:T21)</f>
        <v>143.53</v>
      </c>
      <c r="V21" s="225" t="s">
        <v>46</v>
      </c>
      <c r="W21" s="27" t="s">
        <v>43</v>
      </c>
      <c r="X21" s="27" t="s">
        <v>48</v>
      </c>
      <c r="Y21" s="246"/>
      <c r="Z21" s="180"/>
    </row>
    <row r="22" s="9" customFormat="true" ht="14.1" hidden="false" customHeight="true" outlineLevel="0" collapsed="false">
      <c r="A22" s="95" t="s">
        <v>43</v>
      </c>
      <c r="B22" s="2" t="s">
        <v>163</v>
      </c>
      <c r="C22" s="3"/>
      <c r="D22" s="96" t="n">
        <v>3184101</v>
      </c>
      <c r="E22" s="97" t="n">
        <v>45369</v>
      </c>
      <c r="F22" s="98" t="s">
        <v>45</v>
      </c>
      <c r="G22" s="5" t="n">
        <v>45369</v>
      </c>
      <c r="H22" s="100"/>
      <c r="I22" s="101"/>
      <c r="J22" s="101"/>
      <c r="K22" s="101"/>
      <c r="L22" s="101"/>
      <c r="M22" s="100"/>
      <c r="N22" s="101"/>
      <c r="O22" s="100"/>
      <c r="P22" s="6"/>
      <c r="Q22" s="102"/>
      <c r="R22" s="100" t="n">
        <v>550</v>
      </c>
      <c r="S22" s="102"/>
      <c r="T22" s="103"/>
      <c r="U22" s="90" t="n">
        <f aca="false">SUM(H22:T22)</f>
        <v>550</v>
      </c>
      <c r="V22" s="104" t="s">
        <v>53</v>
      </c>
      <c r="W22" s="9" t="s">
        <v>164</v>
      </c>
      <c r="X22" s="105" t="s">
        <v>48</v>
      </c>
      <c r="Y22" s="179"/>
      <c r="Z22" s="180"/>
    </row>
    <row r="23" s="9" customFormat="true" ht="14.1" hidden="false" customHeight="true" outlineLevel="0" collapsed="false">
      <c r="A23" s="198" t="s">
        <v>43</v>
      </c>
      <c r="B23" s="199" t="s">
        <v>79</v>
      </c>
      <c r="C23" s="200"/>
      <c r="D23" s="201" t="n">
        <v>1184062</v>
      </c>
      <c r="E23" s="202" t="n">
        <v>45309</v>
      </c>
      <c r="F23" s="203" t="s">
        <v>45</v>
      </c>
      <c r="G23" s="204" t="n">
        <v>45310</v>
      </c>
      <c r="H23" s="205"/>
      <c r="I23" s="206"/>
      <c r="J23" s="206"/>
      <c r="K23" s="206"/>
      <c r="L23" s="206"/>
      <c r="M23" s="205"/>
      <c r="N23" s="206"/>
      <c r="O23" s="205"/>
      <c r="P23" s="207"/>
      <c r="Q23" s="208"/>
      <c r="R23" s="205" t="n">
        <v>615</v>
      </c>
      <c r="S23" s="208"/>
      <c r="T23" s="209"/>
      <c r="U23" s="210" t="n">
        <f aca="false">SUM(H23:T23)</f>
        <v>615</v>
      </c>
      <c r="V23" s="211" t="s">
        <v>53</v>
      </c>
      <c r="W23" s="212" t="s">
        <v>80</v>
      </c>
      <c r="X23" s="105" t="s">
        <v>48</v>
      </c>
      <c r="Y23" s="196"/>
      <c r="Z23" s="49"/>
    </row>
    <row r="24" s="9" customFormat="true" ht="14.1" hidden="false" customHeight="true" outlineLevel="0" collapsed="false">
      <c r="A24" s="95" t="s">
        <v>43</v>
      </c>
      <c r="B24" s="2" t="s">
        <v>165</v>
      </c>
      <c r="C24" s="3"/>
      <c r="D24" s="96" t="n">
        <v>3294101</v>
      </c>
      <c r="E24" s="97" t="n">
        <v>45380</v>
      </c>
      <c r="F24" s="98" t="s">
        <v>45</v>
      </c>
      <c r="G24" s="5" t="n">
        <v>45380</v>
      </c>
      <c r="H24" s="100"/>
      <c r="I24" s="101"/>
      <c r="J24" s="101"/>
      <c r="K24" s="101"/>
      <c r="L24" s="101"/>
      <c r="M24" s="100"/>
      <c r="N24" s="101"/>
      <c r="O24" s="100"/>
      <c r="P24" s="6"/>
      <c r="Q24" s="102"/>
      <c r="R24" s="100" t="n">
        <v>130</v>
      </c>
      <c r="S24" s="102" t="n">
        <v>50</v>
      </c>
      <c r="T24" s="103" t="n">
        <v>11.21</v>
      </c>
      <c r="U24" s="90" t="n">
        <f aca="false">SUM(H24:T24)</f>
        <v>191.21</v>
      </c>
      <c r="V24" s="104" t="s">
        <v>46</v>
      </c>
      <c r="W24" s="9" t="s">
        <v>43</v>
      </c>
      <c r="X24" s="105" t="s">
        <v>48</v>
      </c>
      <c r="Y24" s="179"/>
      <c r="Z24" s="180"/>
    </row>
    <row r="25" s="9" customFormat="true" ht="14.1" hidden="false" customHeight="true" outlineLevel="0" collapsed="false">
      <c r="A25" s="95" t="s">
        <v>166</v>
      </c>
      <c r="B25" s="2" t="s">
        <v>167</v>
      </c>
      <c r="C25" s="3"/>
      <c r="D25" s="96" t="n">
        <v>3014052</v>
      </c>
      <c r="E25" s="97" t="n">
        <v>45352</v>
      </c>
      <c r="F25" s="98" t="s">
        <v>13</v>
      </c>
      <c r="G25" s="5" t="n">
        <v>45352</v>
      </c>
      <c r="H25" s="100"/>
      <c r="I25" s="101"/>
      <c r="J25" s="101"/>
      <c r="K25" s="101"/>
      <c r="L25" s="101"/>
      <c r="M25" s="100" t="n">
        <v>49</v>
      </c>
      <c r="N25" s="101"/>
      <c r="O25" s="100"/>
      <c r="P25" s="6"/>
      <c r="Q25" s="102"/>
      <c r="R25" s="100"/>
      <c r="S25" s="102"/>
      <c r="T25" s="103"/>
      <c r="U25" s="90" t="n">
        <f aca="false">SUM(H25:T25)</f>
        <v>49</v>
      </c>
      <c r="V25" s="104" t="s">
        <v>154</v>
      </c>
      <c r="W25" s="9" t="s">
        <v>166</v>
      </c>
      <c r="X25" s="105" t="s">
        <v>48</v>
      </c>
      <c r="Y25" s="179"/>
      <c r="Z25" s="180"/>
    </row>
    <row r="26" s="9" customFormat="true" ht="14.1" hidden="false" customHeight="true" outlineLevel="0" collapsed="false">
      <c r="A26" s="164" t="s">
        <v>47</v>
      </c>
      <c r="B26" s="165" t="s">
        <v>168</v>
      </c>
      <c r="C26" s="166"/>
      <c r="D26" s="167" t="n">
        <v>2234062</v>
      </c>
      <c r="E26" s="168" t="n">
        <v>45345</v>
      </c>
      <c r="F26" s="169" t="s">
        <v>45</v>
      </c>
      <c r="G26" s="170" t="n">
        <v>45345</v>
      </c>
      <c r="H26" s="171"/>
      <c r="I26" s="172"/>
      <c r="J26" s="172"/>
      <c r="K26" s="172"/>
      <c r="L26" s="172"/>
      <c r="M26" s="171"/>
      <c r="N26" s="172"/>
      <c r="O26" s="171"/>
      <c r="P26" s="173"/>
      <c r="Q26" s="174"/>
      <c r="R26" s="171" t="n">
        <v>790</v>
      </c>
      <c r="S26" s="174"/>
      <c r="T26" s="175"/>
      <c r="U26" s="176" t="n">
        <f aca="false">SUM(H26:T26)</f>
        <v>790</v>
      </c>
      <c r="V26" s="177" t="s">
        <v>46</v>
      </c>
      <c r="W26" s="178" t="s">
        <v>43</v>
      </c>
      <c r="X26" s="105" t="s">
        <v>48</v>
      </c>
      <c r="Y26" s="179"/>
      <c r="Z26" s="180"/>
    </row>
    <row r="27" s="9" customFormat="true" ht="14.1" hidden="false" customHeight="true" outlineLevel="0" collapsed="false">
      <c r="A27" s="95" t="s">
        <v>43</v>
      </c>
      <c r="B27" s="2" t="s">
        <v>168</v>
      </c>
      <c r="C27" s="3"/>
      <c r="D27" s="96" t="n">
        <v>3124065</v>
      </c>
      <c r="E27" s="97" t="n">
        <v>45363</v>
      </c>
      <c r="F27" s="98" t="s">
        <v>45</v>
      </c>
      <c r="G27" s="5" t="n">
        <v>45363</v>
      </c>
      <c r="H27" s="100"/>
      <c r="I27" s="101"/>
      <c r="J27" s="101"/>
      <c r="K27" s="101"/>
      <c r="L27" s="101"/>
      <c r="M27" s="100"/>
      <c r="N27" s="101"/>
      <c r="O27" s="100"/>
      <c r="P27" s="6"/>
      <c r="Q27" s="102"/>
      <c r="R27" s="100" t="n">
        <v>552</v>
      </c>
      <c r="S27" s="102"/>
      <c r="T27" s="103"/>
      <c r="U27" s="90" t="n">
        <f aca="false">SUM(H27:T27)</f>
        <v>552</v>
      </c>
      <c r="V27" s="104" t="s">
        <v>46</v>
      </c>
      <c r="W27" s="9" t="s">
        <v>43</v>
      </c>
      <c r="X27" s="105" t="s">
        <v>48</v>
      </c>
      <c r="Y27" s="179"/>
      <c r="Z27" s="180"/>
    </row>
    <row r="28" s="9" customFormat="true" ht="14.1" hidden="false" customHeight="true" outlineLevel="0" collapsed="false">
      <c r="A28" s="95" t="s">
        <v>47</v>
      </c>
      <c r="B28" s="2" t="s">
        <v>168</v>
      </c>
      <c r="C28" s="3"/>
      <c r="D28" s="96" t="n">
        <v>3204064</v>
      </c>
      <c r="E28" s="97" t="n">
        <v>45371</v>
      </c>
      <c r="F28" s="98" t="s">
        <v>45</v>
      </c>
      <c r="G28" s="5" t="n">
        <v>45371</v>
      </c>
      <c r="H28" s="100"/>
      <c r="I28" s="101"/>
      <c r="J28" s="101"/>
      <c r="K28" s="101"/>
      <c r="L28" s="101"/>
      <c r="M28" s="100"/>
      <c r="N28" s="101"/>
      <c r="O28" s="100"/>
      <c r="P28" s="6"/>
      <c r="Q28" s="102"/>
      <c r="R28" s="100" t="n">
        <v>493</v>
      </c>
      <c r="S28" s="102"/>
      <c r="T28" s="103"/>
      <c r="U28" s="90" t="n">
        <f aca="false">SUM(H28:T28)</f>
        <v>493</v>
      </c>
      <c r="V28" s="104" t="s">
        <v>46</v>
      </c>
      <c r="W28" s="9" t="s">
        <v>43</v>
      </c>
      <c r="X28" s="105" t="s">
        <v>48</v>
      </c>
      <c r="Y28" s="179"/>
      <c r="Z28" s="180"/>
    </row>
    <row r="29" s="9" customFormat="true" ht="14.1" hidden="false" customHeight="true" outlineLevel="0" collapsed="false">
      <c r="A29" s="95" t="s">
        <v>43</v>
      </c>
      <c r="B29" s="2" t="s">
        <v>169</v>
      </c>
      <c r="C29" s="3"/>
      <c r="D29" s="96" t="n">
        <v>3254062</v>
      </c>
      <c r="E29" s="97" t="n">
        <v>45376</v>
      </c>
      <c r="F29" s="98" t="s">
        <v>45</v>
      </c>
      <c r="G29" s="5" t="n">
        <v>45376</v>
      </c>
      <c r="H29" s="100"/>
      <c r="I29" s="101"/>
      <c r="J29" s="101"/>
      <c r="K29" s="101"/>
      <c r="L29" s="101"/>
      <c r="M29" s="100"/>
      <c r="N29" s="101"/>
      <c r="O29" s="100"/>
      <c r="P29" s="6"/>
      <c r="Q29" s="102"/>
      <c r="R29" s="100" t="n">
        <v>78</v>
      </c>
      <c r="S29" s="102" t="n">
        <v>14</v>
      </c>
      <c r="T29" s="103" t="n">
        <v>8</v>
      </c>
      <c r="U29" s="90" t="n">
        <f aca="false">SUM(H29:T29)</f>
        <v>100</v>
      </c>
      <c r="V29" s="104" t="s">
        <v>46</v>
      </c>
      <c r="W29" s="9" t="s">
        <v>47</v>
      </c>
      <c r="X29" s="105" t="s">
        <v>48</v>
      </c>
      <c r="Y29" s="179"/>
      <c r="Z29" s="180"/>
    </row>
    <row r="30" s="9" customFormat="true" ht="14.1" hidden="false" customHeight="true" outlineLevel="0" collapsed="false">
      <c r="A30" s="95" t="s">
        <v>170</v>
      </c>
      <c r="B30" s="2" t="s">
        <v>171</v>
      </c>
      <c r="C30" s="3" t="s">
        <v>96</v>
      </c>
      <c r="D30" s="96" t="n">
        <v>3154052</v>
      </c>
      <c r="E30" s="97" t="n">
        <v>45366</v>
      </c>
      <c r="F30" s="98" t="s">
        <v>13</v>
      </c>
      <c r="G30" s="5" t="n">
        <v>45366</v>
      </c>
      <c r="H30" s="100"/>
      <c r="I30" s="101"/>
      <c r="J30" s="101"/>
      <c r="K30" s="101"/>
      <c r="L30" s="101"/>
      <c r="M30" s="100" t="n">
        <v>69</v>
      </c>
      <c r="N30" s="101" t="n">
        <v>39</v>
      </c>
      <c r="O30" s="100"/>
      <c r="P30" s="6"/>
      <c r="Q30" s="102"/>
      <c r="R30" s="100"/>
      <c r="S30" s="102"/>
      <c r="T30" s="103"/>
      <c r="U30" s="90" t="n">
        <f aca="false">SUM(H30:T30)</f>
        <v>108</v>
      </c>
      <c r="V30" s="104" t="s">
        <v>154</v>
      </c>
      <c r="W30" s="9" t="s">
        <v>166</v>
      </c>
      <c r="X30" s="105" t="s">
        <v>48</v>
      </c>
      <c r="Y30" s="179"/>
      <c r="Z30" s="180"/>
    </row>
    <row r="31" s="9" customFormat="true" ht="14.1" hidden="false" customHeight="true" outlineLevel="0" collapsed="false">
      <c r="A31" s="95" t="s">
        <v>170</v>
      </c>
      <c r="B31" s="2" t="s">
        <v>171</v>
      </c>
      <c r="C31" s="3" t="s">
        <v>172</v>
      </c>
      <c r="D31" s="96" t="n">
        <v>3154052</v>
      </c>
      <c r="E31" s="97" t="n">
        <v>45366</v>
      </c>
      <c r="F31" s="98" t="s">
        <v>13</v>
      </c>
      <c r="G31" s="5" t="n">
        <v>45366</v>
      </c>
      <c r="H31" s="100"/>
      <c r="I31" s="101"/>
      <c r="J31" s="101"/>
      <c r="K31" s="101"/>
      <c r="L31" s="101"/>
      <c r="M31" s="100" t="n">
        <v>69</v>
      </c>
      <c r="N31" s="101" t="n">
        <v>39</v>
      </c>
      <c r="O31" s="100"/>
      <c r="P31" s="6"/>
      <c r="Q31" s="102"/>
      <c r="R31" s="100"/>
      <c r="S31" s="102"/>
      <c r="T31" s="103"/>
      <c r="U31" s="90" t="n">
        <f aca="false">SUM(H31:T31)</f>
        <v>108</v>
      </c>
      <c r="V31" s="104" t="s">
        <v>154</v>
      </c>
      <c r="W31" s="9" t="s">
        <v>166</v>
      </c>
      <c r="X31" s="105" t="s">
        <v>48</v>
      </c>
      <c r="Y31" s="179"/>
      <c r="Z31" s="180"/>
    </row>
    <row r="32" s="9" customFormat="true" ht="14.1" hidden="false" customHeight="true" outlineLevel="0" collapsed="false">
      <c r="A32" s="247" t="s">
        <v>43</v>
      </c>
      <c r="B32" s="248" t="s">
        <v>82</v>
      </c>
      <c r="C32" s="249"/>
      <c r="D32" s="249" t="n">
        <v>2134104</v>
      </c>
      <c r="E32" s="250" t="n">
        <v>45335</v>
      </c>
      <c r="F32" s="251" t="s">
        <v>45</v>
      </c>
      <c r="G32" s="252" t="n">
        <v>45335</v>
      </c>
      <c r="H32" s="253"/>
      <c r="I32" s="253"/>
      <c r="J32" s="254"/>
      <c r="K32" s="254"/>
      <c r="L32" s="254"/>
      <c r="M32" s="253"/>
      <c r="N32" s="253"/>
      <c r="O32" s="253"/>
      <c r="P32" s="255"/>
      <c r="Q32" s="256"/>
      <c r="R32" s="253" t="n">
        <v>260</v>
      </c>
      <c r="S32" s="256" t="n">
        <v>50</v>
      </c>
      <c r="T32" s="257" t="n">
        <v>23.73</v>
      </c>
      <c r="U32" s="258" t="n">
        <f aca="false">SUM(H32:T32)</f>
        <v>333.73</v>
      </c>
      <c r="V32" s="259" t="s">
        <v>46</v>
      </c>
      <c r="W32" s="260" t="s">
        <v>43</v>
      </c>
      <c r="X32" s="27" t="s">
        <v>48</v>
      </c>
      <c r="Y32" s="246"/>
      <c r="Z32" s="180"/>
    </row>
    <row r="33" s="9" customFormat="true" ht="14.1" hidden="false" customHeight="true" outlineLevel="0" collapsed="false">
      <c r="A33" s="95" t="s">
        <v>173</v>
      </c>
      <c r="B33" s="2" t="s">
        <v>174</v>
      </c>
      <c r="C33" s="3"/>
      <c r="D33" s="96" t="n">
        <v>3044051</v>
      </c>
      <c r="E33" s="97" t="n">
        <v>45355</v>
      </c>
      <c r="F33" s="98" t="s">
        <v>45</v>
      </c>
      <c r="G33" s="5" t="n">
        <v>45355</v>
      </c>
      <c r="H33" s="100"/>
      <c r="I33" s="101"/>
      <c r="J33" s="101"/>
      <c r="K33" s="101"/>
      <c r="L33" s="101"/>
      <c r="M33" s="100" t="n">
        <v>900</v>
      </c>
      <c r="N33" s="101" t="n">
        <v>2600</v>
      </c>
      <c r="O33" s="100"/>
      <c r="P33" s="6"/>
      <c r="Q33" s="102"/>
      <c r="R33" s="100"/>
      <c r="S33" s="102"/>
      <c r="T33" s="103"/>
      <c r="U33" s="90" t="n">
        <f aca="false">SUM(H33:T33)</f>
        <v>3500</v>
      </c>
      <c r="V33" s="104" t="s">
        <v>58</v>
      </c>
      <c r="W33" s="9" t="s">
        <v>166</v>
      </c>
      <c r="X33" s="105" t="s">
        <v>48</v>
      </c>
      <c r="Y33" s="179"/>
      <c r="Z33" s="180"/>
    </row>
    <row r="34" s="9" customFormat="true" ht="14.1" hidden="false" customHeight="true" outlineLevel="0" collapsed="false">
      <c r="A34" s="95" t="s">
        <v>43</v>
      </c>
      <c r="B34" s="2" t="s">
        <v>83</v>
      </c>
      <c r="C34" s="3"/>
      <c r="D34" s="96" t="n">
        <v>3184104</v>
      </c>
      <c r="E34" s="97" t="n">
        <v>45369</v>
      </c>
      <c r="F34" s="98" t="s">
        <v>45</v>
      </c>
      <c r="G34" s="5" t="n">
        <v>45369</v>
      </c>
      <c r="H34" s="100"/>
      <c r="I34" s="101"/>
      <c r="J34" s="101"/>
      <c r="K34" s="101"/>
      <c r="L34" s="101"/>
      <c r="M34" s="100"/>
      <c r="N34" s="101"/>
      <c r="O34" s="100"/>
      <c r="P34" s="6"/>
      <c r="Q34" s="102"/>
      <c r="R34" s="100" t="n">
        <v>78</v>
      </c>
      <c r="S34" s="102" t="n">
        <v>12.5</v>
      </c>
      <c r="T34" s="103" t="n">
        <v>6.73</v>
      </c>
      <c r="U34" s="90" t="n">
        <f aca="false">SUM(H34:T34)</f>
        <v>97.23</v>
      </c>
      <c r="V34" s="104" t="s">
        <v>46</v>
      </c>
      <c r="W34" s="9" t="s">
        <v>70</v>
      </c>
      <c r="X34" s="105" t="s">
        <v>48</v>
      </c>
      <c r="Y34" s="179"/>
      <c r="Z34" s="180"/>
    </row>
    <row r="35" s="9" customFormat="true" ht="14.1" hidden="false" customHeight="true" outlineLevel="0" collapsed="false">
      <c r="A35" s="95" t="s">
        <v>43</v>
      </c>
      <c r="B35" s="2" t="s">
        <v>83</v>
      </c>
      <c r="C35" s="3"/>
      <c r="D35" s="96" t="n">
        <v>3294102</v>
      </c>
      <c r="E35" s="97" t="n">
        <v>45380</v>
      </c>
      <c r="F35" s="98" t="s">
        <v>45</v>
      </c>
      <c r="G35" s="5" t="n">
        <v>45380</v>
      </c>
      <c r="H35" s="100"/>
      <c r="I35" s="101"/>
      <c r="J35" s="101"/>
      <c r="K35" s="101"/>
      <c r="L35" s="101"/>
      <c r="M35" s="100"/>
      <c r="N35" s="101"/>
      <c r="O35" s="100"/>
      <c r="P35" s="6"/>
      <c r="Q35" s="102"/>
      <c r="R35" s="100" t="n">
        <v>135</v>
      </c>
      <c r="S35" s="102" t="n">
        <v>37.5</v>
      </c>
      <c r="T35" s="103" t="n">
        <v>11.64</v>
      </c>
      <c r="U35" s="90" t="n">
        <f aca="false">SUM(H35:T35)</f>
        <v>184.14</v>
      </c>
      <c r="V35" s="104" t="s">
        <v>46</v>
      </c>
      <c r="W35" s="9" t="s">
        <v>43</v>
      </c>
      <c r="X35" s="105" t="s">
        <v>48</v>
      </c>
      <c r="Y35" s="179"/>
      <c r="Z35" s="180"/>
    </row>
    <row r="36" s="9" customFormat="true" ht="14.1" hidden="false" customHeight="true" outlineLevel="0" collapsed="false">
      <c r="A36" s="95" t="s">
        <v>43</v>
      </c>
      <c r="B36" s="2" t="s">
        <v>84</v>
      </c>
      <c r="C36" s="3"/>
      <c r="D36" s="96" t="n">
        <v>2284103</v>
      </c>
      <c r="E36" s="97" t="n">
        <v>45350</v>
      </c>
      <c r="F36" s="98" t="s">
        <v>45</v>
      </c>
      <c r="G36" s="5" t="n">
        <v>45352</v>
      </c>
      <c r="H36" s="100"/>
      <c r="I36" s="101"/>
      <c r="J36" s="101"/>
      <c r="K36" s="101"/>
      <c r="L36" s="101"/>
      <c r="M36" s="100"/>
      <c r="N36" s="101"/>
      <c r="O36" s="100"/>
      <c r="P36" s="6"/>
      <c r="Q36" s="102"/>
      <c r="R36" s="100" t="n">
        <v>104</v>
      </c>
      <c r="S36" s="102"/>
      <c r="T36" s="103" t="n">
        <v>9.62</v>
      </c>
      <c r="U36" s="90" t="n">
        <f aca="false">SUM(H36:T36)</f>
        <v>113.62</v>
      </c>
      <c r="V36" s="104" t="s">
        <v>58</v>
      </c>
      <c r="W36" s="9" t="s">
        <v>43</v>
      </c>
      <c r="X36" s="105" t="s">
        <v>48</v>
      </c>
      <c r="Y36" s="179"/>
      <c r="Z36" s="180"/>
    </row>
    <row r="37" s="9" customFormat="true" ht="14.1" hidden="false" customHeight="true" outlineLevel="0" collapsed="false">
      <c r="A37" s="95" t="s">
        <v>43</v>
      </c>
      <c r="B37" s="2" t="s">
        <v>86</v>
      </c>
      <c r="C37" s="3"/>
      <c r="D37" s="96" t="n">
        <v>2294108</v>
      </c>
      <c r="E37" s="97" t="n">
        <v>45351</v>
      </c>
      <c r="F37" s="98" t="s">
        <v>45</v>
      </c>
      <c r="G37" s="5" t="n">
        <v>45352</v>
      </c>
      <c r="H37" s="100"/>
      <c r="I37" s="101"/>
      <c r="J37" s="101"/>
      <c r="K37" s="101"/>
      <c r="L37" s="101"/>
      <c r="M37" s="100"/>
      <c r="N37" s="101"/>
      <c r="O37" s="100"/>
      <c r="P37" s="6"/>
      <c r="Q37" s="102"/>
      <c r="R37" s="100" t="n">
        <v>375</v>
      </c>
      <c r="S37" s="102" t="n">
        <v>87.5</v>
      </c>
      <c r="T37" s="103" t="n">
        <v>34.69</v>
      </c>
      <c r="U37" s="90" t="n">
        <f aca="false">SUM(H37:T37)</f>
        <v>497.19</v>
      </c>
      <c r="V37" s="104" t="s">
        <v>46</v>
      </c>
      <c r="W37" s="9" t="s">
        <v>43</v>
      </c>
      <c r="X37" s="105" t="s">
        <v>48</v>
      </c>
      <c r="Y37" s="179"/>
      <c r="Z37" s="180"/>
    </row>
    <row r="38" s="9" customFormat="true" ht="14.1" hidden="false" customHeight="true" outlineLevel="0" collapsed="false">
      <c r="A38" s="181" t="s">
        <v>43</v>
      </c>
      <c r="B38" s="182" t="s">
        <v>88</v>
      </c>
      <c r="C38" s="183"/>
      <c r="D38" s="184" t="n">
        <v>10243102</v>
      </c>
      <c r="E38" s="185" t="n">
        <v>45223</v>
      </c>
      <c r="F38" s="186" t="s">
        <v>45</v>
      </c>
      <c r="G38" s="187" t="n">
        <v>45223</v>
      </c>
      <c r="H38" s="188"/>
      <c r="I38" s="189"/>
      <c r="J38" s="189"/>
      <c r="K38" s="189"/>
      <c r="L38" s="189"/>
      <c r="M38" s="188"/>
      <c r="N38" s="189"/>
      <c r="O38" s="188"/>
      <c r="P38" s="190"/>
      <c r="Q38" s="191"/>
      <c r="R38" s="188" t="n">
        <v>110</v>
      </c>
      <c r="S38" s="191" t="n">
        <v>25</v>
      </c>
      <c r="T38" s="192" t="n">
        <v>9.08</v>
      </c>
      <c r="U38" s="193" t="n">
        <f aca="false">SUM(H38:T38)</f>
        <v>144.08</v>
      </c>
      <c r="V38" s="194" t="s">
        <v>46</v>
      </c>
      <c r="W38" s="195" t="s">
        <v>59</v>
      </c>
      <c r="X38" s="105" t="s">
        <v>48</v>
      </c>
      <c r="Y38" s="49"/>
    </row>
    <row r="39" s="9" customFormat="true" ht="14.1" hidden="false" customHeight="true" outlineLevel="0" collapsed="false">
      <c r="A39" s="164" t="s">
        <v>43</v>
      </c>
      <c r="B39" s="165" t="s">
        <v>90</v>
      </c>
      <c r="C39" s="166" t="s">
        <v>91</v>
      </c>
      <c r="D39" s="167" t="n">
        <v>2024101</v>
      </c>
      <c r="E39" s="168" t="n">
        <v>45324</v>
      </c>
      <c r="F39" s="169" t="s">
        <v>92</v>
      </c>
      <c r="G39" s="170" t="n">
        <v>45324</v>
      </c>
      <c r="H39" s="171"/>
      <c r="I39" s="172"/>
      <c r="J39" s="172"/>
      <c r="K39" s="172"/>
      <c r="L39" s="172"/>
      <c r="M39" s="171"/>
      <c r="N39" s="172"/>
      <c r="O39" s="171"/>
      <c r="P39" s="173" t="n">
        <v>180</v>
      </c>
      <c r="Q39" s="174" t="n">
        <v>90</v>
      </c>
      <c r="R39" s="171"/>
      <c r="S39" s="174"/>
      <c r="T39" s="175"/>
      <c r="U39" s="176" t="n">
        <f aca="false">SUM(H39:T39)</f>
        <v>270</v>
      </c>
      <c r="V39" s="177" t="s">
        <v>92</v>
      </c>
      <c r="W39" s="178" t="s">
        <v>93</v>
      </c>
      <c r="X39" s="105" t="s">
        <v>48</v>
      </c>
      <c r="Y39" s="179"/>
      <c r="Z39" s="180"/>
    </row>
    <row r="40" s="9" customFormat="true" ht="14.1" hidden="false" customHeight="true" outlineLevel="0" collapsed="false">
      <c r="A40" s="164" t="s">
        <v>43</v>
      </c>
      <c r="B40" s="165" t="s">
        <v>94</v>
      </c>
      <c r="C40" s="166"/>
      <c r="D40" s="167" t="n">
        <v>2154102</v>
      </c>
      <c r="E40" s="168" t="n">
        <v>45337</v>
      </c>
      <c r="F40" s="169" t="s">
        <v>45</v>
      </c>
      <c r="G40" s="170" t="n">
        <v>45338</v>
      </c>
      <c r="H40" s="171"/>
      <c r="I40" s="172"/>
      <c r="J40" s="172"/>
      <c r="K40" s="172"/>
      <c r="L40" s="172"/>
      <c r="M40" s="171"/>
      <c r="N40" s="172"/>
      <c r="O40" s="171"/>
      <c r="P40" s="173"/>
      <c r="Q40" s="174"/>
      <c r="R40" s="171" t="n">
        <v>65</v>
      </c>
      <c r="S40" s="174" t="n">
        <v>12.5</v>
      </c>
      <c r="T40" s="175" t="n">
        <v>5.53</v>
      </c>
      <c r="U40" s="176" t="n">
        <f aca="false">SUM(H40:T40)</f>
        <v>83.03</v>
      </c>
      <c r="V40" s="177" t="s">
        <v>46</v>
      </c>
      <c r="W40" s="178" t="s">
        <v>43</v>
      </c>
      <c r="X40" s="105" t="s">
        <v>48</v>
      </c>
      <c r="Y40" s="179"/>
      <c r="Z40" s="180"/>
    </row>
    <row r="41" s="9" customFormat="true" ht="14.1" hidden="false" customHeight="true" outlineLevel="0" collapsed="false">
      <c r="A41" s="95" t="s">
        <v>43</v>
      </c>
      <c r="B41" s="2" t="s">
        <v>175</v>
      </c>
      <c r="C41" s="3"/>
      <c r="D41" s="96" t="n">
        <v>3194907</v>
      </c>
      <c r="E41" s="97" t="n">
        <v>45370</v>
      </c>
      <c r="F41" s="98" t="s">
        <v>45</v>
      </c>
      <c r="G41" s="5" t="n">
        <v>45370</v>
      </c>
      <c r="H41" s="100"/>
      <c r="I41" s="101"/>
      <c r="J41" s="101"/>
      <c r="K41" s="101"/>
      <c r="L41" s="101"/>
      <c r="M41" s="100"/>
      <c r="N41" s="101"/>
      <c r="O41" s="100"/>
      <c r="P41" s="6"/>
      <c r="Q41" s="102"/>
      <c r="R41" s="100" t="n">
        <v>110</v>
      </c>
      <c r="S41" s="102" t="n">
        <v>25</v>
      </c>
      <c r="T41" s="103" t="n">
        <v>10.12</v>
      </c>
      <c r="U41" s="90" t="n">
        <f aca="false">SUM(H41:T41)</f>
        <v>145.12</v>
      </c>
      <c r="V41" s="104" t="s">
        <v>46</v>
      </c>
      <c r="W41" s="9" t="s">
        <v>43</v>
      </c>
      <c r="X41" s="105" t="s">
        <v>48</v>
      </c>
      <c r="Y41" s="179"/>
      <c r="Z41" s="180"/>
    </row>
    <row r="42" s="9" customFormat="true" ht="14.1" hidden="false" customHeight="true" outlineLevel="0" collapsed="false">
      <c r="A42" s="164" t="s">
        <v>43</v>
      </c>
      <c r="B42" s="165" t="s">
        <v>176</v>
      </c>
      <c r="C42" s="166"/>
      <c r="D42" s="167" t="n">
        <v>2224101</v>
      </c>
      <c r="E42" s="168" t="n">
        <v>45343</v>
      </c>
      <c r="F42" s="169" t="s">
        <v>45</v>
      </c>
      <c r="G42" s="170" t="n">
        <v>45343</v>
      </c>
      <c r="H42" s="171"/>
      <c r="I42" s="172"/>
      <c r="J42" s="172"/>
      <c r="K42" s="172"/>
      <c r="L42" s="172"/>
      <c r="M42" s="171"/>
      <c r="N42" s="172"/>
      <c r="O42" s="171"/>
      <c r="P42" s="173"/>
      <c r="Q42" s="174"/>
      <c r="R42" s="171" t="n">
        <v>110</v>
      </c>
      <c r="S42" s="174" t="n">
        <v>25</v>
      </c>
      <c r="T42" s="175" t="n">
        <v>10.12</v>
      </c>
      <c r="U42" s="176" t="n">
        <f aca="false">SUM(H42:T42)</f>
        <v>145.12</v>
      </c>
      <c r="V42" s="177" t="s">
        <v>46</v>
      </c>
      <c r="W42" s="178" t="s">
        <v>70</v>
      </c>
      <c r="X42" s="105" t="s">
        <v>48</v>
      </c>
      <c r="Y42" s="179"/>
      <c r="Z42" s="180"/>
    </row>
    <row r="43" s="9" customFormat="true" ht="14.1" hidden="false" customHeight="true" outlineLevel="0" collapsed="false">
      <c r="A43" s="164" t="s">
        <v>43</v>
      </c>
      <c r="B43" s="165" t="s">
        <v>177</v>
      </c>
      <c r="C43" s="166"/>
      <c r="D43" s="167" t="n">
        <v>2294101</v>
      </c>
      <c r="E43" s="168" t="n">
        <v>45351</v>
      </c>
      <c r="F43" s="169" t="s">
        <v>45</v>
      </c>
      <c r="G43" s="170" t="n">
        <v>45351</v>
      </c>
      <c r="H43" s="171"/>
      <c r="I43" s="172"/>
      <c r="J43" s="172"/>
      <c r="K43" s="172"/>
      <c r="L43" s="172"/>
      <c r="M43" s="171"/>
      <c r="N43" s="172"/>
      <c r="O43" s="171"/>
      <c r="P43" s="173"/>
      <c r="Q43" s="174"/>
      <c r="R43" s="171" t="n">
        <v>110</v>
      </c>
      <c r="S43" s="174" t="n">
        <v>25</v>
      </c>
      <c r="T43" s="175" t="n">
        <v>9.08</v>
      </c>
      <c r="U43" s="176" t="n">
        <f aca="false">SUM(H43:T43)</f>
        <v>144.08</v>
      </c>
      <c r="V43" s="177" t="s">
        <v>46</v>
      </c>
      <c r="W43" s="178" t="s">
        <v>43</v>
      </c>
      <c r="X43" s="105" t="s">
        <v>48</v>
      </c>
      <c r="Y43" s="179"/>
      <c r="Z43" s="180"/>
    </row>
    <row r="44" s="9" customFormat="true" ht="14.1" hidden="false" customHeight="true" outlineLevel="0" collapsed="false">
      <c r="A44" s="164" t="s">
        <v>43</v>
      </c>
      <c r="B44" s="165" t="s">
        <v>178</v>
      </c>
      <c r="C44" s="166"/>
      <c r="D44" s="167" t="n">
        <v>2074101</v>
      </c>
      <c r="E44" s="168" t="n">
        <v>45329</v>
      </c>
      <c r="F44" s="169" t="s">
        <v>45</v>
      </c>
      <c r="G44" s="170" t="n">
        <v>45330</v>
      </c>
      <c r="H44" s="171"/>
      <c r="I44" s="172"/>
      <c r="J44" s="172"/>
      <c r="K44" s="172"/>
      <c r="L44" s="172"/>
      <c r="M44" s="171"/>
      <c r="N44" s="172"/>
      <c r="O44" s="171"/>
      <c r="P44" s="173"/>
      <c r="Q44" s="174"/>
      <c r="R44" s="171" t="n">
        <v>175</v>
      </c>
      <c r="S44" s="174" t="n">
        <v>37.5</v>
      </c>
      <c r="T44" s="175" t="n">
        <v>15.09</v>
      </c>
      <c r="U44" s="176" t="n">
        <f aca="false">SUM(H44:T44)</f>
        <v>227.59</v>
      </c>
      <c r="V44" s="177" t="s">
        <v>179</v>
      </c>
      <c r="W44" s="178" t="s">
        <v>43</v>
      </c>
      <c r="X44" s="105" t="s">
        <v>48</v>
      </c>
      <c r="Y44" s="179"/>
      <c r="Z44" s="180"/>
    </row>
    <row r="45" s="9" customFormat="true" ht="14.1" hidden="false" customHeight="true" outlineLevel="0" collapsed="false">
      <c r="A45" s="95" t="s">
        <v>170</v>
      </c>
      <c r="B45" s="2" t="s">
        <v>180</v>
      </c>
      <c r="C45" s="3"/>
      <c r="D45" s="96" t="n">
        <v>3204062</v>
      </c>
      <c r="E45" s="97" t="n">
        <v>45371</v>
      </c>
      <c r="F45" s="98" t="s">
        <v>45</v>
      </c>
      <c r="G45" s="5" t="n">
        <v>45371</v>
      </c>
      <c r="H45" s="100"/>
      <c r="I45" s="101"/>
      <c r="J45" s="101"/>
      <c r="K45" s="101"/>
      <c r="L45" s="101"/>
      <c r="M45" s="100"/>
      <c r="N45" s="101"/>
      <c r="O45" s="100"/>
      <c r="P45" s="6"/>
      <c r="Q45" s="102"/>
      <c r="R45" s="100" t="n">
        <v>165</v>
      </c>
      <c r="S45" s="102" t="n">
        <v>15</v>
      </c>
      <c r="T45" s="103" t="n">
        <v>14.23</v>
      </c>
      <c r="U45" s="90" t="n">
        <f aca="false">SUM(H45:T45)</f>
        <v>194.23</v>
      </c>
      <c r="V45" s="104" t="s">
        <v>77</v>
      </c>
      <c r="W45" s="9" t="s">
        <v>181</v>
      </c>
      <c r="X45" s="105" t="s">
        <v>48</v>
      </c>
      <c r="Y45" s="179"/>
      <c r="Z45" s="180"/>
    </row>
    <row r="46" s="9" customFormat="true" ht="14.1" hidden="false" customHeight="true" outlineLevel="0" collapsed="false">
      <c r="A46" s="95" t="s">
        <v>43</v>
      </c>
      <c r="B46" s="2" t="s">
        <v>182</v>
      </c>
      <c r="C46" s="3"/>
      <c r="D46" s="96" t="n">
        <v>3114101</v>
      </c>
      <c r="E46" s="97" t="n">
        <v>45362</v>
      </c>
      <c r="F46" s="98" t="s">
        <v>45</v>
      </c>
      <c r="G46" s="5" t="n">
        <v>45362</v>
      </c>
      <c r="H46" s="100"/>
      <c r="I46" s="101"/>
      <c r="J46" s="101"/>
      <c r="K46" s="101"/>
      <c r="L46" s="101"/>
      <c r="M46" s="100"/>
      <c r="N46" s="101"/>
      <c r="O46" s="100"/>
      <c r="P46" s="6"/>
      <c r="Q46" s="102"/>
      <c r="R46" s="100" t="n">
        <v>195</v>
      </c>
      <c r="S46" s="102" t="n">
        <v>12.5</v>
      </c>
      <c r="T46" s="103" t="n">
        <v>18.04</v>
      </c>
      <c r="U46" s="90" t="n">
        <f aca="false">SUM(H46:T46)</f>
        <v>225.54</v>
      </c>
      <c r="V46" s="104" t="s">
        <v>46</v>
      </c>
      <c r="W46" s="9" t="s">
        <v>43</v>
      </c>
      <c r="X46" s="105" t="s">
        <v>48</v>
      </c>
      <c r="Y46" s="179"/>
      <c r="Z46" s="180"/>
    </row>
    <row r="47" s="9" customFormat="true" ht="14.1" hidden="false" customHeight="true" outlineLevel="0" collapsed="false">
      <c r="A47" s="95" t="s">
        <v>43</v>
      </c>
      <c r="B47" s="2" t="s">
        <v>183</v>
      </c>
      <c r="C47" s="3"/>
      <c r="D47" s="96" t="n">
        <v>3184103</v>
      </c>
      <c r="E47" s="97" t="n">
        <v>45369</v>
      </c>
      <c r="F47" s="98" t="s">
        <v>45</v>
      </c>
      <c r="G47" s="5" t="n">
        <v>45369</v>
      </c>
      <c r="H47" s="100"/>
      <c r="I47" s="101"/>
      <c r="J47" s="101"/>
      <c r="K47" s="101"/>
      <c r="L47" s="101"/>
      <c r="M47" s="100"/>
      <c r="N47" s="101"/>
      <c r="O47" s="100"/>
      <c r="P47" s="6"/>
      <c r="Q47" s="102"/>
      <c r="R47" s="100" t="n">
        <v>97.5</v>
      </c>
      <c r="S47" s="102" t="n">
        <v>12.5</v>
      </c>
      <c r="T47" s="103" t="n">
        <v>7.56</v>
      </c>
      <c r="U47" s="90" t="n">
        <f aca="false">SUM(H47:T47)</f>
        <v>117.56</v>
      </c>
      <c r="V47" s="104" t="s">
        <v>46</v>
      </c>
      <c r="W47" s="9" t="s">
        <v>70</v>
      </c>
      <c r="X47" s="105" t="s">
        <v>48</v>
      </c>
      <c r="Y47" s="179"/>
      <c r="Z47" s="180"/>
    </row>
    <row r="48" s="9" customFormat="true" ht="14.1" hidden="false" customHeight="true" outlineLevel="0" collapsed="false">
      <c r="A48" s="181" t="s">
        <v>43</v>
      </c>
      <c r="B48" s="182" t="s">
        <v>98</v>
      </c>
      <c r="C48" s="183"/>
      <c r="D48" s="184" t="n">
        <v>7273103</v>
      </c>
      <c r="E48" s="185" t="n">
        <v>45134</v>
      </c>
      <c r="F48" s="186" t="s">
        <v>45</v>
      </c>
      <c r="G48" s="187" t="n">
        <v>45135</v>
      </c>
      <c r="H48" s="188"/>
      <c r="I48" s="189"/>
      <c r="J48" s="189"/>
      <c r="K48" s="189"/>
      <c r="L48" s="189"/>
      <c r="M48" s="188"/>
      <c r="N48" s="189"/>
      <c r="O48" s="188"/>
      <c r="P48" s="190"/>
      <c r="Q48" s="191"/>
      <c r="R48" s="188" t="n">
        <v>39</v>
      </c>
      <c r="S48" s="191" t="n">
        <v>12.5</v>
      </c>
      <c r="T48" s="192" t="n">
        <v>3.36</v>
      </c>
      <c r="U48" s="193" t="n">
        <f aca="false">SUM(H48:T48)</f>
        <v>54.86</v>
      </c>
      <c r="V48" s="194" t="s">
        <v>46</v>
      </c>
      <c r="W48" s="195" t="s">
        <v>70</v>
      </c>
      <c r="X48" s="105" t="s">
        <v>48</v>
      </c>
      <c r="Y48" s="196"/>
      <c r="Z48" s="49"/>
    </row>
    <row r="49" s="9" customFormat="true" ht="14.1" hidden="false" customHeight="true" outlineLevel="0" collapsed="false">
      <c r="A49" s="181" t="s">
        <v>43</v>
      </c>
      <c r="B49" s="182" t="s">
        <v>101</v>
      </c>
      <c r="C49" s="183" t="s">
        <v>102</v>
      </c>
      <c r="D49" s="184" t="n">
        <v>12123106</v>
      </c>
      <c r="E49" s="185" t="n">
        <v>45272</v>
      </c>
      <c r="F49" s="186" t="s">
        <v>45</v>
      </c>
      <c r="G49" s="187" t="n">
        <v>45272</v>
      </c>
      <c r="H49" s="188"/>
      <c r="I49" s="189"/>
      <c r="J49" s="189"/>
      <c r="K49" s="189"/>
      <c r="L49" s="189"/>
      <c r="M49" s="188"/>
      <c r="N49" s="189"/>
      <c r="O49" s="188"/>
      <c r="P49" s="190"/>
      <c r="Q49" s="191"/>
      <c r="R49" s="188" t="n">
        <v>188</v>
      </c>
      <c r="S49" s="191" t="n">
        <v>37.5</v>
      </c>
      <c r="T49" s="192" t="n">
        <v>15.75</v>
      </c>
      <c r="U49" s="193" t="n">
        <f aca="false">SUM(H49:T49)</f>
        <v>241.25</v>
      </c>
      <c r="V49" s="194" t="s">
        <v>46</v>
      </c>
      <c r="W49" s="195" t="s">
        <v>43</v>
      </c>
      <c r="X49" s="105" t="s">
        <v>48</v>
      </c>
      <c r="Y49" s="196"/>
      <c r="Z49" s="49"/>
    </row>
    <row r="50" s="9" customFormat="true" ht="14.1" hidden="false" customHeight="true" outlineLevel="0" collapsed="false">
      <c r="A50" s="261" t="s">
        <v>43</v>
      </c>
      <c r="B50" s="262" t="s">
        <v>101</v>
      </c>
      <c r="C50" s="263" t="s">
        <v>102</v>
      </c>
      <c r="D50" s="263" t="n">
        <v>1294104</v>
      </c>
      <c r="E50" s="264" t="n">
        <v>45320</v>
      </c>
      <c r="F50" s="265" t="s">
        <v>45</v>
      </c>
      <c r="G50" s="266" t="n">
        <v>45320</v>
      </c>
      <c r="H50" s="267"/>
      <c r="I50" s="267"/>
      <c r="J50" s="268"/>
      <c r="K50" s="268"/>
      <c r="L50" s="268"/>
      <c r="M50" s="267"/>
      <c r="N50" s="267"/>
      <c r="O50" s="267"/>
      <c r="P50" s="269"/>
      <c r="Q50" s="270"/>
      <c r="R50" s="267" t="n">
        <v>175</v>
      </c>
      <c r="S50" s="270" t="n">
        <v>37.5</v>
      </c>
      <c r="T50" s="271" t="n">
        <v>14.66</v>
      </c>
      <c r="U50" s="272" t="n">
        <f aca="false">SUM(H50:T50)</f>
        <v>227.16</v>
      </c>
      <c r="V50" s="273" t="s">
        <v>46</v>
      </c>
      <c r="W50" s="274" t="s">
        <v>43</v>
      </c>
      <c r="X50" s="27" t="s">
        <v>48</v>
      </c>
      <c r="Y50" s="246"/>
      <c r="Z50" s="49"/>
    </row>
    <row r="51" s="9" customFormat="true" ht="12.75" hidden="false" customHeight="true" outlineLevel="0" collapsed="false">
      <c r="A51" s="95" t="s">
        <v>43</v>
      </c>
      <c r="B51" s="2" t="s">
        <v>184</v>
      </c>
      <c r="C51" s="3"/>
      <c r="D51" s="96" t="n">
        <v>3284101</v>
      </c>
      <c r="E51" s="97" t="n">
        <v>45379</v>
      </c>
      <c r="F51" s="98" t="s">
        <v>45</v>
      </c>
      <c r="G51" s="5" t="n">
        <v>45380</v>
      </c>
      <c r="H51" s="100"/>
      <c r="I51" s="101"/>
      <c r="J51" s="101"/>
      <c r="K51" s="101"/>
      <c r="L51" s="101"/>
      <c r="M51" s="100"/>
      <c r="N51" s="101"/>
      <c r="O51" s="100"/>
      <c r="P51" s="6"/>
      <c r="Q51" s="102"/>
      <c r="R51" s="100" t="n">
        <v>165</v>
      </c>
      <c r="S51" s="102" t="n">
        <v>37.5</v>
      </c>
      <c r="T51" s="103" t="n">
        <v>12.79</v>
      </c>
      <c r="U51" s="90" t="n">
        <f aca="false">SUM(H51:T51)</f>
        <v>215.29</v>
      </c>
      <c r="V51" s="104" t="s">
        <v>46</v>
      </c>
      <c r="W51" s="9" t="s">
        <v>43</v>
      </c>
      <c r="X51" s="105" t="s">
        <v>48</v>
      </c>
      <c r="Y51" s="179"/>
      <c r="Z51" s="180"/>
    </row>
    <row r="52" s="9" customFormat="true" ht="12.75" hidden="false" customHeight="true" outlineLevel="0" collapsed="false">
      <c r="A52" s="95" t="s">
        <v>43</v>
      </c>
      <c r="B52" s="2" t="s">
        <v>185</v>
      </c>
      <c r="C52" s="3"/>
      <c r="D52" s="96" t="n">
        <v>3184107</v>
      </c>
      <c r="E52" s="97" t="n">
        <v>45369</v>
      </c>
      <c r="F52" s="98" t="s">
        <v>45</v>
      </c>
      <c r="G52" s="5" t="n">
        <v>45369</v>
      </c>
      <c r="H52" s="100"/>
      <c r="I52" s="101"/>
      <c r="J52" s="101"/>
      <c r="K52" s="101"/>
      <c r="L52" s="101"/>
      <c r="M52" s="100"/>
      <c r="N52" s="101"/>
      <c r="O52" s="100"/>
      <c r="P52" s="6"/>
      <c r="Q52" s="102"/>
      <c r="R52" s="100" t="n">
        <v>149</v>
      </c>
      <c r="S52" s="102" t="n">
        <v>25</v>
      </c>
      <c r="T52" s="103" t="n">
        <v>13.78</v>
      </c>
      <c r="U52" s="90" t="n">
        <f aca="false">SUM(H52:T52)</f>
        <v>187.78</v>
      </c>
      <c r="V52" s="104" t="s">
        <v>46</v>
      </c>
      <c r="W52" s="9" t="s">
        <v>43</v>
      </c>
      <c r="X52" s="105" t="s">
        <v>48</v>
      </c>
      <c r="Y52" s="179"/>
      <c r="Z52" s="180"/>
    </row>
    <row r="53" s="9" customFormat="true" ht="14.1" hidden="false" customHeight="true" outlineLevel="0" collapsed="false">
      <c r="A53" s="95" t="s">
        <v>43</v>
      </c>
      <c r="B53" s="2" t="s">
        <v>186</v>
      </c>
      <c r="C53" s="3" t="s">
        <v>187</v>
      </c>
      <c r="D53" s="96" t="n">
        <v>3014106</v>
      </c>
      <c r="E53" s="97" t="n">
        <v>45352</v>
      </c>
      <c r="F53" s="98" t="s">
        <v>45</v>
      </c>
      <c r="G53" s="5" t="n">
        <v>45352</v>
      </c>
      <c r="H53" s="100"/>
      <c r="I53" s="101"/>
      <c r="J53" s="101"/>
      <c r="K53" s="101"/>
      <c r="L53" s="101"/>
      <c r="M53" s="100"/>
      <c r="N53" s="101"/>
      <c r="O53" s="100"/>
      <c r="P53" s="6"/>
      <c r="Q53" s="102"/>
      <c r="R53" s="100" t="n">
        <v>45</v>
      </c>
      <c r="S53" s="102"/>
      <c r="T53" s="103" t="n">
        <v>4.16</v>
      </c>
      <c r="U53" s="90" t="n">
        <f aca="false">SUM(H53:T53)</f>
        <v>49.16</v>
      </c>
      <c r="V53" s="104" t="s">
        <v>53</v>
      </c>
      <c r="W53" s="9" t="s">
        <v>188</v>
      </c>
      <c r="X53" s="105" t="s">
        <v>48</v>
      </c>
      <c r="Y53" s="179"/>
      <c r="Z53" s="180"/>
    </row>
    <row r="54" s="9" customFormat="true" ht="14.1" hidden="false" customHeight="true" outlineLevel="0" collapsed="false">
      <c r="A54" s="95" t="s">
        <v>43</v>
      </c>
      <c r="B54" s="2" t="s">
        <v>186</v>
      </c>
      <c r="C54" s="3" t="s">
        <v>187</v>
      </c>
      <c r="D54" s="96" t="n">
        <v>3064103</v>
      </c>
      <c r="E54" s="97" t="n">
        <v>45357</v>
      </c>
      <c r="F54" s="98" t="s">
        <v>45</v>
      </c>
      <c r="G54" s="5" t="n">
        <v>45357</v>
      </c>
      <c r="H54" s="100"/>
      <c r="I54" s="101"/>
      <c r="J54" s="101"/>
      <c r="K54" s="101"/>
      <c r="L54" s="101"/>
      <c r="M54" s="100"/>
      <c r="N54" s="101"/>
      <c r="O54" s="100"/>
      <c r="P54" s="6"/>
      <c r="Q54" s="102"/>
      <c r="R54" s="100" t="n">
        <v>445</v>
      </c>
      <c r="S54" s="102"/>
      <c r="T54" s="103" t="n">
        <v>41.16</v>
      </c>
      <c r="U54" s="90" t="n">
        <f aca="false">SUM(H54:T54)</f>
        <v>486.16</v>
      </c>
      <c r="V54" s="104" t="s">
        <v>53</v>
      </c>
      <c r="W54" s="9" t="s">
        <v>189</v>
      </c>
      <c r="X54" s="105" t="s">
        <v>48</v>
      </c>
      <c r="Y54" s="179"/>
      <c r="Z54" s="180"/>
    </row>
    <row r="55" s="9" customFormat="true" ht="14.1" hidden="false" customHeight="true" outlineLevel="0" collapsed="false">
      <c r="A55" s="95" t="s">
        <v>43</v>
      </c>
      <c r="B55" s="2" t="s">
        <v>190</v>
      </c>
      <c r="C55" s="3"/>
      <c r="D55" s="96" t="n">
        <v>3214105</v>
      </c>
      <c r="E55" s="97" t="n">
        <v>45373</v>
      </c>
      <c r="F55" s="98" t="s">
        <v>45</v>
      </c>
      <c r="G55" s="5" t="n">
        <v>45373</v>
      </c>
      <c r="H55" s="100"/>
      <c r="I55" s="101"/>
      <c r="J55" s="101"/>
      <c r="K55" s="101"/>
      <c r="L55" s="101"/>
      <c r="M55" s="100"/>
      <c r="N55" s="101"/>
      <c r="O55" s="100"/>
      <c r="P55" s="6"/>
      <c r="Q55" s="102"/>
      <c r="R55" s="100" t="n">
        <v>477</v>
      </c>
      <c r="S55" s="102" t="n">
        <v>87.5</v>
      </c>
      <c r="T55" s="103" t="n">
        <v>41.14</v>
      </c>
      <c r="U55" s="90" t="n">
        <f aca="false">SUM(H55:T55)</f>
        <v>605.64</v>
      </c>
      <c r="V55" s="104" t="s">
        <v>46</v>
      </c>
      <c r="W55" s="9" t="s">
        <v>43</v>
      </c>
      <c r="X55" s="105" t="s">
        <v>48</v>
      </c>
      <c r="Y55" s="179"/>
      <c r="Z55" s="180"/>
    </row>
    <row r="56" s="9" customFormat="true" ht="14.1" hidden="false" customHeight="true" outlineLevel="0" collapsed="false">
      <c r="A56" s="95" t="s">
        <v>43</v>
      </c>
      <c r="B56" s="2" t="s">
        <v>104</v>
      </c>
      <c r="C56" s="3"/>
      <c r="D56" s="96" t="n">
        <v>3154106</v>
      </c>
      <c r="E56" s="97" t="n">
        <v>45366</v>
      </c>
      <c r="F56" s="98" t="s">
        <v>45</v>
      </c>
      <c r="G56" s="5" t="n">
        <v>45366</v>
      </c>
      <c r="H56" s="100"/>
      <c r="I56" s="101"/>
      <c r="J56" s="101"/>
      <c r="K56" s="101"/>
      <c r="L56" s="101"/>
      <c r="M56" s="100"/>
      <c r="N56" s="101"/>
      <c r="O56" s="100"/>
      <c r="P56" s="6"/>
      <c r="Q56" s="102"/>
      <c r="R56" s="100" t="n">
        <v>355</v>
      </c>
      <c r="S56" s="102" t="n">
        <v>67.5</v>
      </c>
      <c r="T56" s="103" t="n">
        <v>30.62</v>
      </c>
      <c r="U56" s="90" t="n">
        <f aca="false">SUM(H56:T56)</f>
        <v>453.12</v>
      </c>
      <c r="V56" s="104" t="s">
        <v>46</v>
      </c>
      <c r="W56" s="9" t="s">
        <v>43</v>
      </c>
      <c r="X56" s="105" t="s">
        <v>48</v>
      </c>
      <c r="Y56" s="179"/>
      <c r="Z56" s="180"/>
    </row>
    <row r="57" s="9" customFormat="true" ht="14.1" hidden="false" customHeight="true" outlineLevel="0" collapsed="false">
      <c r="A57" s="181" t="s">
        <v>43</v>
      </c>
      <c r="B57" s="182" t="s">
        <v>106</v>
      </c>
      <c r="C57" s="183"/>
      <c r="D57" s="184" t="n">
        <v>9013106</v>
      </c>
      <c r="E57" s="185" t="n">
        <v>45170</v>
      </c>
      <c r="F57" s="186" t="s">
        <v>45</v>
      </c>
      <c r="G57" s="187" t="n">
        <v>45174</v>
      </c>
      <c r="H57" s="188"/>
      <c r="I57" s="189"/>
      <c r="J57" s="189"/>
      <c r="K57" s="189"/>
      <c r="L57" s="189"/>
      <c r="M57" s="188"/>
      <c r="N57" s="189"/>
      <c r="O57" s="188"/>
      <c r="P57" s="190"/>
      <c r="Q57" s="191"/>
      <c r="R57" s="188" t="n">
        <v>135</v>
      </c>
      <c r="S57" s="191" t="n">
        <v>25</v>
      </c>
      <c r="T57" s="192" t="n">
        <v>12.99</v>
      </c>
      <c r="U57" s="193" t="n">
        <f aca="false">SUM(H57:T57)</f>
        <v>172.99</v>
      </c>
      <c r="V57" s="194" t="s">
        <v>58</v>
      </c>
      <c r="W57" s="195" t="s">
        <v>93</v>
      </c>
      <c r="X57" s="105" t="s">
        <v>48</v>
      </c>
      <c r="Y57" s="196"/>
      <c r="Z57" s="49"/>
    </row>
    <row r="58" s="9" customFormat="true" ht="14.1" hidden="false" customHeight="true" outlineLevel="0" collapsed="false">
      <c r="A58" s="198" t="s">
        <v>43</v>
      </c>
      <c r="B58" s="199" t="s">
        <v>108</v>
      </c>
      <c r="C58" s="200"/>
      <c r="D58" s="201" t="n">
        <v>1194105</v>
      </c>
      <c r="E58" s="202" t="n">
        <v>45310</v>
      </c>
      <c r="F58" s="203" t="s">
        <v>109</v>
      </c>
      <c r="G58" s="204" t="n">
        <v>45317</v>
      </c>
      <c r="H58" s="205"/>
      <c r="I58" s="206"/>
      <c r="J58" s="206"/>
      <c r="K58" s="206"/>
      <c r="L58" s="206"/>
      <c r="M58" s="205"/>
      <c r="N58" s="206"/>
      <c r="O58" s="205" t="n">
        <v>95</v>
      </c>
      <c r="P58" s="207"/>
      <c r="Q58" s="208"/>
      <c r="R58" s="205"/>
      <c r="S58" s="208" t="n">
        <v>12.5</v>
      </c>
      <c r="T58" s="209" t="n">
        <v>9.26</v>
      </c>
      <c r="U58" s="210" t="n">
        <f aca="false">SUM(H58:T58)</f>
        <v>116.76</v>
      </c>
      <c r="V58" s="211" t="s">
        <v>46</v>
      </c>
      <c r="W58" s="212" t="s">
        <v>70</v>
      </c>
      <c r="X58" s="105" t="s">
        <v>48</v>
      </c>
      <c r="Y58" s="196"/>
      <c r="Z58" s="49"/>
    </row>
    <row r="59" s="9" customFormat="true" ht="14.1" hidden="false" customHeight="true" outlineLevel="0" collapsed="false">
      <c r="A59" s="181" t="s">
        <v>43</v>
      </c>
      <c r="B59" s="182" t="s">
        <v>110</v>
      </c>
      <c r="C59" s="183"/>
      <c r="D59" s="184" t="n">
        <v>6263103</v>
      </c>
      <c r="E59" s="185" t="n">
        <v>45103</v>
      </c>
      <c r="F59" s="186" t="s">
        <v>45</v>
      </c>
      <c r="G59" s="187" t="n">
        <v>45103</v>
      </c>
      <c r="H59" s="188"/>
      <c r="I59" s="189"/>
      <c r="J59" s="189"/>
      <c r="K59" s="189"/>
      <c r="L59" s="189"/>
      <c r="M59" s="188"/>
      <c r="N59" s="189"/>
      <c r="O59" s="188"/>
      <c r="P59" s="190"/>
      <c r="Q59" s="191"/>
      <c r="R59" s="188" t="n">
        <v>204</v>
      </c>
      <c r="S59" s="191" t="n">
        <v>50</v>
      </c>
      <c r="T59" s="192" t="n">
        <v>18.36</v>
      </c>
      <c r="U59" s="193" t="n">
        <f aca="false">SUM(H59:T59)</f>
        <v>272.36</v>
      </c>
      <c r="V59" s="194" t="s">
        <v>46</v>
      </c>
      <c r="W59" s="195" t="s">
        <v>47</v>
      </c>
      <c r="X59" s="105" t="s">
        <v>48</v>
      </c>
      <c r="Y59" s="196"/>
      <c r="Z59" s="49"/>
    </row>
    <row r="60" s="9" customFormat="true" ht="14.1" hidden="false" customHeight="true" outlineLevel="0" collapsed="false">
      <c r="A60" s="95" t="s">
        <v>43</v>
      </c>
      <c r="B60" s="2" t="s">
        <v>113</v>
      </c>
      <c r="C60" s="3"/>
      <c r="D60" s="96" t="n">
        <v>3114110</v>
      </c>
      <c r="E60" s="97" t="n">
        <v>45362</v>
      </c>
      <c r="F60" s="98" t="s">
        <v>45</v>
      </c>
      <c r="G60" s="5" t="n">
        <v>45363</v>
      </c>
      <c r="H60" s="100"/>
      <c r="I60" s="101"/>
      <c r="J60" s="101"/>
      <c r="K60" s="101"/>
      <c r="L60" s="101"/>
      <c r="M60" s="100"/>
      <c r="N60" s="101"/>
      <c r="O60" s="100"/>
      <c r="P60" s="6"/>
      <c r="Q60" s="102"/>
      <c r="R60" s="100" t="n">
        <v>39</v>
      </c>
      <c r="S60" s="102" t="n">
        <v>12.5</v>
      </c>
      <c r="T60" s="103" t="n">
        <v>3.32</v>
      </c>
      <c r="U60" s="90" t="n">
        <f aca="false">SUM(H60:T60)</f>
        <v>54.82</v>
      </c>
      <c r="V60" s="104" t="s">
        <v>46</v>
      </c>
      <c r="W60" s="9" t="s">
        <v>43</v>
      </c>
      <c r="X60" s="105" t="s">
        <v>48</v>
      </c>
      <c r="Y60" s="179"/>
      <c r="Z60" s="180"/>
    </row>
    <row r="61" s="9" customFormat="true" ht="14.1" hidden="false" customHeight="true" outlineLevel="0" collapsed="false">
      <c r="A61" s="95" t="s">
        <v>43</v>
      </c>
      <c r="B61" s="2" t="s">
        <v>113</v>
      </c>
      <c r="C61" s="3"/>
      <c r="D61" s="96" t="n">
        <v>3134102</v>
      </c>
      <c r="E61" s="97" t="n">
        <v>45364</v>
      </c>
      <c r="F61" s="98" t="s">
        <v>45</v>
      </c>
      <c r="G61" s="5" t="n">
        <v>45364</v>
      </c>
      <c r="H61" s="100"/>
      <c r="I61" s="101"/>
      <c r="J61" s="101"/>
      <c r="K61" s="101"/>
      <c r="L61" s="101"/>
      <c r="M61" s="100"/>
      <c r="N61" s="101"/>
      <c r="O61" s="100"/>
      <c r="P61" s="6"/>
      <c r="Q61" s="102"/>
      <c r="R61" s="100" t="n">
        <v>39</v>
      </c>
      <c r="S61" s="102" t="n">
        <v>12.5</v>
      </c>
      <c r="T61" s="103" t="n">
        <v>3.32</v>
      </c>
      <c r="U61" s="90" t="n">
        <f aca="false">SUM(H61:T61)</f>
        <v>54.82</v>
      </c>
      <c r="V61" s="104" t="s">
        <v>46</v>
      </c>
      <c r="W61" s="9" t="s">
        <v>43</v>
      </c>
      <c r="X61" s="105" t="s">
        <v>48</v>
      </c>
      <c r="Y61" s="179"/>
      <c r="Z61" s="180"/>
    </row>
    <row r="62" s="9" customFormat="true" ht="14.1" hidden="false" customHeight="true" outlineLevel="0" collapsed="false">
      <c r="A62" s="181" t="s">
        <v>43</v>
      </c>
      <c r="B62" s="182" t="s">
        <v>114</v>
      </c>
      <c r="C62" s="183"/>
      <c r="D62" s="184" t="n">
        <v>12193106</v>
      </c>
      <c r="E62" s="185" t="n">
        <v>45279</v>
      </c>
      <c r="F62" s="186" t="s">
        <v>45</v>
      </c>
      <c r="G62" s="187" t="n">
        <v>45279</v>
      </c>
      <c r="H62" s="188"/>
      <c r="I62" s="189"/>
      <c r="J62" s="189"/>
      <c r="K62" s="189"/>
      <c r="L62" s="189"/>
      <c r="M62" s="188"/>
      <c r="N62" s="189"/>
      <c r="O62" s="188"/>
      <c r="P62" s="190"/>
      <c r="Q62" s="191"/>
      <c r="R62" s="188" t="n">
        <v>195</v>
      </c>
      <c r="S62" s="191" t="n">
        <v>37.5</v>
      </c>
      <c r="T62" s="192" t="n">
        <v>19.99</v>
      </c>
      <c r="U62" s="193" t="n">
        <f aca="false">SUM(H62:T62)</f>
        <v>252.49</v>
      </c>
      <c r="V62" s="194" t="s">
        <v>46</v>
      </c>
      <c r="W62" s="195" t="s">
        <v>47</v>
      </c>
      <c r="X62" s="105" t="s">
        <v>48</v>
      </c>
      <c r="Y62" s="196"/>
      <c r="Z62" s="49"/>
    </row>
    <row r="63" s="9" customFormat="true" ht="14.1" hidden="false" customHeight="true" outlineLevel="0" collapsed="false">
      <c r="A63" s="164" t="s">
        <v>43</v>
      </c>
      <c r="B63" s="165" t="s">
        <v>191</v>
      </c>
      <c r="C63" s="166"/>
      <c r="D63" s="167" t="n">
        <v>2284105</v>
      </c>
      <c r="E63" s="168" t="n">
        <v>45350</v>
      </c>
      <c r="F63" s="169" t="s">
        <v>45</v>
      </c>
      <c r="G63" s="170" t="n">
        <v>45350</v>
      </c>
      <c r="H63" s="171"/>
      <c r="I63" s="172"/>
      <c r="J63" s="172"/>
      <c r="K63" s="172"/>
      <c r="L63" s="172" t="n">
        <v>5</v>
      </c>
      <c r="M63" s="171"/>
      <c r="N63" s="172"/>
      <c r="O63" s="171"/>
      <c r="P63" s="173"/>
      <c r="Q63" s="174"/>
      <c r="R63" s="171" t="n">
        <v>123</v>
      </c>
      <c r="S63" s="174" t="n">
        <v>37.5</v>
      </c>
      <c r="T63" s="175" t="n">
        <v>11.69</v>
      </c>
      <c r="U63" s="176" t="n">
        <f aca="false">SUM(H63:T63)</f>
        <v>177.19</v>
      </c>
      <c r="V63" s="177" t="s">
        <v>46</v>
      </c>
      <c r="W63" s="178" t="s">
        <v>43</v>
      </c>
      <c r="X63" s="105" t="s">
        <v>48</v>
      </c>
      <c r="Y63" s="179"/>
      <c r="Z63" s="180"/>
    </row>
    <row r="64" s="9" customFormat="true" ht="14.1" hidden="false" customHeight="true" outlineLevel="0" collapsed="false">
      <c r="A64" s="164" t="s">
        <v>43</v>
      </c>
      <c r="B64" s="165" t="s">
        <v>192</v>
      </c>
      <c r="C64" s="166"/>
      <c r="D64" s="167" t="n">
        <v>2284102</v>
      </c>
      <c r="E64" s="168" t="n">
        <v>45350</v>
      </c>
      <c r="F64" s="169" t="s">
        <v>45</v>
      </c>
      <c r="G64" s="170" t="n">
        <v>45350</v>
      </c>
      <c r="H64" s="171"/>
      <c r="I64" s="172"/>
      <c r="J64" s="172"/>
      <c r="K64" s="172"/>
      <c r="L64" s="172"/>
      <c r="M64" s="171"/>
      <c r="N64" s="172"/>
      <c r="O64" s="171"/>
      <c r="P64" s="173"/>
      <c r="Q64" s="174"/>
      <c r="R64" s="171" t="n">
        <v>84</v>
      </c>
      <c r="S64" s="174" t="n">
        <v>25</v>
      </c>
      <c r="T64" s="175" t="n">
        <v>7.98</v>
      </c>
      <c r="U64" s="176" t="n">
        <f aca="false">SUM(H64:T64)</f>
        <v>116.98</v>
      </c>
      <c r="V64" s="177" t="s">
        <v>46</v>
      </c>
      <c r="W64" s="178" t="s">
        <v>43</v>
      </c>
      <c r="X64" s="105" t="s">
        <v>48</v>
      </c>
      <c r="Y64" s="179"/>
      <c r="Z64" s="180"/>
    </row>
    <row r="65" s="9" customFormat="true" ht="14.1" hidden="false" customHeight="true" outlineLevel="0" collapsed="false">
      <c r="A65" s="95" t="s">
        <v>43</v>
      </c>
      <c r="B65" s="2" t="s">
        <v>115</v>
      </c>
      <c r="C65" s="3"/>
      <c r="D65" s="96" t="n">
        <v>3214104</v>
      </c>
      <c r="E65" s="97" t="n">
        <v>45372</v>
      </c>
      <c r="F65" s="98" t="s">
        <v>45</v>
      </c>
      <c r="G65" s="5" t="n">
        <v>45372</v>
      </c>
      <c r="H65" s="100"/>
      <c r="I65" s="101"/>
      <c r="J65" s="101"/>
      <c r="K65" s="101"/>
      <c r="L65" s="101"/>
      <c r="M65" s="100"/>
      <c r="N65" s="101"/>
      <c r="O65" s="100"/>
      <c r="P65" s="6"/>
      <c r="Q65" s="102"/>
      <c r="R65" s="100" t="n">
        <v>818</v>
      </c>
      <c r="S65" s="102" t="n">
        <v>162.5</v>
      </c>
      <c r="T65" s="103" t="n">
        <v>75.67</v>
      </c>
      <c r="U65" s="90" t="n">
        <f aca="false">SUM(H65:T65)</f>
        <v>1056.17</v>
      </c>
      <c r="V65" s="104" t="s">
        <v>46</v>
      </c>
      <c r="W65" s="9" t="s">
        <v>43</v>
      </c>
      <c r="X65" s="105" t="s">
        <v>48</v>
      </c>
      <c r="Y65" s="179"/>
      <c r="Z65" s="180"/>
    </row>
    <row r="66" s="9" customFormat="true" ht="14.1" hidden="false" customHeight="true" outlineLevel="0" collapsed="false">
      <c r="A66" s="95" t="s">
        <v>43</v>
      </c>
      <c r="B66" s="2" t="s">
        <v>193</v>
      </c>
      <c r="C66" s="3"/>
      <c r="D66" s="96" t="n">
        <v>3154101</v>
      </c>
      <c r="E66" s="97" t="n">
        <v>45366</v>
      </c>
      <c r="F66" s="98" t="s">
        <v>45</v>
      </c>
      <c r="G66" s="5" t="n">
        <v>45366</v>
      </c>
      <c r="H66" s="100"/>
      <c r="I66" s="101"/>
      <c r="J66" s="101"/>
      <c r="K66" s="101"/>
      <c r="L66" s="101"/>
      <c r="M66" s="100"/>
      <c r="N66" s="101"/>
      <c r="O66" s="100"/>
      <c r="P66" s="6"/>
      <c r="Q66" s="102"/>
      <c r="R66" s="100" t="n">
        <v>129</v>
      </c>
      <c r="S66" s="102" t="n">
        <v>37.5</v>
      </c>
      <c r="T66" s="103" t="n">
        <v>10.64</v>
      </c>
      <c r="U66" s="90" t="n">
        <f aca="false">SUM(H66:T66)</f>
        <v>177.14</v>
      </c>
      <c r="V66" s="104" t="s">
        <v>46</v>
      </c>
      <c r="W66" s="9" t="s">
        <v>43</v>
      </c>
      <c r="X66" s="105" t="s">
        <v>48</v>
      </c>
      <c r="Y66" s="179"/>
      <c r="Z66" s="180"/>
    </row>
    <row r="67" s="9" customFormat="true" ht="14.1" hidden="false" customHeight="true" outlineLevel="0" collapsed="false">
      <c r="A67" s="95" t="s">
        <v>43</v>
      </c>
      <c r="B67" s="2" t="s">
        <v>117</v>
      </c>
      <c r="C67" s="3"/>
      <c r="D67" s="96" t="n">
        <v>3194101</v>
      </c>
      <c r="E67" s="97" t="n">
        <v>45370</v>
      </c>
      <c r="F67" s="98" t="s">
        <v>45</v>
      </c>
      <c r="G67" s="5" t="n">
        <v>45370</v>
      </c>
      <c r="H67" s="100"/>
      <c r="I67" s="101"/>
      <c r="J67" s="101"/>
      <c r="K67" s="101"/>
      <c r="L67" s="101"/>
      <c r="M67" s="100"/>
      <c r="N67" s="101"/>
      <c r="O67" s="100"/>
      <c r="P67" s="6"/>
      <c r="Q67" s="102"/>
      <c r="R67" s="100" t="n">
        <v>135</v>
      </c>
      <c r="S67" s="102"/>
      <c r="T67" s="103" t="n">
        <v>13.16</v>
      </c>
      <c r="U67" s="90" t="n">
        <f aca="false">SUM(H67:T67)</f>
        <v>148.16</v>
      </c>
      <c r="V67" s="104" t="s">
        <v>53</v>
      </c>
      <c r="W67" s="9" t="s">
        <v>118</v>
      </c>
      <c r="X67" s="105" t="s">
        <v>48</v>
      </c>
      <c r="Y67" s="179"/>
      <c r="Z67" s="180"/>
    </row>
    <row r="68" s="9" customFormat="true" ht="14.1" hidden="false" customHeight="true" outlineLevel="0" collapsed="false">
      <c r="A68" s="95" t="s">
        <v>43</v>
      </c>
      <c r="B68" s="2" t="s">
        <v>119</v>
      </c>
      <c r="C68" s="3"/>
      <c r="D68" s="96" t="n">
        <v>3144102</v>
      </c>
      <c r="E68" s="97" t="n">
        <v>45365</v>
      </c>
      <c r="F68" s="98" t="s">
        <v>45</v>
      </c>
      <c r="G68" s="5" t="n">
        <v>45365</v>
      </c>
      <c r="H68" s="100"/>
      <c r="I68" s="101"/>
      <c r="J68" s="101"/>
      <c r="K68" s="101"/>
      <c r="L68" s="101"/>
      <c r="M68" s="100"/>
      <c r="N68" s="101"/>
      <c r="O68" s="100"/>
      <c r="P68" s="6"/>
      <c r="Q68" s="102"/>
      <c r="R68" s="100" t="n">
        <v>330</v>
      </c>
      <c r="S68" s="102" t="n">
        <v>75</v>
      </c>
      <c r="T68" s="103" t="n">
        <v>28.48</v>
      </c>
      <c r="U68" s="90" t="n">
        <f aca="false">SUM(H68:T68)</f>
        <v>433.48</v>
      </c>
      <c r="V68" s="104" t="s">
        <v>46</v>
      </c>
      <c r="W68" s="9" t="s">
        <v>43</v>
      </c>
      <c r="X68" s="105" t="s">
        <v>48</v>
      </c>
      <c r="Y68" s="179"/>
      <c r="Z68" s="180"/>
    </row>
    <row r="69" s="9" customFormat="true" ht="14.1" hidden="false" customHeight="true" outlineLevel="0" collapsed="false">
      <c r="A69" s="164" t="s">
        <v>43</v>
      </c>
      <c r="B69" s="165" t="s">
        <v>120</v>
      </c>
      <c r="C69" s="166"/>
      <c r="D69" s="167" t="n">
        <v>2014105</v>
      </c>
      <c r="E69" s="168" t="n">
        <v>45323</v>
      </c>
      <c r="F69" s="169" t="s">
        <v>45</v>
      </c>
      <c r="G69" s="170" t="n">
        <v>45323</v>
      </c>
      <c r="H69" s="171"/>
      <c r="I69" s="172"/>
      <c r="J69" s="172"/>
      <c r="K69" s="172"/>
      <c r="L69" s="172"/>
      <c r="M69" s="171"/>
      <c r="N69" s="172"/>
      <c r="O69" s="171"/>
      <c r="P69" s="173"/>
      <c r="Q69" s="174"/>
      <c r="R69" s="171" t="n">
        <v>266</v>
      </c>
      <c r="S69" s="174" t="n">
        <v>37.5</v>
      </c>
      <c r="T69" s="175" t="n">
        <v>22.96</v>
      </c>
      <c r="U69" s="176" t="n">
        <f aca="false">SUM(H69:T69)</f>
        <v>326.46</v>
      </c>
      <c r="V69" s="177" t="s">
        <v>46</v>
      </c>
      <c r="W69" s="178" t="s">
        <v>43</v>
      </c>
      <c r="X69" s="105" t="s">
        <v>48</v>
      </c>
      <c r="Y69" s="179"/>
      <c r="Z69" s="180"/>
    </row>
    <row r="70" s="9" customFormat="true" ht="14.1" hidden="false" customHeight="true" outlineLevel="0" collapsed="false">
      <c r="A70" s="181" t="s">
        <v>43</v>
      </c>
      <c r="B70" s="182" t="s">
        <v>194</v>
      </c>
      <c r="C70" s="183"/>
      <c r="D70" s="184" t="n">
        <v>6233103</v>
      </c>
      <c r="E70" s="185" t="n">
        <v>45100</v>
      </c>
      <c r="F70" s="186" t="s">
        <v>45</v>
      </c>
      <c r="G70" s="187" t="n">
        <v>45100</v>
      </c>
      <c r="H70" s="188"/>
      <c r="I70" s="189"/>
      <c r="J70" s="189"/>
      <c r="K70" s="189"/>
      <c r="L70" s="189"/>
      <c r="M70" s="188"/>
      <c r="N70" s="189"/>
      <c r="O70" s="188"/>
      <c r="P70" s="190"/>
      <c r="Q70" s="191"/>
      <c r="R70" s="188" t="n">
        <v>110</v>
      </c>
      <c r="S70" s="191" t="n">
        <v>25</v>
      </c>
      <c r="T70" s="192" t="n">
        <v>9.35</v>
      </c>
      <c r="U70" s="193" t="n">
        <f aca="false">SUM(H70:T70)</f>
        <v>144.35</v>
      </c>
      <c r="V70" s="194" t="s">
        <v>46</v>
      </c>
      <c r="W70" s="195" t="s">
        <v>43</v>
      </c>
      <c r="X70" s="105" t="s">
        <v>48</v>
      </c>
      <c r="Y70" s="196"/>
      <c r="Z70" s="49"/>
    </row>
    <row r="71" s="9" customFormat="true" ht="14.1" hidden="false" customHeight="true" outlineLevel="0" collapsed="false">
      <c r="A71" s="95" t="s">
        <v>70</v>
      </c>
      <c r="B71" s="2" t="s">
        <v>195</v>
      </c>
      <c r="C71" s="3"/>
      <c r="D71" s="96" t="n">
        <v>3264102</v>
      </c>
      <c r="E71" s="97" t="n">
        <v>45377</v>
      </c>
      <c r="F71" s="98" t="s">
        <v>45</v>
      </c>
      <c r="G71" s="5" t="n">
        <v>45380</v>
      </c>
      <c r="H71" s="100"/>
      <c r="I71" s="101"/>
      <c r="J71" s="101"/>
      <c r="K71" s="101"/>
      <c r="L71" s="101"/>
      <c r="M71" s="100"/>
      <c r="N71" s="101"/>
      <c r="O71" s="100"/>
      <c r="P71" s="6" t="n">
        <v>300</v>
      </c>
      <c r="Q71" s="102"/>
      <c r="R71" s="100"/>
      <c r="S71" s="102"/>
      <c r="T71" s="103"/>
      <c r="U71" s="90" t="n">
        <f aca="false">SUM(H71:T71)</f>
        <v>300</v>
      </c>
      <c r="V71" s="104" t="s">
        <v>53</v>
      </c>
      <c r="W71" s="9" t="s">
        <v>196</v>
      </c>
      <c r="X71" s="105" t="s">
        <v>48</v>
      </c>
      <c r="Y71" s="179"/>
      <c r="Z71" s="180"/>
    </row>
    <row r="72" s="9" customFormat="true" ht="14.1" hidden="false" customHeight="true" outlineLevel="0" collapsed="false">
      <c r="A72" s="164" t="s">
        <v>43</v>
      </c>
      <c r="B72" s="165" t="s">
        <v>124</v>
      </c>
      <c r="C72" s="166"/>
      <c r="D72" s="167" t="n">
        <v>2124104</v>
      </c>
      <c r="E72" s="168" t="n">
        <v>45334</v>
      </c>
      <c r="F72" s="169" t="s">
        <v>45</v>
      </c>
      <c r="G72" s="170" t="n">
        <v>45334</v>
      </c>
      <c r="H72" s="171"/>
      <c r="I72" s="172"/>
      <c r="J72" s="172"/>
      <c r="K72" s="172"/>
      <c r="L72" s="172"/>
      <c r="M72" s="171"/>
      <c r="N72" s="172"/>
      <c r="O72" s="171"/>
      <c r="P72" s="173"/>
      <c r="Q72" s="174"/>
      <c r="R72" s="171" t="n">
        <v>55</v>
      </c>
      <c r="S72" s="174" t="n">
        <v>12.5</v>
      </c>
      <c r="T72" s="175" t="n">
        <v>4.75</v>
      </c>
      <c r="U72" s="176" t="n">
        <f aca="false">SUM(H72:T72)</f>
        <v>72.25</v>
      </c>
      <c r="V72" s="177" t="s">
        <v>46</v>
      </c>
      <c r="W72" s="178" t="s">
        <v>43</v>
      </c>
      <c r="X72" s="105" t="s">
        <v>48</v>
      </c>
      <c r="Y72" s="179"/>
      <c r="Z72" s="180"/>
    </row>
    <row r="73" s="9" customFormat="true" ht="14.1" hidden="false" customHeight="true" outlineLevel="0" collapsed="false">
      <c r="A73" s="95" t="s">
        <v>43</v>
      </c>
      <c r="B73" s="2" t="s">
        <v>197</v>
      </c>
      <c r="C73" s="3"/>
      <c r="D73" s="96" t="n">
        <v>3044102</v>
      </c>
      <c r="E73" s="97" t="n">
        <v>45355</v>
      </c>
      <c r="F73" s="98" t="s">
        <v>45</v>
      </c>
      <c r="G73" s="5" t="n">
        <v>45355</v>
      </c>
      <c r="H73" s="100"/>
      <c r="I73" s="101"/>
      <c r="J73" s="101"/>
      <c r="K73" s="101"/>
      <c r="L73" s="101"/>
      <c r="M73" s="100"/>
      <c r="N73" s="101"/>
      <c r="O73" s="100"/>
      <c r="P73" s="6"/>
      <c r="Q73" s="102"/>
      <c r="R73" s="100" t="n">
        <v>120</v>
      </c>
      <c r="S73" s="102" t="n">
        <v>25</v>
      </c>
      <c r="T73" s="103" t="n">
        <v>9.9</v>
      </c>
      <c r="U73" s="90" t="n">
        <f aca="false">SUM(H73:T73)</f>
        <v>154.9</v>
      </c>
      <c r="V73" s="104" t="s">
        <v>46</v>
      </c>
      <c r="W73" s="9" t="s">
        <v>70</v>
      </c>
      <c r="X73" s="105" t="s">
        <v>48</v>
      </c>
      <c r="Y73" s="179"/>
      <c r="Z73" s="180"/>
    </row>
    <row r="74" s="9" customFormat="true" ht="14.1" hidden="false" customHeight="true" outlineLevel="0" collapsed="false">
      <c r="A74" s="95" t="s">
        <v>43</v>
      </c>
      <c r="B74" s="2" t="s">
        <v>197</v>
      </c>
      <c r="C74" s="3"/>
      <c r="D74" s="96" t="n">
        <v>3214101</v>
      </c>
      <c r="E74" s="97" t="n">
        <v>45372</v>
      </c>
      <c r="F74" s="98" t="s">
        <v>45</v>
      </c>
      <c r="G74" s="5" t="n">
        <v>45372</v>
      </c>
      <c r="H74" s="100"/>
      <c r="I74" s="101"/>
      <c r="J74" s="101"/>
      <c r="K74" s="101"/>
      <c r="L74" s="101"/>
      <c r="M74" s="100"/>
      <c r="N74" s="101"/>
      <c r="O74" s="100"/>
      <c r="P74" s="6"/>
      <c r="Q74" s="102"/>
      <c r="R74" s="100" t="n">
        <v>120</v>
      </c>
      <c r="S74" s="102" t="n">
        <v>25</v>
      </c>
      <c r="T74" s="103" t="n">
        <v>9.9</v>
      </c>
      <c r="U74" s="90" t="n">
        <f aca="false">SUM(H74:T74)</f>
        <v>154.9</v>
      </c>
      <c r="V74" s="104" t="s">
        <v>46</v>
      </c>
      <c r="W74" s="9" t="s">
        <v>43</v>
      </c>
      <c r="X74" s="105" t="s">
        <v>48</v>
      </c>
      <c r="Y74" s="179"/>
      <c r="Z74" s="180"/>
    </row>
    <row r="75" s="9" customFormat="true" ht="14.1" hidden="false" customHeight="true" outlineLevel="0" collapsed="false">
      <c r="A75" s="164" t="s">
        <v>43</v>
      </c>
      <c r="B75" s="165" t="s">
        <v>126</v>
      </c>
      <c r="C75" s="166"/>
      <c r="D75" s="167" t="n">
        <v>2294102</v>
      </c>
      <c r="E75" s="168" t="n">
        <v>45351</v>
      </c>
      <c r="F75" s="169" t="s">
        <v>45</v>
      </c>
      <c r="G75" s="170" t="n">
        <v>45351</v>
      </c>
      <c r="H75" s="171"/>
      <c r="I75" s="172"/>
      <c r="J75" s="172"/>
      <c r="K75" s="172"/>
      <c r="L75" s="172"/>
      <c r="M75" s="171"/>
      <c r="N75" s="172"/>
      <c r="O75" s="171"/>
      <c r="P75" s="173"/>
      <c r="Q75" s="174"/>
      <c r="R75" s="171" t="n">
        <v>105</v>
      </c>
      <c r="S75" s="174" t="n">
        <v>12.5</v>
      </c>
      <c r="T75" s="175" t="n">
        <v>9.71</v>
      </c>
      <c r="U75" s="176" t="n">
        <f aca="false">SUM(H75:T75)</f>
        <v>127.21</v>
      </c>
      <c r="V75" s="177" t="s">
        <v>46</v>
      </c>
      <c r="W75" s="178" t="s">
        <v>43</v>
      </c>
      <c r="X75" s="105" t="s">
        <v>48</v>
      </c>
      <c r="Y75" s="179"/>
      <c r="Z75" s="180"/>
    </row>
    <row r="76" s="9" customFormat="true" ht="14.1" hidden="false" customHeight="true" outlineLevel="0" collapsed="false">
      <c r="A76" s="181" t="s">
        <v>43</v>
      </c>
      <c r="B76" s="182" t="s">
        <v>128</v>
      </c>
      <c r="C76" s="183"/>
      <c r="D76" s="184" t="n">
        <v>11023102</v>
      </c>
      <c r="E76" s="185" t="n">
        <v>45232</v>
      </c>
      <c r="F76" s="186" t="s">
        <v>45</v>
      </c>
      <c r="G76" s="187" t="n">
        <v>45232</v>
      </c>
      <c r="H76" s="188"/>
      <c r="I76" s="189"/>
      <c r="J76" s="189"/>
      <c r="K76" s="189"/>
      <c r="L76" s="189"/>
      <c r="M76" s="188"/>
      <c r="N76" s="189"/>
      <c r="O76" s="188"/>
      <c r="P76" s="190"/>
      <c r="Q76" s="191"/>
      <c r="R76" s="188" t="n">
        <v>110</v>
      </c>
      <c r="S76" s="191" t="n">
        <v>25</v>
      </c>
      <c r="T76" s="192" t="n">
        <v>9.49</v>
      </c>
      <c r="U76" s="193" t="n">
        <f aca="false">SUM(H76:T76)</f>
        <v>144.49</v>
      </c>
      <c r="V76" s="194" t="s">
        <v>46</v>
      </c>
      <c r="W76" s="195" t="s">
        <v>70</v>
      </c>
      <c r="X76" s="105" t="s">
        <v>48</v>
      </c>
      <c r="Y76" s="196"/>
      <c r="Z76" s="49"/>
    </row>
    <row r="77" s="9" customFormat="true" ht="14.1" hidden="false" customHeight="true" outlineLevel="0" collapsed="false">
      <c r="A77" s="181" t="s">
        <v>43</v>
      </c>
      <c r="B77" s="182" t="s">
        <v>130</v>
      </c>
      <c r="C77" s="183"/>
      <c r="D77" s="184" t="n">
        <v>10033111</v>
      </c>
      <c r="E77" s="185" t="n">
        <v>45202</v>
      </c>
      <c r="F77" s="186" t="s">
        <v>45</v>
      </c>
      <c r="G77" s="187" t="n">
        <v>45203</v>
      </c>
      <c r="H77" s="188"/>
      <c r="I77" s="189"/>
      <c r="J77" s="189"/>
      <c r="K77" s="189"/>
      <c r="L77" s="189"/>
      <c r="M77" s="188"/>
      <c r="N77" s="189"/>
      <c r="O77" s="188"/>
      <c r="P77" s="190"/>
      <c r="Q77" s="191"/>
      <c r="R77" s="188" t="n">
        <v>149</v>
      </c>
      <c r="S77" s="191" t="n">
        <v>37.5</v>
      </c>
      <c r="T77" s="192" t="n">
        <v>12.29</v>
      </c>
      <c r="U77" s="193" t="n">
        <f aca="false">SUM(H77:T77)</f>
        <v>198.79</v>
      </c>
      <c r="V77" s="194" t="s">
        <v>46</v>
      </c>
      <c r="W77" s="195" t="s">
        <v>43</v>
      </c>
      <c r="X77" s="105" t="s">
        <v>48</v>
      </c>
      <c r="Y77" s="49"/>
    </row>
    <row r="78" s="9" customFormat="true" ht="14.1" hidden="false" customHeight="true" outlineLevel="0" collapsed="false">
      <c r="A78" s="95" t="s">
        <v>47</v>
      </c>
      <c r="B78" s="2" t="s">
        <v>198</v>
      </c>
      <c r="C78" s="3"/>
      <c r="D78" s="96" t="n">
        <v>3154054</v>
      </c>
      <c r="E78" s="97" t="n">
        <v>45366</v>
      </c>
      <c r="F78" s="98" t="s">
        <v>13</v>
      </c>
      <c r="G78" s="5" t="n">
        <v>45366</v>
      </c>
      <c r="H78" s="100"/>
      <c r="I78" s="101"/>
      <c r="J78" s="101"/>
      <c r="K78" s="101"/>
      <c r="L78" s="101"/>
      <c r="M78" s="100" t="n">
        <v>150</v>
      </c>
      <c r="N78" s="101"/>
      <c r="O78" s="100"/>
      <c r="P78" s="6"/>
      <c r="Q78" s="102"/>
      <c r="R78" s="100"/>
      <c r="S78" s="102"/>
      <c r="T78" s="103"/>
      <c r="U78" s="90" t="n">
        <f aca="false">SUM(H78:T78)</f>
        <v>150</v>
      </c>
      <c r="V78" s="104" t="s">
        <v>154</v>
      </c>
      <c r="W78" s="9" t="s">
        <v>166</v>
      </c>
      <c r="X78" s="105" t="s">
        <v>48</v>
      </c>
      <c r="Y78" s="179"/>
      <c r="Z78" s="180"/>
    </row>
    <row r="79" s="9" customFormat="true" ht="14.1" hidden="false" customHeight="true" outlineLevel="0" collapsed="false">
      <c r="A79" s="164" t="s">
        <v>166</v>
      </c>
      <c r="B79" s="165" t="s">
        <v>199</v>
      </c>
      <c r="C79" s="166"/>
      <c r="D79" s="167" t="n">
        <v>2264052</v>
      </c>
      <c r="E79" s="168" t="n">
        <v>45348</v>
      </c>
      <c r="F79" s="169" t="s">
        <v>13</v>
      </c>
      <c r="G79" s="170" t="n">
        <v>45348</v>
      </c>
      <c r="H79" s="171"/>
      <c r="I79" s="172"/>
      <c r="J79" s="172"/>
      <c r="K79" s="172"/>
      <c r="L79" s="172"/>
      <c r="M79" s="171" t="n">
        <v>49</v>
      </c>
      <c r="N79" s="172"/>
      <c r="O79" s="171"/>
      <c r="P79" s="173"/>
      <c r="Q79" s="174"/>
      <c r="R79" s="171"/>
      <c r="S79" s="174"/>
      <c r="T79" s="175"/>
      <c r="U79" s="176" t="n">
        <f aca="false">SUM(H79:T79)</f>
        <v>49</v>
      </c>
      <c r="V79" s="177" t="s">
        <v>154</v>
      </c>
      <c r="W79" s="178" t="s">
        <v>166</v>
      </c>
      <c r="X79" s="105" t="s">
        <v>48</v>
      </c>
      <c r="Y79" s="179"/>
      <c r="Z79" s="180"/>
    </row>
    <row r="80" s="9" customFormat="true" ht="14.1" hidden="false" customHeight="true" outlineLevel="0" collapsed="false">
      <c r="A80" s="95" t="s">
        <v>166</v>
      </c>
      <c r="B80" s="2" t="s">
        <v>199</v>
      </c>
      <c r="C80" s="3"/>
      <c r="D80" s="96" t="n">
        <v>3264051</v>
      </c>
      <c r="E80" s="97" t="n">
        <v>45377</v>
      </c>
      <c r="F80" s="98" t="s">
        <v>13</v>
      </c>
      <c r="G80" s="5" t="n">
        <v>45377</v>
      </c>
      <c r="H80" s="100"/>
      <c r="I80" s="101"/>
      <c r="J80" s="101"/>
      <c r="K80" s="101"/>
      <c r="L80" s="101"/>
      <c r="M80" s="100" t="n">
        <v>49</v>
      </c>
      <c r="N80" s="101"/>
      <c r="O80" s="100"/>
      <c r="P80" s="6"/>
      <c r="Q80" s="102"/>
      <c r="R80" s="100"/>
      <c r="S80" s="102"/>
      <c r="T80" s="103"/>
      <c r="U80" s="90" t="n">
        <f aca="false">SUM(H80:T80)</f>
        <v>49</v>
      </c>
      <c r="V80" s="104" t="s">
        <v>154</v>
      </c>
      <c r="W80" s="9" t="s">
        <v>166</v>
      </c>
      <c r="X80" s="105" t="s">
        <v>48</v>
      </c>
      <c r="Y80" s="179"/>
      <c r="Z80" s="180"/>
    </row>
    <row r="81" s="9" customFormat="true" ht="14.1" hidden="false" customHeight="true" outlineLevel="0" collapsed="false">
      <c r="A81" s="198" t="s">
        <v>43</v>
      </c>
      <c r="B81" s="199" t="s">
        <v>200</v>
      </c>
      <c r="C81" s="200"/>
      <c r="D81" s="201" t="n">
        <v>1234107</v>
      </c>
      <c r="E81" s="202" t="n">
        <v>45314</v>
      </c>
      <c r="F81" s="203" t="s">
        <v>45</v>
      </c>
      <c r="G81" s="204" t="n">
        <v>45314</v>
      </c>
      <c r="H81" s="205"/>
      <c r="I81" s="206"/>
      <c r="J81" s="206"/>
      <c r="K81" s="206"/>
      <c r="L81" s="206"/>
      <c r="M81" s="205"/>
      <c r="N81" s="206"/>
      <c r="O81" s="205"/>
      <c r="P81" s="207"/>
      <c r="Q81" s="208"/>
      <c r="R81" s="205" t="n">
        <v>70</v>
      </c>
      <c r="S81" s="208" t="n">
        <v>25</v>
      </c>
      <c r="T81" s="209" t="n">
        <v>5.95</v>
      </c>
      <c r="U81" s="210" t="n">
        <f aca="false">SUM(H81:T81)</f>
        <v>100.95</v>
      </c>
      <c r="V81" s="211" t="s">
        <v>46</v>
      </c>
      <c r="W81" s="212" t="s">
        <v>43</v>
      </c>
      <c r="X81" s="105" t="s">
        <v>48</v>
      </c>
      <c r="Y81" s="196"/>
      <c r="Z81" s="49"/>
    </row>
    <row r="82" s="9" customFormat="true" ht="14.1" hidden="false" customHeight="true" outlineLevel="0" collapsed="false">
      <c r="A82" s="95" t="s">
        <v>43</v>
      </c>
      <c r="B82" s="2" t="s">
        <v>135</v>
      </c>
      <c r="C82" s="3"/>
      <c r="D82" s="96" t="n">
        <v>3014101</v>
      </c>
      <c r="E82" s="97" t="n">
        <v>45352</v>
      </c>
      <c r="F82" s="98" t="s">
        <v>45</v>
      </c>
      <c r="G82" s="5" t="n">
        <v>45352</v>
      </c>
      <c r="H82" s="100"/>
      <c r="I82" s="101"/>
      <c r="J82" s="101"/>
      <c r="K82" s="101"/>
      <c r="L82" s="101"/>
      <c r="M82" s="100"/>
      <c r="N82" s="101"/>
      <c r="O82" s="100"/>
      <c r="P82" s="6"/>
      <c r="Q82" s="102"/>
      <c r="R82" s="100" t="n">
        <v>65</v>
      </c>
      <c r="S82" s="102" t="n">
        <v>12.5</v>
      </c>
      <c r="T82" s="103" t="n">
        <v>6.99</v>
      </c>
      <c r="U82" s="90" t="n">
        <f aca="false">SUM(H82:T82)</f>
        <v>84.49</v>
      </c>
      <c r="V82" s="104" t="s">
        <v>46</v>
      </c>
      <c r="W82" s="9" t="s">
        <v>43</v>
      </c>
      <c r="X82" s="105" t="s">
        <v>48</v>
      </c>
      <c r="Y82" s="179"/>
      <c r="Z82" s="180"/>
    </row>
    <row r="83" s="9" customFormat="true" ht="14.1" hidden="false" customHeight="true" outlineLevel="0" collapsed="false">
      <c r="A83" s="95" t="s">
        <v>166</v>
      </c>
      <c r="B83" s="2" t="s">
        <v>135</v>
      </c>
      <c r="C83" s="3"/>
      <c r="D83" s="96" t="n">
        <v>3264052</v>
      </c>
      <c r="E83" s="97" t="n">
        <v>45377</v>
      </c>
      <c r="F83" s="98" t="s">
        <v>13</v>
      </c>
      <c r="G83" s="5" t="n">
        <v>45377</v>
      </c>
      <c r="H83" s="100"/>
      <c r="I83" s="101"/>
      <c r="J83" s="101"/>
      <c r="K83" s="101"/>
      <c r="L83" s="101"/>
      <c r="M83" s="100" t="n">
        <v>49</v>
      </c>
      <c r="N83" s="101"/>
      <c r="O83" s="100"/>
      <c r="P83" s="6"/>
      <c r="Q83" s="102"/>
      <c r="R83" s="100"/>
      <c r="S83" s="102"/>
      <c r="T83" s="103"/>
      <c r="U83" s="90" t="n">
        <f aca="false">SUM(H83:T83)</f>
        <v>49</v>
      </c>
      <c r="V83" s="104" t="s">
        <v>154</v>
      </c>
      <c r="W83" s="9" t="s">
        <v>166</v>
      </c>
      <c r="X83" s="105" t="s">
        <v>48</v>
      </c>
      <c r="Y83" s="179"/>
      <c r="Z83" s="180"/>
    </row>
    <row r="84" s="9" customFormat="true" ht="14.1" hidden="false" customHeight="true" outlineLevel="0" collapsed="false">
      <c r="A84" s="181" t="s">
        <v>43</v>
      </c>
      <c r="B84" s="182" t="s">
        <v>201</v>
      </c>
      <c r="C84" s="183"/>
      <c r="D84" s="184" t="n">
        <v>9053102</v>
      </c>
      <c r="E84" s="185" t="n">
        <v>45174</v>
      </c>
      <c r="F84" s="186" t="s">
        <v>45</v>
      </c>
      <c r="G84" s="187" t="n">
        <v>45174</v>
      </c>
      <c r="H84" s="188"/>
      <c r="I84" s="189"/>
      <c r="J84" s="189"/>
      <c r="K84" s="189"/>
      <c r="L84" s="189"/>
      <c r="M84" s="188"/>
      <c r="N84" s="189"/>
      <c r="O84" s="188"/>
      <c r="P84" s="190"/>
      <c r="Q84" s="191"/>
      <c r="R84" s="188" t="n">
        <v>219</v>
      </c>
      <c r="S84" s="191" t="n">
        <v>62.5</v>
      </c>
      <c r="T84" s="192" t="n">
        <v>22.45</v>
      </c>
      <c r="U84" s="193" t="n">
        <f aca="false">SUM(H84:T84)</f>
        <v>303.95</v>
      </c>
      <c r="V84" s="194" t="s">
        <v>46</v>
      </c>
      <c r="W84" s="195" t="s">
        <v>47</v>
      </c>
      <c r="X84" s="105" t="s">
        <v>48</v>
      </c>
      <c r="Y84" s="196"/>
      <c r="Z84" s="49"/>
    </row>
    <row r="85" s="9" customFormat="true" ht="14.1" hidden="false" customHeight="true" outlineLevel="0" collapsed="false">
      <c r="A85" s="95" t="s">
        <v>43</v>
      </c>
      <c r="B85" s="2" t="s">
        <v>202</v>
      </c>
      <c r="C85" s="3"/>
      <c r="D85" s="96" t="n">
        <v>3224102</v>
      </c>
      <c r="E85" s="97" t="n">
        <v>45373</v>
      </c>
      <c r="F85" s="98" t="s">
        <v>45</v>
      </c>
      <c r="G85" s="5" t="n">
        <v>45373</v>
      </c>
      <c r="H85" s="100"/>
      <c r="I85" s="101"/>
      <c r="J85" s="101"/>
      <c r="K85" s="101"/>
      <c r="L85" s="101"/>
      <c r="M85" s="100"/>
      <c r="N85" s="101"/>
      <c r="O85" s="100"/>
      <c r="P85" s="6"/>
      <c r="Q85" s="102"/>
      <c r="R85" s="100" t="n">
        <v>425</v>
      </c>
      <c r="S85" s="102" t="n">
        <v>87.5</v>
      </c>
      <c r="T85" s="103" t="n">
        <v>36.66</v>
      </c>
      <c r="U85" s="90" t="n">
        <f aca="false">SUM(H85:T85)</f>
        <v>549.16</v>
      </c>
      <c r="V85" s="104" t="s">
        <v>46</v>
      </c>
      <c r="W85" s="9" t="s">
        <v>43</v>
      </c>
      <c r="X85" s="105" t="s">
        <v>48</v>
      </c>
      <c r="Y85" s="179"/>
      <c r="Z85" s="180"/>
    </row>
    <row r="86" s="9" customFormat="true" ht="14.1" hidden="false" customHeight="true" outlineLevel="0" collapsed="false">
      <c r="A86" s="198" t="s">
        <v>43</v>
      </c>
      <c r="B86" s="199" t="s">
        <v>136</v>
      </c>
      <c r="C86" s="200"/>
      <c r="D86" s="201" t="n">
        <v>1264103</v>
      </c>
      <c r="E86" s="202" t="n">
        <v>45317</v>
      </c>
      <c r="F86" s="203" t="s">
        <v>45</v>
      </c>
      <c r="G86" s="204" t="n">
        <v>45317</v>
      </c>
      <c r="H86" s="205"/>
      <c r="I86" s="206"/>
      <c r="J86" s="206"/>
      <c r="K86" s="206"/>
      <c r="L86" s="206"/>
      <c r="M86" s="205"/>
      <c r="N86" s="206"/>
      <c r="O86" s="205"/>
      <c r="P86" s="207"/>
      <c r="Q86" s="208"/>
      <c r="R86" s="205" t="n">
        <v>726</v>
      </c>
      <c r="S86" s="208" t="n">
        <v>137.5</v>
      </c>
      <c r="T86" s="209" t="n">
        <v>67.16</v>
      </c>
      <c r="U86" s="210" t="n">
        <f aca="false">SUM(H86:T86)</f>
        <v>930.66</v>
      </c>
      <c r="V86" s="211" t="s">
        <v>46</v>
      </c>
      <c r="W86" s="212" t="s">
        <v>70</v>
      </c>
      <c r="X86" s="105" t="s">
        <v>48</v>
      </c>
      <c r="Y86" s="196"/>
      <c r="Z86" s="49"/>
    </row>
    <row r="87" s="9" customFormat="true" ht="14.1" hidden="false" customHeight="true" outlineLevel="0" collapsed="false">
      <c r="A87" s="164" t="s">
        <v>43</v>
      </c>
      <c r="B87" s="165" t="s">
        <v>203</v>
      </c>
      <c r="C87" s="166"/>
      <c r="D87" s="167" t="n">
        <v>2224102</v>
      </c>
      <c r="E87" s="168" t="n">
        <v>45344</v>
      </c>
      <c r="F87" s="169" t="s">
        <v>45</v>
      </c>
      <c r="G87" s="170" t="n">
        <v>45344</v>
      </c>
      <c r="H87" s="171"/>
      <c r="I87" s="172"/>
      <c r="J87" s="172"/>
      <c r="K87" s="172"/>
      <c r="L87" s="172"/>
      <c r="M87" s="171"/>
      <c r="N87" s="172"/>
      <c r="O87" s="171"/>
      <c r="P87" s="173"/>
      <c r="Q87" s="174"/>
      <c r="R87" s="171" t="n">
        <v>120</v>
      </c>
      <c r="S87" s="174" t="n">
        <v>25</v>
      </c>
      <c r="T87" s="175" t="n">
        <v>10.2</v>
      </c>
      <c r="U87" s="176" t="n">
        <f aca="false">SUM(H87:T87)</f>
        <v>155.2</v>
      </c>
      <c r="V87" s="177" t="s">
        <v>46</v>
      </c>
      <c r="W87" s="178" t="s">
        <v>70</v>
      </c>
      <c r="X87" s="105" t="s">
        <v>48</v>
      </c>
      <c r="Y87" s="179"/>
      <c r="Z87" s="180"/>
    </row>
    <row r="88" s="9" customFormat="true" ht="14.1" hidden="false" customHeight="true" outlineLevel="0" collapsed="false">
      <c r="A88" s="181" t="s">
        <v>43</v>
      </c>
      <c r="B88" s="182" t="s">
        <v>137</v>
      </c>
      <c r="C88" s="183"/>
      <c r="D88" s="184" t="n">
        <v>12133101</v>
      </c>
      <c r="E88" s="185" t="n">
        <v>45273</v>
      </c>
      <c r="F88" s="186" t="s">
        <v>45</v>
      </c>
      <c r="G88" s="187" t="n">
        <v>45273</v>
      </c>
      <c r="H88" s="188"/>
      <c r="I88" s="189"/>
      <c r="J88" s="189"/>
      <c r="K88" s="189"/>
      <c r="L88" s="189"/>
      <c r="M88" s="188"/>
      <c r="N88" s="189"/>
      <c r="O88" s="188"/>
      <c r="P88" s="190"/>
      <c r="Q88" s="191"/>
      <c r="R88" s="188" t="n">
        <v>198</v>
      </c>
      <c r="S88" s="191" t="n">
        <v>37.5</v>
      </c>
      <c r="T88" s="192" t="n">
        <v>16.83</v>
      </c>
      <c r="U88" s="193" t="n">
        <f aca="false">SUM(H88:T88)</f>
        <v>252.33</v>
      </c>
      <c r="V88" s="194" t="s">
        <v>46</v>
      </c>
      <c r="W88" s="195" t="s">
        <v>43</v>
      </c>
      <c r="X88" s="105" t="s">
        <v>48</v>
      </c>
      <c r="Y88" s="196"/>
      <c r="Z88" s="49"/>
    </row>
    <row r="89" s="9" customFormat="true" ht="14.1" hidden="false" customHeight="true" outlineLevel="0" collapsed="false">
      <c r="A89" s="181" t="s">
        <v>43</v>
      </c>
      <c r="B89" s="182" t="s">
        <v>138</v>
      </c>
      <c r="C89" s="183" t="s">
        <v>139</v>
      </c>
      <c r="D89" s="184" t="n">
        <v>10053103</v>
      </c>
      <c r="E89" s="185" t="n">
        <v>45204</v>
      </c>
      <c r="F89" s="186" t="s">
        <v>45</v>
      </c>
      <c r="G89" s="187" t="n">
        <v>45204</v>
      </c>
      <c r="H89" s="188"/>
      <c r="I89" s="189"/>
      <c r="J89" s="189"/>
      <c r="K89" s="189"/>
      <c r="L89" s="189"/>
      <c r="M89" s="188"/>
      <c r="N89" s="189"/>
      <c r="O89" s="188"/>
      <c r="P89" s="190"/>
      <c r="Q89" s="191"/>
      <c r="R89" s="188" t="n">
        <v>155</v>
      </c>
      <c r="S89" s="191" t="n">
        <v>25</v>
      </c>
      <c r="T89" s="192"/>
      <c r="U89" s="193" t="n">
        <f aca="false">SUM(H89:T89)</f>
        <v>180</v>
      </c>
      <c r="V89" s="194" t="s">
        <v>46</v>
      </c>
      <c r="W89" s="195" t="s">
        <v>59</v>
      </c>
      <c r="X89" s="105" t="s">
        <v>48</v>
      </c>
      <c r="Y89" s="49"/>
    </row>
    <row r="90" s="9" customFormat="true" ht="14.1" hidden="false" customHeight="true" outlineLevel="0" collapsed="false">
      <c r="A90" s="95" t="s">
        <v>43</v>
      </c>
      <c r="B90" s="2" t="s">
        <v>141</v>
      </c>
      <c r="C90" s="3"/>
      <c r="D90" s="96" t="n">
        <v>3184102</v>
      </c>
      <c r="E90" s="97" t="n">
        <v>45369</v>
      </c>
      <c r="F90" s="98" t="s">
        <v>45</v>
      </c>
      <c r="G90" s="5" t="n">
        <v>45369</v>
      </c>
      <c r="H90" s="100"/>
      <c r="I90" s="101"/>
      <c r="J90" s="101"/>
      <c r="K90" s="101"/>
      <c r="L90" s="101"/>
      <c r="M90" s="100"/>
      <c r="N90" s="101"/>
      <c r="O90" s="100"/>
      <c r="P90" s="6"/>
      <c r="Q90" s="102"/>
      <c r="R90" s="100" t="n">
        <v>318</v>
      </c>
      <c r="S90" s="102" t="n">
        <v>67.5</v>
      </c>
      <c r="T90" s="103" t="n">
        <v>27.43</v>
      </c>
      <c r="U90" s="90" t="n">
        <f aca="false">SUM(H90:T90)</f>
        <v>412.93</v>
      </c>
      <c r="V90" s="104" t="s">
        <v>46</v>
      </c>
      <c r="W90" s="9" t="s">
        <v>70</v>
      </c>
      <c r="X90" s="105" t="s">
        <v>48</v>
      </c>
      <c r="Y90" s="179"/>
      <c r="Z90" s="180"/>
    </row>
    <row r="91" s="9" customFormat="true" ht="14.1" hidden="false" customHeight="true" outlineLevel="0" collapsed="false">
      <c r="A91" s="198" t="s">
        <v>43</v>
      </c>
      <c r="B91" s="199" t="s">
        <v>142</v>
      </c>
      <c r="C91" s="200" t="s">
        <v>143</v>
      </c>
      <c r="D91" s="201" t="n">
        <v>1044108</v>
      </c>
      <c r="E91" s="202" t="n">
        <v>45295</v>
      </c>
      <c r="F91" s="203" t="s">
        <v>45</v>
      </c>
      <c r="G91" s="204" t="n">
        <v>45296</v>
      </c>
      <c r="H91" s="205"/>
      <c r="I91" s="206"/>
      <c r="J91" s="206"/>
      <c r="K91" s="206"/>
      <c r="L91" s="206"/>
      <c r="M91" s="205"/>
      <c r="N91" s="206"/>
      <c r="O91" s="205"/>
      <c r="P91" s="207"/>
      <c r="Q91" s="208"/>
      <c r="R91" s="205" t="n">
        <v>162</v>
      </c>
      <c r="S91" s="208" t="n">
        <v>25</v>
      </c>
      <c r="T91" s="209" t="n">
        <v>17.42</v>
      </c>
      <c r="U91" s="210" t="n">
        <f aca="false">SUM(H91:T91)</f>
        <v>204.42</v>
      </c>
      <c r="V91" s="211" t="s">
        <v>46</v>
      </c>
      <c r="W91" s="212" t="s">
        <v>70</v>
      </c>
      <c r="X91" s="105" t="s">
        <v>48</v>
      </c>
      <c r="Y91" s="196"/>
      <c r="Z91" s="49"/>
    </row>
    <row r="92" s="9" customFormat="true" ht="14.1" hidden="false" customHeight="true" outlineLevel="0" collapsed="false">
      <c r="A92" s="95" t="s">
        <v>43</v>
      </c>
      <c r="B92" s="2" t="s">
        <v>142</v>
      </c>
      <c r="C92" s="3" t="s">
        <v>143</v>
      </c>
      <c r="D92" s="96" t="n">
        <v>3014109</v>
      </c>
      <c r="E92" s="97" t="n">
        <v>45352</v>
      </c>
      <c r="F92" s="98" t="s">
        <v>45</v>
      </c>
      <c r="G92" s="5" t="n">
        <v>45352</v>
      </c>
      <c r="H92" s="100"/>
      <c r="I92" s="101"/>
      <c r="J92" s="101"/>
      <c r="K92" s="101"/>
      <c r="L92" s="101"/>
      <c r="M92" s="100"/>
      <c r="N92" s="101"/>
      <c r="O92" s="100"/>
      <c r="P92" s="6"/>
      <c r="Q92" s="102"/>
      <c r="R92" s="100" t="n">
        <v>169</v>
      </c>
      <c r="S92" s="102" t="n">
        <v>37.5</v>
      </c>
      <c r="T92" s="103" t="n">
        <v>18.17</v>
      </c>
      <c r="U92" s="90" t="n">
        <f aca="false">SUM(H92:T92)</f>
        <v>224.67</v>
      </c>
      <c r="V92" s="104" t="s">
        <v>46</v>
      </c>
      <c r="W92" s="9" t="s">
        <v>70</v>
      </c>
      <c r="X92" s="105" t="s">
        <v>48</v>
      </c>
      <c r="Y92" s="179"/>
      <c r="Z92" s="180"/>
    </row>
    <row r="93" s="9" customFormat="true" ht="14.1" hidden="false" customHeight="true" outlineLevel="0" collapsed="false">
      <c r="A93" s="95" t="s">
        <v>43</v>
      </c>
      <c r="B93" s="2" t="s">
        <v>142</v>
      </c>
      <c r="C93" s="3" t="s">
        <v>204</v>
      </c>
      <c r="D93" s="96" t="n">
        <v>3084101</v>
      </c>
      <c r="E93" s="97" t="n">
        <v>45359</v>
      </c>
      <c r="F93" s="98" t="s">
        <v>45</v>
      </c>
      <c r="G93" s="5" t="n">
        <v>45362</v>
      </c>
      <c r="H93" s="100"/>
      <c r="I93" s="101"/>
      <c r="J93" s="101"/>
      <c r="K93" s="101"/>
      <c r="L93" s="101"/>
      <c r="M93" s="100"/>
      <c r="N93" s="101"/>
      <c r="O93" s="100"/>
      <c r="P93" s="6"/>
      <c r="Q93" s="102"/>
      <c r="R93" s="100" t="n">
        <v>110</v>
      </c>
      <c r="S93" s="102" t="n">
        <v>25</v>
      </c>
      <c r="T93" s="103" t="n">
        <v>10.04</v>
      </c>
      <c r="U93" s="90" t="n">
        <f aca="false">SUM(H93:T93)</f>
        <v>145.04</v>
      </c>
      <c r="V93" s="104" t="s">
        <v>46</v>
      </c>
      <c r="W93" s="9" t="s">
        <v>43</v>
      </c>
      <c r="X93" s="105" t="s">
        <v>48</v>
      </c>
      <c r="Y93" s="179"/>
      <c r="Z93" s="180"/>
    </row>
    <row r="94" s="9" customFormat="true" ht="14.1" hidden="false" customHeight="true" outlineLevel="0" collapsed="false">
      <c r="A94" s="95" t="s">
        <v>43</v>
      </c>
      <c r="B94" s="2" t="s">
        <v>205</v>
      </c>
      <c r="C94" s="3"/>
      <c r="D94" s="96" t="n">
        <v>3154105</v>
      </c>
      <c r="E94" s="97" t="n">
        <v>45366</v>
      </c>
      <c r="F94" s="98" t="s">
        <v>45</v>
      </c>
      <c r="G94" s="5" t="n">
        <v>45366</v>
      </c>
      <c r="H94" s="100"/>
      <c r="I94" s="101"/>
      <c r="J94" s="101"/>
      <c r="K94" s="101"/>
      <c r="L94" s="101"/>
      <c r="M94" s="100"/>
      <c r="N94" s="101"/>
      <c r="O94" s="100"/>
      <c r="P94" s="6"/>
      <c r="Q94" s="102"/>
      <c r="R94" s="100" t="n">
        <v>195</v>
      </c>
      <c r="S94" s="102" t="n">
        <v>67.5</v>
      </c>
      <c r="T94" s="103" t="n">
        <v>16.82</v>
      </c>
      <c r="U94" s="90" t="n">
        <f aca="false">SUM(H94:T94)</f>
        <v>279.32</v>
      </c>
      <c r="V94" s="104" t="s">
        <v>46</v>
      </c>
      <c r="W94" s="9" t="s">
        <v>43</v>
      </c>
      <c r="X94" s="105" t="s">
        <v>48</v>
      </c>
      <c r="Y94" s="179"/>
      <c r="Z94" s="180"/>
    </row>
    <row r="95" s="9" customFormat="true" ht="14.1" hidden="false" customHeight="true" outlineLevel="0" collapsed="false">
      <c r="A95" s="95" t="s">
        <v>43</v>
      </c>
      <c r="B95" s="2" t="s">
        <v>146</v>
      </c>
      <c r="C95" s="3"/>
      <c r="D95" s="96" t="n">
        <v>3114102</v>
      </c>
      <c r="E95" s="97" t="n">
        <v>45362</v>
      </c>
      <c r="F95" s="98" t="s">
        <v>45</v>
      </c>
      <c r="G95" s="5" t="n">
        <v>45362</v>
      </c>
      <c r="H95" s="100"/>
      <c r="I95" s="101"/>
      <c r="J95" s="101"/>
      <c r="K95" s="101"/>
      <c r="L95" s="101"/>
      <c r="M95" s="100"/>
      <c r="N95" s="101"/>
      <c r="O95" s="100"/>
      <c r="P95" s="6"/>
      <c r="Q95" s="102"/>
      <c r="R95" s="100" t="n">
        <v>130</v>
      </c>
      <c r="S95" s="102" t="n">
        <v>25</v>
      </c>
      <c r="T95" s="103" t="n">
        <v>11.21</v>
      </c>
      <c r="U95" s="90" t="n">
        <f aca="false">SUM(H95:T95)</f>
        <v>166.21</v>
      </c>
      <c r="V95" s="104" t="s">
        <v>46</v>
      </c>
      <c r="W95" s="9" t="s">
        <v>43</v>
      </c>
      <c r="X95" s="105" t="s">
        <v>48</v>
      </c>
      <c r="Y95" s="179"/>
      <c r="Z95" s="180"/>
    </row>
    <row r="96" s="9" customFormat="true" ht="14.1" hidden="false" customHeight="true" outlineLevel="0" collapsed="false">
      <c r="A96" s="95" t="s">
        <v>43</v>
      </c>
      <c r="B96" s="2" t="s">
        <v>206</v>
      </c>
      <c r="C96" s="3"/>
      <c r="D96" s="96" t="n">
        <v>3044101</v>
      </c>
      <c r="E96" s="97" t="n">
        <v>45355</v>
      </c>
      <c r="F96" s="98" t="s">
        <v>45</v>
      </c>
      <c r="G96" s="5" t="n">
        <v>45355</v>
      </c>
      <c r="H96" s="100"/>
      <c r="I96" s="101"/>
      <c r="J96" s="101"/>
      <c r="K96" s="101"/>
      <c r="L96" s="101"/>
      <c r="M96" s="100"/>
      <c r="N96" s="101"/>
      <c r="O96" s="100"/>
      <c r="P96" s="6"/>
      <c r="Q96" s="102"/>
      <c r="R96" s="100" t="n">
        <v>78</v>
      </c>
      <c r="S96" s="102" t="n">
        <v>12.5</v>
      </c>
      <c r="T96" s="103" t="n">
        <v>6.44</v>
      </c>
      <c r="U96" s="90" t="n">
        <f aca="false">SUM(H96:T96)</f>
        <v>96.94</v>
      </c>
      <c r="V96" s="104" t="s">
        <v>46</v>
      </c>
      <c r="W96" s="9" t="s">
        <v>70</v>
      </c>
      <c r="X96" s="105" t="s">
        <v>48</v>
      </c>
      <c r="Y96" s="179"/>
      <c r="Z96" s="180"/>
    </row>
    <row r="97" s="9" customFormat="true" ht="14.1" hidden="false" customHeight="true" outlineLevel="0" collapsed="false">
      <c r="A97" s="95" t="s">
        <v>43</v>
      </c>
      <c r="B97" s="2" t="s">
        <v>206</v>
      </c>
      <c r="C97" s="3"/>
      <c r="D97" s="96" t="n">
        <v>3044104</v>
      </c>
      <c r="E97" s="97" t="n">
        <v>45355</v>
      </c>
      <c r="F97" s="98" t="s">
        <v>45</v>
      </c>
      <c r="G97" s="5" t="n">
        <v>45355</v>
      </c>
      <c r="H97" s="100"/>
      <c r="I97" s="101"/>
      <c r="J97" s="101"/>
      <c r="K97" s="101"/>
      <c r="L97" s="101"/>
      <c r="M97" s="100"/>
      <c r="N97" s="101"/>
      <c r="O97" s="100"/>
      <c r="P97" s="6"/>
      <c r="Q97" s="102"/>
      <c r="R97" s="100" t="n">
        <v>45</v>
      </c>
      <c r="S97" s="102" t="n">
        <v>12.5</v>
      </c>
      <c r="T97" s="103" t="n">
        <v>3.71</v>
      </c>
      <c r="U97" s="90" t="n">
        <f aca="false">SUM(H97:T97)</f>
        <v>61.21</v>
      </c>
      <c r="V97" s="104" t="s">
        <v>46</v>
      </c>
      <c r="W97" s="9" t="s">
        <v>70</v>
      </c>
      <c r="X97" s="105" t="s">
        <v>48</v>
      </c>
      <c r="Y97" s="179"/>
      <c r="Z97" s="180"/>
    </row>
    <row r="98" s="9" customFormat="true" ht="14.1" hidden="false" customHeight="true" outlineLevel="0" collapsed="false">
      <c r="A98" s="181" t="s">
        <v>43</v>
      </c>
      <c r="B98" s="182" t="s">
        <v>147</v>
      </c>
      <c r="C98" s="183"/>
      <c r="D98" s="184" t="n">
        <v>12083104</v>
      </c>
      <c r="E98" s="185" t="n">
        <v>45268</v>
      </c>
      <c r="F98" s="186" t="s">
        <v>45</v>
      </c>
      <c r="G98" s="187" t="n">
        <v>45268</v>
      </c>
      <c r="H98" s="188"/>
      <c r="I98" s="189"/>
      <c r="J98" s="189"/>
      <c r="K98" s="189"/>
      <c r="L98" s="189"/>
      <c r="M98" s="188"/>
      <c r="N98" s="189"/>
      <c r="O98" s="188"/>
      <c r="P98" s="190"/>
      <c r="Q98" s="191"/>
      <c r="R98" s="188" t="n">
        <v>65</v>
      </c>
      <c r="S98" s="191" t="n">
        <v>12.5</v>
      </c>
      <c r="T98" s="192" t="n">
        <v>6.09</v>
      </c>
      <c r="U98" s="193" t="n">
        <f aca="false">SUM(H98:T98)</f>
        <v>83.59</v>
      </c>
      <c r="V98" s="194" t="s">
        <v>46</v>
      </c>
      <c r="W98" s="195" t="s">
        <v>70</v>
      </c>
      <c r="X98" s="105" t="s">
        <v>48</v>
      </c>
      <c r="Y98" s="196"/>
      <c r="Z98" s="49"/>
    </row>
    <row r="99" s="9" customFormat="true" ht="14.1" hidden="false" customHeight="true" outlineLevel="0" collapsed="false">
      <c r="A99" s="95" t="s">
        <v>43</v>
      </c>
      <c r="B99" s="2" t="s">
        <v>207</v>
      </c>
      <c r="C99" s="3"/>
      <c r="D99" s="96" t="n">
        <v>3154104</v>
      </c>
      <c r="E99" s="97" t="n">
        <v>45366</v>
      </c>
      <c r="F99" s="98" t="s">
        <v>45</v>
      </c>
      <c r="G99" s="5" t="n">
        <v>45366</v>
      </c>
      <c r="H99" s="100"/>
      <c r="I99" s="101"/>
      <c r="J99" s="101"/>
      <c r="K99" s="101"/>
      <c r="L99" s="101"/>
      <c r="M99" s="100"/>
      <c r="N99" s="101"/>
      <c r="O99" s="100"/>
      <c r="P99" s="6"/>
      <c r="Q99" s="102"/>
      <c r="R99" s="100" t="n">
        <v>433</v>
      </c>
      <c r="S99" s="102" t="n">
        <v>100</v>
      </c>
      <c r="T99" s="103" t="n">
        <v>33.56</v>
      </c>
      <c r="U99" s="90" t="n">
        <f aca="false">SUM(H99:T99)</f>
        <v>566.56</v>
      </c>
      <c r="V99" s="104" t="s">
        <v>46</v>
      </c>
      <c r="W99" s="9" t="s">
        <v>43</v>
      </c>
      <c r="X99" s="105" t="s">
        <v>48</v>
      </c>
      <c r="Y99" s="179"/>
      <c r="Z99" s="180"/>
    </row>
    <row r="100" s="9" customFormat="true" ht="14.1" hidden="false" customHeight="true" outlineLevel="0" collapsed="false">
      <c r="A100" s="198" t="s">
        <v>43</v>
      </c>
      <c r="B100" s="199" t="s">
        <v>208</v>
      </c>
      <c r="C100" s="200"/>
      <c r="D100" s="201" t="n">
        <v>1094103</v>
      </c>
      <c r="E100" s="202" t="n">
        <v>45300</v>
      </c>
      <c r="F100" s="203" t="s">
        <v>45</v>
      </c>
      <c r="G100" s="204" t="n">
        <v>45301</v>
      </c>
      <c r="H100" s="205"/>
      <c r="I100" s="206"/>
      <c r="J100" s="206"/>
      <c r="K100" s="206"/>
      <c r="L100" s="206"/>
      <c r="M100" s="205"/>
      <c r="N100" s="206"/>
      <c r="O100" s="205"/>
      <c r="P100" s="207"/>
      <c r="Q100" s="208"/>
      <c r="R100" s="205" t="n">
        <v>820</v>
      </c>
      <c r="S100" s="208" t="n">
        <v>150</v>
      </c>
      <c r="T100" s="209" t="n">
        <v>70.73</v>
      </c>
      <c r="U100" s="210" t="n">
        <f aca="false">SUM(H100:T100)</f>
        <v>1040.73</v>
      </c>
      <c r="V100" s="211" t="s">
        <v>58</v>
      </c>
      <c r="W100" s="212" t="s">
        <v>150</v>
      </c>
      <c r="X100" s="105" t="s">
        <v>48</v>
      </c>
      <c r="Y100" s="196"/>
      <c r="Z100" s="49"/>
    </row>
    <row r="101" s="9" customFormat="true" ht="14.1" hidden="false" customHeight="true" outlineLevel="0" collapsed="false">
      <c r="A101" s="198" t="s">
        <v>43</v>
      </c>
      <c r="B101" s="199" t="s">
        <v>148</v>
      </c>
      <c r="C101" s="200"/>
      <c r="D101" s="201" t="n">
        <v>1054102</v>
      </c>
      <c r="E101" s="202" t="n">
        <v>45296</v>
      </c>
      <c r="F101" s="203" t="s">
        <v>45</v>
      </c>
      <c r="G101" s="204" t="n">
        <v>45299</v>
      </c>
      <c r="H101" s="205"/>
      <c r="I101" s="206"/>
      <c r="J101" s="206"/>
      <c r="K101" s="206"/>
      <c r="L101" s="206"/>
      <c r="M101" s="205"/>
      <c r="N101" s="206"/>
      <c r="O101" s="205"/>
      <c r="P101" s="207"/>
      <c r="Q101" s="208"/>
      <c r="R101" s="205" t="n">
        <v>65</v>
      </c>
      <c r="S101" s="208" t="n">
        <v>12.5</v>
      </c>
      <c r="T101" s="209" t="n">
        <v>5.61</v>
      </c>
      <c r="U101" s="210" t="n">
        <f aca="false">SUM(H101:T101)</f>
        <v>83.11</v>
      </c>
      <c r="V101" s="211" t="s">
        <v>46</v>
      </c>
      <c r="W101" s="212" t="s">
        <v>43</v>
      </c>
      <c r="X101" s="105" t="s">
        <v>48</v>
      </c>
      <c r="Y101" s="196"/>
      <c r="Z101" s="49"/>
    </row>
    <row r="102" s="9" customFormat="true" ht="14.1" hidden="false" customHeight="true" outlineLevel="0" collapsed="false">
      <c r="A102" s="95" t="s">
        <v>43</v>
      </c>
      <c r="B102" s="2" t="s">
        <v>209</v>
      </c>
      <c r="C102" s="3"/>
      <c r="D102" s="96" t="n">
        <v>3264103</v>
      </c>
      <c r="E102" s="97" t="n">
        <v>45377</v>
      </c>
      <c r="F102" s="98" t="s">
        <v>45</v>
      </c>
      <c r="G102" s="5" t="n">
        <v>45377</v>
      </c>
      <c r="H102" s="100"/>
      <c r="I102" s="101"/>
      <c r="J102" s="101"/>
      <c r="K102" s="101"/>
      <c r="L102" s="101"/>
      <c r="M102" s="100"/>
      <c r="N102" s="101"/>
      <c r="O102" s="100"/>
      <c r="P102" s="6"/>
      <c r="Q102" s="102"/>
      <c r="R102" s="100" t="n">
        <v>234</v>
      </c>
      <c r="S102" s="102" t="n">
        <v>50</v>
      </c>
      <c r="T102" s="103" t="n">
        <v>21.65</v>
      </c>
      <c r="U102" s="90" t="n">
        <f aca="false">SUM(H102:T102)</f>
        <v>305.65</v>
      </c>
      <c r="V102" s="104" t="s">
        <v>46</v>
      </c>
      <c r="W102" s="9" t="s">
        <v>43</v>
      </c>
      <c r="X102" s="105" t="s">
        <v>48</v>
      </c>
      <c r="Y102" s="179"/>
      <c r="Z102" s="180"/>
    </row>
    <row r="103" s="9" customFormat="true" ht="14.1" hidden="false" customHeight="true" outlineLevel="0" collapsed="false">
      <c r="A103" s="214"/>
      <c r="B103" s="215"/>
      <c r="C103" s="216"/>
      <c r="D103" s="216"/>
      <c r="E103" s="217"/>
      <c r="F103" s="218"/>
      <c r="G103" s="219"/>
      <c r="H103" s="220"/>
      <c r="I103" s="220"/>
      <c r="J103" s="221"/>
      <c r="K103" s="221"/>
      <c r="L103" s="221"/>
      <c r="M103" s="220"/>
      <c r="N103" s="220"/>
      <c r="O103" s="220"/>
      <c r="P103" s="121"/>
      <c r="Q103" s="222"/>
      <c r="R103" s="220"/>
      <c r="S103" s="222"/>
      <c r="T103" s="223"/>
      <c r="U103" s="224"/>
      <c r="V103" s="225"/>
      <c r="W103" s="27"/>
      <c r="X103" s="27"/>
      <c r="Y103" s="230" t="n">
        <f aca="false">SUM(U51:U102)</f>
        <v>13177.98</v>
      </c>
      <c r="Z103" s="227" t="n">
        <f aca="false">Y103/V105</f>
        <v>0.45328957054033</v>
      </c>
      <c r="AA103" s="49"/>
    </row>
    <row r="104" s="9" customFormat="true" ht="19.5" hidden="false" customHeight="true" outlineLevel="0" collapsed="false">
      <c r="A104" s="107"/>
      <c r="B104" s="108" t="s">
        <v>21</v>
      </c>
      <c r="C104" s="109"/>
      <c r="D104" s="110"/>
      <c r="E104" s="111"/>
      <c r="F104" s="109"/>
      <c r="G104" s="112"/>
      <c r="H104" s="113" t="n">
        <f aca="false">SUM(H4:H102)</f>
        <v>0</v>
      </c>
      <c r="I104" s="113" t="n">
        <f aca="false">SUM(I4:I102)</f>
        <v>249</v>
      </c>
      <c r="J104" s="113" t="n">
        <f aca="false">SUM(J4:J102)</f>
        <v>0</v>
      </c>
      <c r="K104" s="114" t="n">
        <f aca="false">SUM(K4:K102)</f>
        <v>0</v>
      </c>
      <c r="L104" s="115" t="n">
        <f aca="false">SUM(L4:L102)</f>
        <v>5</v>
      </c>
      <c r="M104" s="231" t="n">
        <f aca="false">SUM(M4:N102)</f>
        <v>4062</v>
      </c>
      <c r="N104" s="232"/>
      <c r="O104" s="117" t="n">
        <f aca="false">SUM(O4:O102)</f>
        <v>475</v>
      </c>
      <c r="P104" s="117" t="n">
        <f aca="false">SUM(P4:P102)</f>
        <v>570</v>
      </c>
      <c r="Q104" s="117" t="n">
        <f aca="false">SUM(Q4:Q102)</f>
        <v>180</v>
      </c>
      <c r="R104" s="118" t="n">
        <f aca="false">SUM(R4:R102)</f>
        <v>18806.5</v>
      </c>
      <c r="S104" s="118" t="n">
        <f aca="false">SUM(S4:S102)</f>
        <v>3259</v>
      </c>
      <c r="T104" s="119" t="n">
        <f aca="false">SUM(T4:T102)</f>
        <v>1465.38</v>
      </c>
      <c r="U104" s="120" t="n">
        <f aca="false">SUM(U4:U102)</f>
        <v>29071.88</v>
      </c>
      <c r="V104" s="121"/>
      <c r="W104" s="233"/>
      <c r="X104" s="233"/>
      <c r="Y104" s="234"/>
    </row>
    <row r="105" s="9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8"/>
      <c r="V105" s="235" t="n">
        <f aca="false">SUM(H104:T104)</f>
        <v>29071.88</v>
      </c>
      <c r="Y105" s="236"/>
      <c r="Z105" s="11"/>
    </row>
    <row r="106" s="9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8"/>
      <c r="V106" s="2"/>
      <c r="Y106" s="236"/>
      <c r="Z106" s="11"/>
    </row>
    <row r="107" s="9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8"/>
      <c r="V107" s="2"/>
      <c r="Y107" s="236"/>
      <c r="Z107" s="11"/>
    </row>
    <row r="108" s="9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8"/>
      <c r="V108" s="2"/>
      <c r="Y108" s="236"/>
      <c r="Z108" s="11"/>
    </row>
    <row r="109" s="9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8"/>
      <c r="V109" s="2"/>
      <c r="Y109" s="236"/>
      <c r="Z109" s="11"/>
    </row>
    <row r="110" s="9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8"/>
      <c r="V110" s="2"/>
      <c r="Y110" s="236"/>
      <c r="Z110" s="11"/>
    </row>
    <row r="111" s="9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8"/>
      <c r="V111" s="2"/>
      <c r="Y111" s="236"/>
      <c r="Z111" s="11"/>
    </row>
    <row r="112" s="9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8"/>
      <c r="V112" s="2"/>
      <c r="Y112" s="236"/>
      <c r="Z112" s="11"/>
    </row>
    <row r="113" s="9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8"/>
      <c r="V113" s="2"/>
      <c r="Y113" s="236"/>
      <c r="Z113" s="11"/>
    </row>
    <row r="114" s="9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8"/>
      <c r="V114" s="2"/>
      <c r="Y114" s="236"/>
      <c r="Z114" s="11"/>
    </row>
    <row r="115" s="9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8"/>
      <c r="V115" s="2"/>
      <c r="Y115" s="236"/>
      <c r="Z115" s="11"/>
    </row>
    <row r="116" s="9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8"/>
      <c r="V116" s="2"/>
      <c r="Y116" s="236"/>
      <c r="Z116" s="11"/>
    </row>
    <row r="117" s="9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8"/>
      <c r="V117" s="2"/>
      <c r="Y117" s="236"/>
      <c r="Z117" s="11"/>
    </row>
    <row r="118" s="9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8"/>
      <c r="V118" s="2"/>
      <c r="Y118" s="236"/>
      <c r="Z118" s="11"/>
    </row>
    <row r="119" s="9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8"/>
      <c r="V119" s="2"/>
      <c r="Y119" s="236"/>
      <c r="Z119" s="11"/>
    </row>
    <row r="120" s="9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8"/>
      <c r="V120" s="2"/>
      <c r="Y120" s="236"/>
      <c r="Z120" s="11"/>
    </row>
    <row r="121" s="9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8"/>
      <c r="V121" s="2"/>
      <c r="Y121" s="236"/>
      <c r="Z121" s="11"/>
    </row>
    <row r="122" s="9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8"/>
      <c r="V122" s="2"/>
      <c r="Y122" s="236"/>
      <c r="Z122" s="11"/>
    </row>
    <row r="123" s="9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8"/>
      <c r="V123" s="2"/>
      <c r="Y123" s="236"/>
      <c r="Z123" s="11"/>
    </row>
    <row r="124" s="9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8"/>
      <c r="V124" s="2"/>
      <c r="Y124" s="236"/>
      <c r="Z124" s="11"/>
    </row>
    <row r="125" s="9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8"/>
      <c r="V125" s="2"/>
      <c r="Y125" s="236"/>
      <c r="Z125" s="11"/>
    </row>
    <row r="126" s="9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8"/>
      <c r="V126" s="2"/>
      <c r="Y126" s="236"/>
      <c r="Z126" s="11"/>
    </row>
    <row r="127" s="9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8"/>
      <c r="V127" s="2"/>
      <c r="Y127" s="236"/>
      <c r="Z127" s="11"/>
    </row>
    <row r="128" s="9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8"/>
      <c r="V128" s="2"/>
      <c r="Y128" s="236"/>
      <c r="Z128" s="11"/>
    </row>
    <row r="129" s="9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8"/>
      <c r="V129" s="2"/>
      <c r="Y129" s="236"/>
      <c r="Z129" s="11"/>
    </row>
    <row r="130" s="9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8"/>
      <c r="V130" s="2"/>
      <c r="Y130" s="236"/>
      <c r="Z130" s="11"/>
    </row>
    <row r="131" s="9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8"/>
      <c r="V131" s="2"/>
      <c r="Y131" s="236"/>
      <c r="Z131" s="11"/>
    </row>
    <row r="132" s="9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8"/>
      <c r="V132" s="2"/>
      <c r="Y132" s="236"/>
      <c r="Z132" s="11"/>
    </row>
    <row r="133" s="9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8"/>
      <c r="V133" s="2"/>
      <c r="Y133" s="236"/>
      <c r="Z133" s="11"/>
    </row>
    <row r="134" s="9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8"/>
      <c r="V134" s="2"/>
      <c r="Y134" s="236"/>
      <c r="Z134" s="11"/>
    </row>
    <row r="135" s="9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8"/>
      <c r="V135" s="2"/>
      <c r="Y135" s="236"/>
      <c r="Z135" s="11"/>
    </row>
    <row r="136" s="9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8"/>
      <c r="V136" s="2"/>
      <c r="Y136" s="236"/>
      <c r="Z136" s="11"/>
    </row>
    <row r="137" s="9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8"/>
      <c r="V137" s="2"/>
      <c r="Y137" s="236"/>
      <c r="Z137" s="11"/>
    </row>
    <row r="138" s="9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8"/>
      <c r="V138" s="2"/>
      <c r="Y138" s="236"/>
      <c r="Z138" s="11"/>
    </row>
    <row r="139" s="9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8"/>
      <c r="V139" s="2"/>
      <c r="Y139" s="236"/>
      <c r="Z139" s="11"/>
    </row>
    <row r="140" s="9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8"/>
      <c r="V140" s="2"/>
      <c r="Y140" s="236"/>
      <c r="Z140" s="11"/>
    </row>
    <row r="141" s="9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8"/>
      <c r="V141" s="2"/>
      <c r="Y141" s="236"/>
      <c r="Z141" s="11"/>
    </row>
    <row r="142" s="9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8"/>
      <c r="V142" s="2"/>
      <c r="Y142" s="236"/>
      <c r="Z142" s="11"/>
    </row>
    <row r="143" s="9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8"/>
      <c r="V143" s="2"/>
      <c r="Y143" s="236"/>
      <c r="Z143" s="11"/>
    </row>
    <row r="144" s="9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8"/>
      <c r="V144" s="2"/>
      <c r="Y144" s="236"/>
      <c r="Z144" s="11"/>
    </row>
    <row r="145" s="9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8"/>
      <c r="V145" s="2"/>
      <c r="Y145" s="236"/>
      <c r="Z145" s="11"/>
    </row>
    <row r="146" s="9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8"/>
      <c r="V146" s="2"/>
      <c r="Y146" s="236"/>
      <c r="Z146" s="11"/>
    </row>
    <row r="147" s="9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8"/>
      <c r="V147" s="2"/>
      <c r="Y147" s="236"/>
      <c r="Z147" s="11"/>
    </row>
    <row r="148" s="9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8"/>
      <c r="V148" s="2"/>
      <c r="Y148" s="236"/>
      <c r="Z148" s="11"/>
    </row>
    <row r="149" s="9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8"/>
      <c r="V149" s="2"/>
      <c r="Y149" s="236"/>
      <c r="Z149" s="11"/>
    </row>
    <row r="150" s="9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8"/>
      <c r="V150" s="2"/>
      <c r="Y150" s="236"/>
      <c r="Z150" s="11"/>
    </row>
    <row r="151" s="9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8"/>
      <c r="V151" s="2"/>
      <c r="Y151" s="236"/>
      <c r="Z151" s="11"/>
    </row>
    <row r="152" s="9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8"/>
      <c r="V152" s="2"/>
      <c r="Y152" s="236"/>
      <c r="Z152" s="11"/>
    </row>
    <row r="153" s="9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8"/>
      <c r="V153" s="2"/>
      <c r="Y153" s="236"/>
      <c r="Z153" s="11"/>
    </row>
    <row r="154" s="9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8"/>
      <c r="V154" s="2"/>
      <c r="Y154" s="236"/>
      <c r="Z154" s="11"/>
    </row>
    <row r="155" s="9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8"/>
      <c r="V155" s="2"/>
      <c r="Y155" s="236"/>
      <c r="Z155" s="11"/>
    </row>
    <row r="156" s="9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8"/>
      <c r="V156" s="2"/>
      <c r="Y156" s="236"/>
      <c r="Z156" s="11"/>
    </row>
    <row r="157" s="9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8"/>
      <c r="V157" s="2"/>
      <c r="Y157" s="236"/>
      <c r="Z157" s="11"/>
    </row>
    <row r="158" s="9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8"/>
      <c r="V158" s="2"/>
      <c r="Y158" s="236"/>
      <c r="Z158" s="11"/>
    </row>
    <row r="159" s="9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8"/>
      <c r="V159" s="2"/>
      <c r="Y159" s="236"/>
      <c r="Z159" s="11"/>
    </row>
    <row r="160" s="9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8"/>
      <c r="V160" s="2"/>
      <c r="Y160" s="236"/>
      <c r="Z160" s="11"/>
    </row>
    <row r="161" s="9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8"/>
      <c r="V161" s="2"/>
      <c r="Y161" s="236"/>
      <c r="Z161" s="11"/>
    </row>
    <row r="162" s="9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8"/>
      <c r="V162" s="2"/>
      <c r="Y162" s="236"/>
      <c r="Z162" s="11"/>
    </row>
    <row r="163" s="9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8"/>
      <c r="V163" s="2"/>
      <c r="Y163" s="236"/>
      <c r="Z163" s="11"/>
    </row>
    <row r="164" s="9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8"/>
      <c r="V164" s="2"/>
      <c r="Y164" s="236"/>
      <c r="Z164" s="11"/>
    </row>
    <row r="165" s="9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8"/>
      <c r="V165" s="2"/>
      <c r="Y165" s="236"/>
      <c r="Z165" s="11"/>
    </row>
    <row r="166" s="9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8"/>
      <c r="V166" s="2"/>
      <c r="Y166" s="236"/>
      <c r="Z166" s="11"/>
    </row>
    <row r="167" s="9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8"/>
      <c r="V167" s="2"/>
      <c r="Y167" s="236"/>
      <c r="Z167" s="11"/>
    </row>
    <row r="168" s="9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8"/>
      <c r="V168" s="2"/>
      <c r="Y168" s="236"/>
      <c r="Z168" s="11"/>
    </row>
    <row r="169" s="9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8"/>
      <c r="V169" s="2"/>
      <c r="Y169" s="236"/>
      <c r="Z169" s="11"/>
    </row>
    <row r="170" s="9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8"/>
      <c r="V170" s="2"/>
      <c r="Y170" s="236"/>
      <c r="Z170" s="11"/>
    </row>
    <row r="171" s="9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8"/>
      <c r="V171" s="2"/>
      <c r="Y171" s="236"/>
      <c r="Z171" s="11"/>
    </row>
    <row r="172" s="9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8"/>
      <c r="V172" s="2"/>
      <c r="Y172" s="236"/>
      <c r="Z172" s="11"/>
    </row>
    <row r="173" s="9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8"/>
      <c r="V173" s="2"/>
      <c r="Y173" s="236"/>
      <c r="Z173" s="11"/>
    </row>
    <row r="174" s="9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8"/>
      <c r="V174" s="2"/>
      <c r="Y174" s="236"/>
      <c r="Z174" s="11"/>
    </row>
    <row r="175" s="9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8"/>
      <c r="V175" s="2"/>
      <c r="Y175" s="236"/>
      <c r="Z175" s="11"/>
    </row>
    <row r="176" s="9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8"/>
      <c r="V176" s="2"/>
      <c r="Y176" s="236"/>
      <c r="Z176" s="11"/>
    </row>
    <row r="177" s="9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8"/>
      <c r="V177" s="2"/>
      <c r="Y177" s="236"/>
      <c r="Z177" s="11"/>
    </row>
    <row r="178" s="9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8"/>
      <c r="V178" s="2"/>
      <c r="Y178" s="236"/>
      <c r="Z178" s="11"/>
    </row>
    <row r="179" s="9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8"/>
      <c r="V179" s="2"/>
      <c r="Y179" s="236"/>
      <c r="Z179" s="11"/>
    </row>
    <row r="180" s="9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8"/>
      <c r="V180" s="2"/>
      <c r="Y180" s="236"/>
      <c r="Z180" s="11"/>
    </row>
    <row r="181" s="9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8"/>
      <c r="V181" s="2"/>
      <c r="Y181" s="236"/>
      <c r="Z181" s="11"/>
    </row>
    <row r="182" s="9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8"/>
      <c r="V182" s="2"/>
      <c r="Y182" s="236"/>
      <c r="Z182" s="11"/>
    </row>
    <row r="183" s="9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8"/>
      <c r="V183" s="2"/>
      <c r="Y183" s="236"/>
      <c r="Z183" s="11"/>
    </row>
    <row r="184" s="9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8"/>
      <c r="V184" s="2"/>
      <c r="Y184" s="236"/>
      <c r="Z184" s="11"/>
    </row>
    <row r="185" s="9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8"/>
      <c r="V185" s="2"/>
      <c r="Y185" s="236"/>
      <c r="Z185" s="11"/>
    </row>
    <row r="186" s="9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8"/>
      <c r="V186" s="2"/>
      <c r="Y186" s="236"/>
      <c r="Z186" s="11"/>
    </row>
    <row r="187" s="9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8"/>
      <c r="V187" s="2"/>
      <c r="Y187" s="236"/>
      <c r="Z187" s="11"/>
    </row>
    <row r="188" s="9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8"/>
      <c r="V188" s="2"/>
      <c r="Y188" s="236"/>
      <c r="Z188" s="11"/>
    </row>
    <row r="189" s="9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8"/>
      <c r="V189" s="2"/>
      <c r="Y189" s="236"/>
      <c r="Z189" s="11"/>
    </row>
    <row r="190" s="9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8"/>
      <c r="V190" s="2"/>
      <c r="Y190" s="236"/>
      <c r="Z190" s="11"/>
    </row>
    <row r="191" s="9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8"/>
      <c r="V191" s="2"/>
      <c r="Y191" s="236"/>
      <c r="Z191" s="11"/>
    </row>
    <row r="192" s="9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8"/>
      <c r="V192" s="2"/>
      <c r="Y192" s="236"/>
      <c r="Z192" s="11"/>
    </row>
    <row r="193" s="9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8"/>
      <c r="V193" s="2"/>
      <c r="Y193" s="236"/>
      <c r="Z193" s="11"/>
    </row>
    <row r="194" s="9" customFormat="true" ht="14.1" hidden="false" customHeight="true" outlineLevel="0" collapsed="false">
      <c r="A194" s="2"/>
      <c r="B194" s="2"/>
      <c r="C194" s="237"/>
      <c r="D194" s="3"/>
      <c r="E194" s="4"/>
      <c r="F194" s="3"/>
      <c r="G194" s="5"/>
      <c r="H194" s="6"/>
      <c r="I194" s="6"/>
      <c r="J194" s="6"/>
      <c r="K194" s="238"/>
      <c r="L194" s="6"/>
      <c r="M194" s="6"/>
      <c r="N194" s="6"/>
      <c r="O194" s="6"/>
      <c r="P194" s="6"/>
      <c r="Q194" s="6"/>
      <c r="R194" s="6"/>
      <c r="S194" s="7"/>
      <c r="T194" s="7"/>
      <c r="V194" s="239"/>
      <c r="W194" s="240"/>
      <c r="X194" s="240"/>
      <c r="Y194" s="241"/>
      <c r="Z194" s="2"/>
    </row>
    <row r="195" s="244" customFormat="true" ht="26.25" hidden="false" customHeight="true" outlineLevel="0" collapsed="false">
      <c r="A195" s="242"/>
      <c r="B195" s="243"/>
      <c r="C195" s="243"/>
      <c r="D195" s="9"/>
      <c r="E195" s="9"/>
      <c r="F195" s="236"/>
      <c r="G195" s="9"/>
      <c r="H195" s="238"/>
      <c r="I195" s="238"/>
      <c r="J195" s="238"/>
      <c r="K195" s="6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132"/>
      <c r="W195" s="10"/>
      <c r="X195" s="10"/>
      <c r="Y195" s="3"/>
      <c r="Z195" s="2"/>
    </row>
    <row r="196" customFormat="false" ht="15" hidden="false" customHeight="true" outlineLevel="0" collapsed="false">
      <c r="V196" s="245"/>
      <c r="W196" s="2"/>
      <c r="X196" s="2"/>
    </row>
    <row r="204" s="2" customFormat="true" ht="9.75" hidden="false" customHeight="true" outlineLevel="0" collapsed="false">
      <c r="F204" s="3"/>
    </row>
    <row r="205" s="2" customFormat="true" ht="10.5" hidden="false" customHeight="true" outlineLevel="0" collapsed="false">
      <c r="F205" s="129"/>
    </row>
    <row r="206" s="2" customFormat="true" ht="9.75" hidden="false" customHeight="true" outlineLevel="0" collapsed="false">
      <c r="F206" s="3"/>
    </row>
    <row r="219" s="2" customFormat="true" ht="9.75" hidden="false" customHeight="true" outlineLevel="0" collapsed="false">
      <c r="J219" s="4"/>
    </row>
    <row r="234" customFormat="false" ht="15" hidden="false" customHeight="true" outlineLevel="0" collapsed="false"/>
    <row r="243" customFormat="false" ht="10.5" hidden="false" customHeight="true" outlineLevel="0" collapsed="false"/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7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92" activePane="bottomLeft" state="frozen"/>
      <selection pane="topLeft" activeCell="A1" activeCellId="0" sqref="A1"/>
      <selection pane="bottomLeft" activeCell="D116" activeCellId="1" sqref="60:60 D116"/>
    </sheetView>
  </sheetViews>
  <sheetFormatPr defaultColWidth="6.88671875" defaultRowHeight="12.8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28" width="9.13"/>
    <col collapsed="false" customWidth="true" hidden="false" outlineLevel="0" max="5" min="5" style="4" width="5.01"/>
    <col collapsed="false" customWidth="true" hidden="false" outlineLevel="0" max="6" min="6" style="129" width="10.29"/>
    <col collapsed="false" customWidth="true" hidden="false" outlineLevel="0" max="7" min="7" style="130" width="5.57"/>
    <col collapsed="false" customWidth="true" hidden="false" outlineLevel="0" max="8" min="8" style="6" width="9.29"/>
    <col collapsed="false" customWidth="true" hidden="false" outlineLevel="0" max="9" min="9" style="6" width="5.14"/>
    <col collapsed="false" customWidth="true" hidden="false" outlineLevel="0" max="10" min="10" style="6" width="5.57"/>
    <col collapsed="false" customWidth="true" hidden="false" outlineLevel="0" max="11" min="11" style="6" width="7"/>
    <col collapsed="false" customWidth="true" hidden="false" outlineLevel="0" max="12" min="12" style="6" width="7.15"/>
    <col collapsed="false" customWidth="true" hidden="false" outlineLevel="0" max="13" min="13" style="6" width="6.15"/>
    <col collapsed="false" customWidth="true" hidden="false" outlineLevel="0" max="14" min="14" style="6" width="5.43"/>
    <col collapsed="false" customWidth="true" hidden="false" outlineLevel="0" max="15" min="15" style="6" width="6.28"/>
    <col collapsed="false" customWidth="true" hidden="false" outlineLevel="0" max="16" min="16" style="6" width="6.71"/>
    <col collapsed="false" customWidth="true" hidden="false" outlineLevel="0" max="17" min="17" style="7" width="5.7"/>
    <col collapsed="false" customWidth="true" hidden="false" outlineLevel="0" max="18" min="18" style="2" width="7"/>
    <col collapsed="false" customWidth="true" hidden="false" outlineLevel="0" max="19" min="19" style="9" width="7"/>
    <col collapsed="false" customWidth="true" hidden="false" outlineLevel="0" max="20" min="20" style="131" width="6.28"/>
    <col collapsed="false" customWidth="true" hidden="false" outlineLevel="0" max="21" min="21" style="132" width="9.13"/>
    <col collapsed="false" customWidth="true" hidden="false" outlineLevel="0" max="22" min="22" style="10" width="9"/>
    <col collapsed="false" customWidth="true" hidden="false" outlineLevel="0" max="23" min="23" style="9" width="6.71"/>
    <col collapsed="false" customWidth="true" hidden="false" outlineLevel="0" max="24" min="24" style="9" width="3.57"/>
    <col collapsed="false" customWidth="true" hidden="false" outlineLevel="0" max="25" min="25" style="3" width="8.86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33"/>
      <c r="B1" s="134" t="n">
        <v>45382</v>
      </c>
      <c r="C1" s="135"/>
      <c r="D1" s="136"/>
      <c r="E1" s="137" t="s">
        <v>26</v>
      </c>
      <c r="F1" s="138"/>
      <c r="G1" s="138"/>
      <c r="H1" s="139" t="s">
        <v>27</v>
      </c>
      <c r="I1" s="140"/>
      <c r="K1" s="141" t="s">
        <v>28</v>
      </c>
      <c r="L1" s="141"/>
      <c r="M1" s="142"/>
      <c r="N1" s="141"/>
      <c r="O1" s="143" t="s">
        <v>29</v>
      </c>
      <c r="P1" s="144"/>
      <c r="Q1" s="145"/>
      <c r="R1" s="146"/>
      <c r="S1" s="147"/>
      <c r="T1" s="148"/>
      <c r="U1" s="149"/>
      <c r="V1" s="150"/>
      <c r="W1" s="10"/>
      <c r="X1" s="10"/>
    </row>
    <row r="2" s="9" customFormat="true" ht="12.75" hidden="false" customHeight="true" outlineLevel="0" collapsed="false">
      <c r="A2" s="27" t="s">
        <v>30</v>
      </c>
      <c r="B2" s="151" t="s">
        <v>1</v>
      </c>
      <c r="C2" s="151"/>
      <c r="D2" s="152" t="s">
        <v>3</v>
      </c>
      <c r="E2" s="153" t="s">
        <v>31</v>
      </c>
      <c r="F2" s="154" t="s">
        <v>5</v>
      </c>
      <c r="G2" s="155" t="s">
        <v>32</v>
      </c>
      <c r="H2" s="156" t="s">
        <v>33</v>
      </c>
      <c r="I2" s="156" t="s">
        <v>34</v>
      </c>
      <c r="J2" s="156" t="s">
        <v>35</v>
      </c>
      <c r="K2" s="156" t="s">
        <v>36</v>
      </c>
      <c r="L2" s="122" t="s">
        <v>12</v>
      </c>
      <c r="M2" s="157" t="s">
        <v>37</v>
      </c>
      <c r="N2" s="122" t="s">
        <v>38</v>
      </c>
      <c r="O2" s="156" t="s">
        <v>39</v>
      </c>
      <c r="P2" s="156" t="s">
        <v>40</v>
      </c>
      <c r="Q2" s="122" t="s">
        <v>41</v>
      </c>
      <c r="R2" s="156" t="s">
        <v>42</v>
      </c>
      <c r="S2" s="156" t="s">
        <v>19</v>
      </c>
      <c r="T2" s="158" t="s">
        <v>20</v>
      </c>
      <c r="U2" s="151" t="s">
        <v>21</v>
      </c>
      <c r="V2" s="132"/>
      <c r="W2" s="159"/>
      <c r="X2" s="159"/>
      <c r="Y2" s="160"/>
      <c r="Z2" s="2"/>
    </row>
    <row r="3" customFormat="false" ht="4.5" hidden="false" customHeight="true" outlineLevel="0" collapsed="false">
      <c r="D3" s="2"/>
      <c r="F3" s="3"/>
      <c r="G3" s="5"/>
      <c r="I3" s="88"/>
      <c r="M3" s="102"/>
      <c r="Q3" s="6"/>
      <c r="R3" s="6"/>
      <c r="S3" s="6"/>
      <c r="T3" s="7"/>
      <c r="U3" s="8"/>
      <c r="V3" s="104"/>
      <c r="W3" s="161"/>
      <c r="X3" s="161"/>
      <c r="Y3" s="162"/>
      <c r="Z3" s="163"/>
    </row>
    <row r="4" s="9" customFormat="true" ht="14.1" hidden="false" customHeight="true" outlineLevel="0" collapsed="false">
      <c r="A4" s="95" t="s">
        <v>43</v>
      </c>
      <c r="B4" s="2" t="s">
        <v>152</v>
      </c>
      <c r="C4" s="3"/>
      <c r="D4" s="96" t="n">
        <v>3154051</v>
      </c>
      <c r="E4" s="97" t="n">
        <v>45366</v>
      </c>
      <c r="F4" s="98" t="s">
        <v>153</v>
      </c>
      <c r="G4" s="5" t="n">
        <v>45366</v>
      </c>
      <c r="H4" s="100"/>
      <c r="I4" s="101" t="n">
        <v>249</v>
      </c>
      <c r="J4" s="101"/>
      <c r="K4" s="101"/>
      <c r="L4" s="101"/>
      <c r="M4" s="100"/>
      <c r="N4" s="101"/>
      <c r="O4" s="100"/>
      <c r="P4" s="6"/>
      <c r="Q4" s="102"/>
      <c r="R4" s="100"/>
      <c r="S4" s="102"/>
      <c r="T4" s="103" t="n">
        <v>20.7</v>
      </c>
      <c r="U4" s="90" t="n">
        <f aca="false">SUM(H4:T4)</f>
        <v>269.7</v>
      </c>
      <c r="V4" s="104" t="s">
        <v>154</v>
      </c>
      <c r="W4" s="9" t="s">
        <v>155</v>
      </c>
      <c r="X4" s="105" t="s">
        <v>48</v>
      </c>
      <c r="Y4" s="179"/>
      <c r="Z4" s="180"/>
    </row>
    <row r="5" s="9" customFormat="true" ht="14.1" hidden="false" customHeight="true" outlineLevel="0" collapsed="false">
      <c r="A5" s="181" t="s">
        <v>43</v>
      </c>
      <c r="B5" s="182" t="s">
        <v>49</v>
      </c>
      <c r="C5" s="183"/>
      <c r="D5" s="184" t="n">
        <v>11133106</v>
      </c>
      <c r="E5" s="185" t="n">
        <v>45243</v>
      </c>
      <c r="F5" s="186" t="s">
        <v>45</v>
      </c>
      <c r="G5" s="187" t="n">
        <v>45243</v>
      </c>
      <c r="H5" s="188"/>
      <c r="I5" s="189"/>
      <c r="J5" s="189"/>
      <c r="K5" s="189"/>
      <c r="L5" s="189"/>
      <c r="M5" s="188"/>
      <c r="N5" s="189"/>
      <c r="O5" s="188"/>
      <c r="P5" s="190"/>
      <c r="Q5" s="191"/>
      <c r="R5" s="188" t="n">
        <v>165</v>
      </c>
      <c r="S5" s="191" t="n">
        <v>37.5</v>
      </c>
      <c r="T5" s="192" t="n">
        <v>16.91</v>
      </c>
      <c r="U5" s="193" t="n">
        <f aca="false">SUM(H5:T5)</f>
        <v>219.41</v>
      </c>
      <c r="V5" s="194" t="s">
        <v>46</v>
      </c>
      <c r="W5" s="195" t="s">
        <v>43</v>
      </c>
      <c r="X5" s="105" t="s">
        <v>48</v>
      </c>
      <c r="Y5" s="196"/>
      <c r="Z5" s="49"/>
    </row>
    <row r="6" s="9" customFormat="true" ht="14.1" hidden="false" customHeight="true" outlineLevel="0" collapsed="false">
      <c r="A6" s="164" t="s">
        <v>43</v>
      </c>
      <c r="B6" s="165" t="s">
        <v>49</v>
      </c>
      <c r="C6" s="166"/>
      <c r="D6" s="167" t="n">
        <v>2164101</v>
      </c>
      <c r="E6" s="168" t="n">
        <v>45338</v>
      </c>
      <c r="F6" s="169" t="s">
        <v>45</v>
      </c>
      <c r="G6" s="170" t="n">
        <v>45338</v>
      </c>
      <c r="H6" s="171"/>
      <c r="I6" s="172"/>
      <c r="J6" s="172"/>
      <c r="K6" s="172"/>
      <c r="L6" s="172"/>
      <c r="M6" s="171"/>
      <c r="N6" s="172"/>
      <c r="O6" s="171"/>
      <c r="P6" s="173"/>
      <c r="Q6" s="174"/>
      <c r="R6" s="171" t="n">
        <v>165</v>
      </c>
      <c r="S6" s="174" t="n">
        <v>37.5</v>
      </c>
      <c r="T6" s="175" t="n">
        <v>16.91</v>
      </c>
      <c r="U6" s="176" t="n">
        <f aca="false">SUM(H6:T6)</f>
        <v>219.41</v>
      </c>
      <c r="V6" s="177" t="s">
        <v>46</v>
      </c>
      <c r="W6" s="178" t="s">
        <v>43</v>
      </c>
      <c r="X6" s="105" t="s">
        <v>48</v>
      </c>
      <c r="Y6" s="179"/>
      <c r="Z6" s="180"/>
    </row>
    <row r="7" s="9" customFormat="true" ht="14.1" hidden="false" customHeight="true" outlineLevel="0" collapsed="false">
      <c r="A7" s="95" t="s">
        <v>43</v>
      </c>
      <c r="B7" s="2" t="s">
        <v>49</v>
      </c>
      <c r="C7" s="3"/>
      <c r="D7" s="96" t="n">
        <v>3254102</v>
      </c>
      <c r="E7" s="97" t="n">
        <v>45376</v>
      </c>
      <c r="F7" s="98" t="s">
        <v>45</v>
      </c>
      <c r="G7" s="5" t="n">
        <v>45376</v>
      </c>
      <c r="H7" s="100"/>
      <c r="I7" s="101"/>
      <c r="J7" s="101"/>
      <c r="K7" s="101"/>
      <c r="L7" s="101"/>
      <c r="M7" s="100"/>
      <c r="N7" s="101"/>
      <c r="O7" s="100"/>
      <c r="P7" s="6"/>
      <c r="Q7" s="102"/>
      <c r="R7" s="100" t="n">
        <v>143</v>
      </c>
      <c r="S7" s="102" t="n">
        <v>25</v>
      </c>
      <c r="T7" s="103" t="n">
        <v>14.66</v>
      </c>
      <c r="U7" s="90" t="n">
        <f aca="false">SUM(H7:T7)</f>
        <v>182.66</v>
      </c>
      <c r="V7" s="104" t="s">
        <v>46</v>
      </c>
      <c r="W7" s="9" t="s">
        <v>47</v>
      </c>
      <c r="X7" s="105" t="s">
        <v>48</v>
      </c>
      <c r="Y7" s="179"/>
      <c r="Z7" s="180"/>
    </row>
    <row r="8" s="9" customFormat="true" ht="14.1" hidden="false" customHeight="true" outlineLevel="0" collapsed="false">
      <c r="A8" s="164" t="s">
        <v>43</v>
      </c>
      <c r="B8" s="165" t="s">
        <v>156</v>
      </c>
      <c r="C8" s="166"/>
      <c r="D8" s="167" t="n">
        <v>2294104</v>
      </c>
      <c r="E8" s="168" t="n">
        <v>45351</v>
      </c>
      <c r="F8" s="169" t="s">
        <v>45</v>
      </c>
      <c r="G8" s="170" t="n">
        <v>45351</v>
      </c>
      <c r="H8" s="171"/>
      <c r="I8" s="172"/>
      <c r="J8" s="172"/>
      <c r="K8" s="172"/>
      <c r="L8" s="172"/>
      <c r="M8" s="171"/>
      <c r="N8" s="172"/>
      <c r="O8" s="171"/>
      <c r="P8" s="173"/>
      <c r="Q8" s="174"/>
      <c r="R8" s="171" t="n">
        <v>440</v>
      </c>
      <c r="S8" s="174" t="n">
        <v>100</v>
      </c>
      <c r="T8" s="175" t="n">
        <v>34.1</v>
      </c>
      <c r="U8" s="176" t="n">
        <f aca="false">SUM(H8:T8)</f>
        <v>574.1</v>
      </c>
      <c r="V8" s="177" t="s">
        <v>46</v>
      </c>
      <c r="W8" s="178" t="s">
        <v>43</v>
      </c>
      <c r="X8" s="105" t="s">
        <v>48</v>
      </c>
      <c r="Y8" s="179"/>
      <c r="Z8" s="180"/>
    </row>
    <row r="9" s="9" customFormat="true" ht="14.1" hidden="false" customHeight="true" outlineLevel="0" collapsed="false">
      <c r="A9" s="164" t="s">
        <v>43</v>
      </c>
      <c r="B9" s="165" t="s">
        <v>156</v>
      </c>
      <c r="C9" s="166"/>
      <c r="D9" s="167" t="n">
        <v>2294105</v>
      </c>
      <c r="E9" s="168" t="n">
        <v>45351</v>
      </c>
      <c r="F9" s="169" t="s">
        <v>45</v>
      </c>
      <c r="G9" s="170" t="n">
        <v>45351</v>
      </c>
      <c r="H9" s="171"/>
      <c r="I9" s="172"/>
      <c r="J9" s="172"/>
      <c r="K9" s="172"/>
      <c r="L9" s="172"/>
      <c r="M9" s="171"/>
      <c r="N9" s="172"/>
      <c r="O9" s="171"/>
      <c r="P9" s="173"/>
      <c r="Q9" s="174"/>
      <c r="R9" s="171" t="n">
        <v>5</v>
      </c>
      <c r="S9" s="174" t="n">
        <v>35</v>
      </c>
      <c r="T9" s="175" t="n">
        <v>0.39</v>
      </c>
      <c r="U9" s="176" t="n">
        <f aca="false">SUM(H9:T9)</f>
        <v>40.39</v>
      </c>
      <c r="V9" s="177" t="s">
        <v>46</v>
      </c>
      <c r="W9" s="178" t="s">
        <v>43</v>
      </c>
      <c r="X9" s="105" t="s">
        <v>48</v>
      </c>
      <c r="Y9" s="179"/>
      <c r="Z9" s="180"/>
    </row>
    <row r="10" s="9" customFormat="true" ht="14.1" hidden="false" customHeight="true" outlineLevel="0" collapsed="false">
      <c r="A10" s="95" t="s">
        <v>43</v>
      </c>
      <c r="B10" s="2" t="s">
        <v>56</v>
      </c>
      <c r="C10" s="3"/>
      <c r="D10" s="96" t="n">
        <v>3224101</v>
      </c>
      <c r="E10" s="97" t="n">
        <v>45373</v>
      </c>
      <c r="F10" s="98" t="s">
        <v>45</v>
      </c>
      <c r="G10" s="5" t="n">
        <v>45373</v>
      </c>
      <c r="H10" s="100"/>
      <c r="I10" s="101"/>
      <c r="J10" s="101"/>
      <c r="K10" s="101"/>
      <c r="L10" s="101"/>
      <c r="M10" s="100"/>
      <c r="N10" s="101"/>
      <c r="O10" s="100"/>
      <c r="P10" s="6"/>
      <c r="Q10" s="102"/>
      <c r="R10" s="100" t="n">
        <v>175</v>
      </c>
      <c r="S10" s="102" t="n">
        <v>37.5</v>
      </c>
      <c r="T10" s="103" t="n">
        <v>16.19</v>
      </c>
      <c r="U10" s="90" t="n">
        <f aca="false">SUM(H10:T10)</f>
        <v>228.69</v>
      </c>
      <c r="V10" s="104" t="s">
        <v>46</v>
      </c>
      <c r="W10" s="9" t="s">
        <v>43</v>
      </c>
      <c r="X10" s="105" t="s">
        <v>48</v>
      </c>
      <c r="Y10" s="179"/>
      <c r="Z10" s="180"/>
    </row>
    <row r="11" s="9" customFormat="true" ht="14.1" hidden="false" customHeight="true" outlineLevel="0" collapsed="false">
      <c r="A11" s="181" t="s">
        <v>43</v>
      </c>
      <c r="B11" s="182" t="s">
        <v>57</v>
      </c>
      <c r="C11" s="183"/>
      <c r="D11" s="184" t="n">
        <v>11143102</v>
      </c>
      <c r="E11" s="185" t="n">
        <v>45244</v>
      </c>
      <c r="F11" s="186" t="s">
        <v>45</v>
      </c>
      <c r="G11" s="187" t="n">
        <v>45247</v>
      </c>
      <c r="H11" s="188"/>
      <c r="I11" s="189"/>
      <c r="J11" s="189"/>
      <c r="K11" s="189"/>
      <c r="L11" s="189"/>
      <c r="M11" s="188"/>
      <c r="N11" s="189"/>
      <c r="O11" s="188"/>
      <c r="P11" s="190"/>
      <c r="Q11" s="191"/>
      <c r="R11" s="188" t="n">
        <v>900</v>
      </c>
      <c r="S11" s="191" t="n">
        <v>250</v>
      </c>
      <c r="T11" s="192" t="n">
        <v>83.25</v>
      </c>
      <c r="U11" s="193" t="n">
        <f aca="false">SUM(H11:T11)</f>
        <v>1233.25</v>
      </c>
      <c r="V11" s="194" t="s">
        <v>58</v>
      </c>
      <c r="W11" s="195" t="s">
        <v>59</v>
      </c>
      <c r="X11" s="105" t="s">
        <v>48</v>
      </c>
      <c r="Y11" s="196"/>
      <c r="Z11" s="49"/>
    </row>
    <row r="12" s="9" customFormat="true" ht="14.1" hidden="false" customHeight="true" outlineLevel="0" collapsed="false">
      <c r="A12" s="95" t="s">
        <v>43</v>
      </c>
      <c r="B12" s="2" t="s">
        <v>157</v>
      </c>
      <c r="C12" s="3"/>
      <c r="D12" s="96" t="n">
        <v>3184106</v>
      </c>
      <c r="E12" s="97" t="n">
        <v>45369</v>
      </c>
      <c r="F12" s="98" t="s">
        <v>45</v>
      </c>
      <c r="G12" s="5" t="n">
        <v>45369</v>
      </c>
      <c r="H12" s="100"/>
      <c r="I12" s="101"/>
      <c r="J12" s="101"/>
      <c r="K12" s="101"/>
      <c r="L12" s="101"/>
      <c r="M12" s="100"/>
      <c r="N12" s="101"/>
      <c r="O12" s="100"/>
      <c r="P12" s="6"/>
      <c r="Q12" s="102"/>
      <c r="R12" s="100" t="n">
        <v>110</v>
      </c>
      <c r="S12" s="102" t="n">
        <v>25</v>
      </c>
      <c r="T12" s="103" t="n">
        <v>10.18</v>
      </c>
      <c r="U12" s="90" t="n">
        <f aca="false">SUM(H12:T12)</f>
        <v>145.18</v>
      </c>
      <c r="V12" s="104" t="s">
        <v>46</v>
      </c>
      <c r="W12" s="9" t="s">
        <v>43</v>
      </c>
      <c r="X12" s="105" t="s">
        <v>48</v>
      </c>
      <c r="Y12" s="179"/>
      <c r="Z12" s="180"/>
    </row>
    <row r="13" s="9" customFormat="true" ht="14.1" hidden="false" customHeight="true" outlineLevel="0" collapsed="false">
      <c r="A13" s="95" t="s">
        <v>43</v>
      </c>
      <c r="B13" s="2" t="s">
        <v>62</v>
      </c>
      <c r="C13" s="3" t="s">
        <v>158</v>
      </c>
      <c r="D13" s="96" t="n">
        <v>3064101</v>
      </c>
      <c r="E13" s="97" t="n">
        <v>45357</v>
      </c>
      <c r="F13" s="98" t="s">
        <v>45</v>
      </c>
      <c r="G13" s="5" t="n">
        <v>45357</v>
      </c>
      <c r="H13" s="100"/>
      <c r="I13" s="101"/>
      <c r="J13" s="101"/>
      <c r="K13" s="101"/>
      <c r="L13" s="101"/>
      <c r="M13" s="100"/>
      <c r="N13" s="101"/>
      <c r="O13" s="100"/>
      <c r="P13" s="6"/>
      <c r="Q13" s="102"/>
      <c r="R13" s="100" t="n">
        <v>120</v>
      </c>
      <c r="S13" s="102" t="n">
        <v>25</v>
      </c>
      <c r="T13" s="103" t="n">
        <v>10.35</v>
      </c>
      <c r="U13" s="90" t="n">
        <f aca="false">SUM(H13:T13)</f>
        <v>155.35</v>
      </c>
      <c r="V13" s="104" t="s">
        <v>46</v>
      </c>
      <c r="W13" s="9" t="s">
        <v>43</v>
      </c>
      <c r="X13" s="105" t="s">
        <v>48</v>
      </c>
      <c r="Y13" s="179"/>
      <c r="Z13" s="180"/>
    </row>
    <row r="14" s="9" customFormat="true" ht="14.1" hidden="false" customHeight="true" outlineLevel="0" collapsed="false">
      <c r="A14" s="95" t="s">
        <v>43</v>
      </c>
      <c r="B14" s="2" t="s">
        <v>62</v>
      </c>
      <c r="C14" s="3" t="s">
        <v>63</v>
      </c>
      <c r="D14" s="96" t="n">
        <v>3204101</v>
      </c>
      <c r="E14" s="97" t="n">
        <v>45371</v>
      </c>
      <c r="F14" s="98" t="s">
        <v>45</v>
      </c>
      <c r="G14" s="5" t="n">
        <v>45371</v>
      </c>
      <c r="H14" s="100"/>
      <c r="I14" s="101"/>
      <c r="J14" s="101"/>
      <c r="K14" s="101"/>
      <c r="L14" s="101"/>
      <c r="M14" s="100"/>
      <c r="N14" s="101"/>
      <c r="O14" s="100"/>
      <c r="P14" s="6"/>
      <c r="Q14" s="102"/>
      <c r="R14" s="100" t="n">
        <v>357</v>
      </c>
      <c r="S14" s="102" t="n">
        <v>67.5</v>
      </c>
      <c r="T14" s="103" t="n">
        <v>32.13</v>
      </c>
      <c r="U14" s="90" t="n">
        <f aca="false">SUM(H14:T14)</f>
        <v>456.63</v>
      </c>
      <c r="V14" s="104" t="s">
        <v>46</v>
      </c>
      <c r="W14" s="9" t="s">
        <v>43</v>
      </c>
      <c r="X14" s="105" t="s">
        <v>48</v>
      </c>
      <c r="Y14" s="179"/>
      <c r="Z14" s="180"/>
    </row>
    <row r="15" s="9" customFormat="true" ht="14.1" hidden="false" customHeight="true" outlineLevel="0" collapsed="false">
      <c r="A15" s="95" t="s">
        <v>43</v>
      </c>
      <c r="B15" s="2" t="s">
        <v>62</v>
      </c>
      <c r="C15" s="3" t="s">
        <v>159</v>
      </c>
      <c r="D15" s="96" t="n">
        <v>3254103</v>
      </c>
      <c r="E15" s="97" t="n">
        <v>45376</v>
      </c>
      <c r="F15" s="98" t="s">
        <v>45</v>
      </c>
      <c r="G15" s="5" t="n">
        <v>45376</v>
      </c>
      <c r="H15" s="100"/>
      <c r="I15" s="101"/>
      <c r="J15" s="101"/>
      <c r="K15" s="101"/>
      <c r="L15" s="101"/>
      <c r="M15" s="100"/>
      <c r="N15" s="101"/>
      <c r="O15" s="100"/>
      <c r="P15" s="6"/>
      <c r="Q15" s="102"/>
      <c r="R15" s="100" t="n">
        <v>357</v>
      </c>
      <c r="S15" s="102" t="n">
        <v>62.5</v>
      </c>
      <c r="T15" s="103" t="n">
        <v>30.79</v>
      </c>
      <c r="U15" s="90" t="n">
        <f aca="false">SUM(H15:T15)</f>
        <v>450.29</v>
      </c>
      <c r="V15" s="104" t="s">
        <v>46</v>
      </c>
      <c r="W15" s="9" t="s">
        <v>47</v>
      </c>
      <c r="X15" s="105" t="s">
        <v>48</v>
      </c>
      <c r="Y15" s="179"/>
      <c r="Z15" s="180"/>
    </row>
    <row r="16" s="9" customFormat="true" ht="14.1" hidden="false" customHeight="true" outlineLevel="0" collapsed="false">
      <c r="A16" s="181" t="s">
        <v>43</v>
      </c>
      <c r="B16" s="182" t="s">
        <v>69</v>
      </c>
      <c r="C16" s="183" t="s">
        <v>67</v>
      </c>
      <c r="D16" s="184" t="n">
        <v>11093103</v>
      </c>
      <c r="E16" s="185" t="n">
        <v>45239</v>
      </c>
      <c r="F16" s="186" t="s">
        <v>45</v>
      </c>
      <c r="G16" s="187" t="n">
        <v>45240</v>
      </c>
      <c r="H16" s="188"/>
      <c r="I16" s="189"/>
      <c r="J16" s="189"/>
      <c r="K16" s="189"/>
      <c r="L16" s="189"/>
      <c r="M16" s="188"/>
      <c r="N16" s="189"/>
      <c r="O16" s="188"/>
      <c r="P16" s="190"/>
      <c r="Q16" s="191"/>
      <c r="R16" s="188" t="n">
        <v>84</v>
      </c>
      <c r="S16" s="191" t="n">
        <v>25</v>
      </c>
      <c r="T16" s="192" t="n">
        <v>7.14</v>
      </c>
      <c r="U16" s="193" t="n">
        <f aca="false">SUM(H16:T16)</f>
        <v>116.14</v>
      </c>
      <c r="V16" s="194" t="s">
        <v>46</v>
      </c>
      <c r="W16" s="195" t="s">
        <v>70</v>
      </c>
      <c r="X16" s="105" t="s">
        <v>48</v>
      </c>
      <c r="Y16" s="196"/>
      <c r="Z16" s="49"/>
    </row>
    <row r="17" s="9" customFormat="true" ht="14.1" hidden="false" customHeight="true" outlineLevel="0" collapsed="false">
      <c r="A17" s="181" t="s">
        <v>43</v>
      </c>
      <c r="B17" s="182" t="s">
        <v>160</v>
      </c>
      <c r="C17" s="183"/>
      <c r="D17" s="184" t="n">
        <v>12273104</v>
      </c>
      <c r="E17" s="185" t="n">
        <v>45287</v>
      </c>
      <c r="F17" s="186" t="s">
        <v>45</v>
      </c>
      <c r="G17" s="187" t="n">
        <v>45287</v>
      </c>
      <c r="H17" s="188"/>
      <c r="I17" s="189"/>
      <c r="J17" s="189"/>
      <c r="K17" s="189"/>
      <c r="L17" s="189"/>
      <c r="M17" s="188"/>
      <c r="N17" s="189"/>
      <c r="O17" s="188"/>
      <c r="P17" s="190"/>
      <c r="Q17" s="191"/>
      <c r="R17" s="188" t="n">
        <v>39</v>
      </c>
      <c r="S17" s="191"/>
      <c r="T17" s="192" t="n">
        <v>3.22</v>
      </c>
      <c r="U17" s="193" t="n">
        <f aca="false">SUM(H17:T17)</f>
        <v>42.22</v>
      </c>
      <c r="V17" s="194" t="s">
        <v>53</v>
      </c>
      <c r="W17" s="195" t="s">
        <v>161</v>
      </c>
      <c r="X17" s="105" t="s">
        <v>48</v>
      </c>
      <c r="Y17" s="196"/>
      <c r="Z17" s="49"/>
    </row>
    <row r="18" s="9" customFormat="true" ht="14.1" hidden="false" customHeight="true" outlineLevel="0" collapsed="false">
      <c r="A18" s="95" t="s">
        <v>43</v>
      </c>
      <c r="B18" s="2" t="s">
        <v>72</v>
      </c>
      <c r="C18" s="3"/>
      <c r="D18" s="96" t="n">
        <v>3014103</v>
      </c>
      <c r="E18" s="97" t="n">
        <v>45352</v>
      </c>
      <c r="F18" s="98" t="s">
        <v>45</v>
      </c>
      <c r="G18" s="5" t="n">
        <v>45352</v>
      </c>
      <c r="H18" s="100"/>
      <c r="I18" s="101"/>
      <c r="J18" s="101"/>
      <c r="K18" s="101"/>
      <c r="L18" s="101"/>
      <c r="M18" s="100"/>
      <c r="N18" s="101"/>
      <c r="O18" s="100"/>
      <c r="P18" s="6"/>
      <c r="Q18" s="102"/>
      <c r="R18" s="100" t="n">
        <v>149</v>
      </c>
      <c r="S18" s="102" t="n">
        <v>37.5</v>
      </c>
      <c r="T18" s="103" t="n">
        <v>13.41</v>
      </c>
      <c r="U18" s="90" t="n">
        <f aca="false">SUM(H18:T18)</f>
        <v>199.91</v>
      </c>
      <c r="V18" s="104" t="s">
        <v>46</v>
      </c>
      <c r="W18" s="9" t="s">
        <v>43</v>
      </c>
      <c r="X18" s="105" t="s">
        <v>48</v>
      </c>
      <c r="Y18" s="179"/>
      <c r="Z18" s="180"/>
    </row>
    <row r="19" s="9" customFormat="true" ht="14.1" hidden="false" customHeight="true" outlineLevel="0" collapsed="false">
      <c r="A19" s="198" t="s">
        <v>43</v>
      </c>
      <c r="B19" s="199" t="s">
        <v>162</v>
      </c>
      <c r="C19" s="200"/>
      <c r="D19" s="201" t="n">
        <v>1294101</v>
      </c>
      <c r="E19" s="202" t="n">
        <v>45320</v>
      </c>
      <c r="F19" s="203" t="s">
        <v>45</v>
      </c>
      <c r="G19" s="204" t="n">
        <v>45320</v>
      </c>
      <c r="H19" s="205"/>
      <c r="I19" s="206"/>
      <c r="J19" s="206"/>
      <c r="K19" s="206"/>
      <c r="L19" s="206"/>
      <c r="M19" s="205"/>
      <c r="N19" s="206"/>
      <c r="O19" s="205"/>
      <c r="P19" s="207"/>
      <c r="Q19" s="208"/>
      <c r="R19" s="205" t="n">
        <v>84</v>
      </c>
      <c r="S19" s="208" t="n">
        <v>25</v>
      </c>
      <c r="T19" s="209" t="n">
        <v>7.35</v>
      </c>
      <c r="U19" s="210" t="n">
        <f aca="false">SUM(H19:T19)</f>
        <v>116.35</v>
      </c>
      <c r="V19" s="211" t="s">
        <v>46</v>
      </c>
      <c r="W19" s="212" t="s">
        <v>43</v>
      </c>
      <c r="X19" s="105" t="s">
        <v>48</v>
      </c>
      <c r="Y19" s="196"/>
      <c r="Z19" s="49"/>
    </row>
    <row r="20" s="9" customFormat="true" ht="14.1" hidden="false" customHeight="true" outlineLevel="0" collapsed="false">
      <c r="A20" s="95" t="s">
        <v>43</v>
      </c>
      <c r="B20" s="275" t="s">
        <v>75</v>
      </c>
      <c r="C20" s="276"/>
      <c r="D20" s="96" t="n">
        <v>3214103</v>
      </c>
      <c r="E20" s="97" t="n">
        <v>45372</v>
      </c>
      <c r="F20" s="98" t="s">
        <v>45</v>
      </c>
      <c r="G20" s="277" t="n">
        <v>45372</v>
      </c>
      <c r="H20" s="100"/>
      <c r="I20" s="101"/>
      <c r="J20" s="101"/>
      <c r="K20" s="101"/>
      <c r="L20" s="101"/>
      <c r="M20" s="100"/>
      <c r="N20" s="101"/>
      <c r="O20" s="100"/>
      <c r="P20" s="278"/>
      <c r="Q20" s="102"/>
      <c r="R20" s="100" t="n">
        <v>110</v>
      </c>
      <c r="S20" s="102" t="n">
        <v>25</v>
      </c>
      <c r="T20" s="103" t="n">
        <v>8.53</v>
      </c>
      <c r="U20" s="90" t="n">
        <f aca="false">SUM(H20:T20)</f>
        <v>143.53</v>
      </c>
      <c r="V20" s="104" t="s">
        <v>46</v>
      </c>
      <c r="W20" s="279" t="s">
        <v>43</v>
      </c>
      <c r="X20" s="105" t="s">
        <v>48</v>
      </c>
      <c r="Y20" s="179"/>
      <c r="Z20" s="180"/>
    </row>
    <row r="21" s="9" customFormat="true" ht="14.1" hidden="false" customHeight="true" outlineLevel="0" collapsed="false">
      <c r="A21" s="107" t="s">
        <v>43</v>
      </c>
      <c r="B21" s="215" t="s">
        <v>163</v>
      </c>
      <c r="C21" s="216"/>
      <c r="D21" s="216" t="n">
        <v>3184101</v>
      </c>
      <c r="E21" s="217" t="n">
        <v>45369</v>
      </c>
      <c r="F21" s="218" t="s">
        <v>45</v>
      </c>
      <c r="G21" s="219" t="n">
        <v>45369</v>
      </c>
      <c r="H21" s="220"/>
      <c r="I21" s="220"/>
      <c r="J21" s="221"/>
      <c r="K21" s="221"/>
      <c r="L21" s="221"/>
      <c r="M21" s="220"/>
      <c r="N21" s="220"/>
      <c r="O21" s="220"/>
      <c r="P21" s="121"/>
      <c r="Q21" s="222"/>
      <c r="R21" s="220" t="n">
        <v>550</v>
      </c>
      <c r="S21" s="222"/>
      <c r="T21" s="223"/>
      <c r="U21" s="224" t="n">
        <f aca="false">SUM(H21:T21)</f>
        <v>550</v>
      </c>
      <c r="V21" s="225" t="s">
        <v>53</v>
      </c>
      <c r="W21" s="27" t="s">
        <v>164</v>
      </c>
      <c r="X21" s="27" t="s">
        <v>48</v>
      </c>
      <c r="Y21" s="246"/>
      <c r="Z21" s="180"/>
    </row>
    <row r="22" s="9" customFormat="true" ht="14.1" hidden="false" customHeight="true" outlineLevel="0" collapsed="false">
      <c r="A22" s="198" t="s">
        <v>43</v>
      </c>
      <c r="B22" s="199" t="s">
        <v>79</v>
      </c>
      <c r="C22" s="200"/>
      <c r="D22" s="201" t="n">
        <v>1184062</v>
      </c>
      <c r="E22" s="202" t="n">
        <v>45309</v>
      </c>
      <c r="F22" s="203" t="s">
        <v>45</v>
      </c>
      <c r="G22" s="204" t="n">
        <v>45310</v>
      </c>
      <c r="H22" s="205"/>
      <c r="I22" s="206"/>
      <c r="J22" s="206"/>
      <c r="K22" s="206"/>
      <c r="L22" s="206"/>
      <c r="M22" s="205"/>
      <c r="N22" s="206"/>
      <c r="O22" s="205"/>
      <c r="P22" s="207"/>
      <c r="Q22" s="208"/>
      <c r="R22" s="205" t="n">
        <v>615</v>
      </c>
      <c r="S22" s="208"/>
      <c r="T22" s="209"/>
      <c r="U22" s="210" t="n">
        <f aca="false">SUM(H22:T22)</f>
        <v>615</v>
      </c>
      <c r="V22" s="211" t="s">
        <v>53</v>
      </c>
      <c r="W22" s="212" t="s">
        <v>80</v>
      </c>
      <c r="X22" s="105" t="s">
        <v>48</v>
      </c>
      <c r="Y22" s="196"/>
      <c r="Z22" s="49"/>
    </row>
    <row r="23" s="9" customFormat="true" ht="14.1" hidden="false" customHeight="true" outlineLevel="0" collapsed="false">
      <c r="A23" s="95" t="s">
        <v>43</v>
      </c>
      <c r="B23" s="2" t="s">
        <v>165</v>
      </c>
      <c r="C23" s="3"/>
      <c r="D23" s="96" t="n">
        <v>3294101</v>
      </c>
      <c r="E23" s="97" t="n">
        <v>45380</v>
      </c>
      <c r="F23" s="98" t="s">
        <v>45</v>
      </c>
      <c r="G23" s="5" t="n">
        <v>45380</v>
      </c>
      <c r="H23" s="100"/>
      <c r="I23" s="101"/>
      <c r="J23" s="101"/>
      <c r="K23" s="101"/>
      <c r="L23" s="101"/>
      <c r="M23" s="100"/>
      <c r="N23" s="101"/>
      <c r="O23" s="100"/>
      <c r="P23" s="6"/>
      <c r="Q23" s="102"/>
      <c r="R23" s="100" t="n">
        <v>130</v>
      </c>
      <c r="S23" s="102" t="n">
        <v>50</v>
      </c>
      <c r="T23" s="103" t="n">
        <v>11.21</v>
      </c>
      <c r="U23" s="90" t="n">
        <f aca="false">SUM(H23:T23)</f>
        <v>191.21</v>
      </c>
      <c r="V23" s="104" t="s">
        <v>46</v>
      </c>
      <c r="W23" s="9" t="s">
        <v>43</v>
      </c>
      <c r="X23" s="105" t="s">
        <v>48</v>
      </c>
      <c r="Y23" s="179"/>
      <c r="Z23" s="180"/>
    </row>
    <row r="24" s="9" customFormat="true" ht="14.1" hidden="false" customHeight="true" outlineLevel="0" collapsed="false">
      <c r="A24" s="95" t="s">
        <v>43</v>
      </c>
      <c r="B24" s="2" t="s">
        <v>168</v>
      </c>
      <c r="C24" s="3"/>
      <c r="D24" s="96" t="n">
        <v>3124065</v>
      </c>
      <c r="E24" s="97" t="n">
        <v>45363</v>
      </c>
      <c r="F24" s="98" t="s">
        <v>45</v>
      </c>
      <c r="G24" s="5" t="n">
        <v>45363</v>
      </c>
      <c r="H24" s="100"/>
      <c r="I24" s="101"/>
      <c r="J24" s="101"/>
      <c r="K24" s="101"/>
      <c r="L24" s="101"/>
      <c r="M24" s="100"/>
      <c r="N24" s="101"/>
      <c r="O24" s="100"/>
      <c r="P24" s="6"/>
      <c r="Q24" s="102"/>
      <c r="R24" s="100" t="n">
        <v>552</v>
      </c>
      <c r="S24" s="102"/>
      <c r="T24" s="103"/>
      <c r="U24" s="90" t="n">
        <f aca="false">SUM(H24:T24)</f>
        <v>552</v>
      </c>
      <c r="V24" s="104" t="s">
        <v>46</v>
      </c>
      <c r="W24" s="9" t="s">
        <v>43</v>
      </c>
      <c r="X24" s="105" t="s">
        <v>48</v>
      </c>
      <c r="Y24" s="179"/>
      <c r="Z24" s="180"/>
    </row>
    <row r="25" s="9" customFormat="true" ht="14.1" hidden="false" customHeight="true" outlineLevel="0" collapsed="false">
      <c r="A25" s="95" t="s">
        <v>43</v>
      </c>
      <c r="B25" s="2" t="s">
        <v>169</v>
      </c>
      <c r="C25" s="3"/>
      <c r="D25" s="96" t="n">
        <v>3254062</v>
      </c>
      <c r="E25" s="97" t="n">
        <v>45376</v>
      </c>
      <c r="F25" s="98" t="s">
        <v>45</v>
      </c>
      <c r="G25" s="5" t="n">
        <v>45376</v>
      </c>
      <c r="H25" s="100"/>
      <c r="I25" s="101"/>
      <c r="J25" s="101"/>
      <c r="K25" s="101"/>
      <c r="L25" s="101"/>
      <c r="M25" s="100"/>
      <c r="N25" s="101"/>
      <c r="O25" s="100"/>
      <c r="P25" s="6"/>
      <c r="Q25" s="102"/>
      <c r="R25" s="100" t="n">
        <v>78</v>
      </c>
      <c r="S25" s="102" t="n">
        <v>14</v>
      </c>
      <c r="T25" s="103" t="n">
        <v>8</v>
      </c>
      <c r="U25" s="90" t="n">
        <f aca="false">SUM(H25:T25)</f>
        <v>100</v>
      </c>
      <c r="V25" s="104" t="s">
        <v>46</v>
      </c>
      <c r="W25" s="9" t="s">
        <v>47</v>
      </c>
      <c r="X25" s="105" t="s">
        <v>48</v>
      </c>
      <c r="Y25" s="179"/>
      <c r="Z25" s="180"/>
    </row>
    <row r="26" s="9" customFormat="true" ht="14.1" hidden="false" customHeight="true" outlineLevel="0" collapsed="false">
      <c r="A26" s="164" t="s">
        <v>43</v>
      </c>
      <c r="B26" s="280" t="s">
        <v>82</v>
      </c>
      <c r="C26" s="281"/>
      <c r="D26" s="167" t="n">
        <v>2134104</v>
      </c>
      <c r="E26" s="168" t="n">
        <v>45335</v>
      </c>
      <c r="F26" s="169" t="s">
        <v>45</v>
      </c>
      <c r="G26" s="282" t="n">
        <v>45335</v>
      </c>
      <c r="H26" s="171"/>
      <c r="I26" s="172"/>
      <c r="J26" s="172"/>
      <c r="K26" s="172"/>
      <c r="L26" s="172"/>
      <c r="M26" s="171"/>
      <c r="N26" s="172"/>
      <c r="O26" s="171"/>
      <c r="P26" s="283"/>
      <c r="Q26" s="174"/>
      <c r="R26" s="171" t="n">
        <v>260</v>
      </c>
      <c r="S26" s="174" t="n">
        <v>50</v>
      </c>
      <c r="T26" s="175" t="n">
        <v>23.73</v>
      </c>
      <c r="U26" s="176" t="n">
        <f aca="false">SUM(H26:T26)</f>
        <v>333.73</v>
      </c>
      <c r="V26" s="177" t="s">
        <v>46</v>
      </c>
      <c r="W26" s="284" t="s">
        <v>43</v>
      </c>
      <c r="X26" s="105" t="s">
        <v>48</v>
      </c>
      <c r="Y26" s="179"/>
      <c r="Z26" s="180"/>
    </row>
    <row r="27" s="9" customFormat="true" ht="14.1" hidden="false" customHeight="true" outlineLevel="0" collapsed="false">
      <c r="A27" s="95" t="s">
        <v>43</v>
      </c>
      <c r="B27" s="2" t="s">
        <v>83</v>
      </c>
      <c r="C27" s="3"/>
      <c r="D27" s="96" t="n">
        <v>3184104</v>
      </c>
      <c r="E27" s="97" t="n">
        <v>45369</v>
      </c>
      <c r="F27" s="98" t="s">
        <v>45</v>
      </c>
      <c r="G27" s="5" t="n">
        <v>45369</v>
      </c>
      <c r="H27" s="100"/>
      <c r="I27" s="101"/>
      <c r="J27" s="101"/>
      <c r="K27" s="101"/>
      <c r="L27" s="101"/>
      <c r="M27" s="100"/>
      <c r="N27" s="101"/>
      <c r="O27" s="100"/>
      <c r="P27" s="6"/>
      <c r="Q27" s="102"/>
      <c r="R27" s="100" t="n">
        <v>78</v>
      </c>
      <c r="S27" s="102" t="n">
        <v>12.5</v>
      </c>
      <c r="T27" s="103" t="n">
        <v>6.73</v>
      </c>
      <c r="U27" s="90" t="n">
        <f aca="false">SUM(H27:T27)</f>
        <v>97.23</v>
      </c>
      <c r="V27" s="104" t="s">
        <v>46</v>
      </c>
      <c r="W27" s="9" t="s">
        <v>70</v>
      </c>
      <c r="X27" s="105" t="s">
        <v>48</v>
      </c>
      <c r="Y27" s="179"/>
      <c r="Z27" s="180"/>
    </row>
    <row r="28" s="9" customFormat="true" ht="14.1" hidden="false" customHeight="true" outlineLevel="0" collapsed="false">
      <c r="A28" s="95" t="s">
        <v>43</v>
      </c>
      <c r="B28" s="2" t="s">
        <v>83</v>
      </c>
      <c r="C28" s="3"/>
      <c r="D28" s="96" t="n">
        <v>3294102</v>
      </c>
      <c r="E28" s="97" t="n">
        <v>45380</v>
      </c>
      <c r="F28" s="98" t="s">
        <v>45</v>
      </c>
      <c r="G28" s="5" t="n">
        <v>45380</v>
      </c>
      <c r="H28" s="100"/>
      <c r="I28" s="101"/>
      <c r="J28" s="101"/>
      <c r="K28" s="101"/>
      <c r="L28" s="101"/>
      <c r="M28" s="100"/>
      <c r="N28" s="101"/>
      <c r="O28" s="100"/>
      <c r="P28" s="6"/>
      <c r="Q28" s="102"/>
      <c r="R28" s="100" t="n">
        <v>135</v>
      </c>
      <c r="S28" s="102" t="n">
        <v>37.5</v>
      </c>
      <c r="T28" s="103" t="n">
        <v>11.64</v>
      </c>
      <c r="U28" s="90" t="n">
        <f aca="false">SUM(H28:T28)</f>
        <v>184.14</v>
      </c>
      <c r="V28" s="104" t="s">
        <v>46</v>
      </c>
      <c r="W28" s="9" t="s">
        <v>43</v>
      </c>
      <c r="X28" s="105" t="s">
        <v>48</v>
      </c>
      <c r="Y28" s="179"/>
      <c r="Z28" s="180"/>
    </row>
    <row r="29" s="9" customFormat="true" ht="14.1" hidden="false" customHeight="true" outlineLevel="0" collapsed="false">
      <c r="A29" s="95" t="s">
        <v>43</v>
      </c>
      <c r="B29" s="2" t="s">
        <v>84</v>
      </c>
      <c r="C29" s="3"/>
      <c r="D29" s="96" t="n">
        <v>2284103</v>
      </c>
      <c r="E29" s="97" t="n">
        <v>45350</v>
      </c>
      <c r="F29" s="98" t="s">
        <v>45</v>
      </c>
      <c r="G29" s="5" t="n">
        <v>45352</v>
      </c>
      <c r="H29" s="100"/>
      <c r="I29" s="101"/>
      <c r="J29" s="101"/>
      <c r="K29" s="101"/>
      <c r="L29" s="101"/>
      <c r="M29" s="100"/>
      <c r="N29" s="101"/>
      <c r="O29" s="100"/>
      <c r="P29" s="6"/>
      <c r="Q29" s="102"/>
      <c r="R29" s="100" t="n">
        <v>104</v>
      </c>
      <c r="S29" s="102"/>
      <c r="T29" s="103" t="n">
        <v>9.62</v>
      </c>
      <c r="U29" s="90" t="n">
        <f aca="false">SUM(H29:T29)</f>
        <v>113.62</v>
      </c>
      <c r="V29" s="104" t="s">
        <v>58</v>
      </c>
      <c r="W29" s="9" t="s">
        <v>43</v>
      </c>
      <c r="X29" s="105" t="s">
        <v>48</v>
      </c>
      <c r="Y29" s="179"/>
      <c r="Z29" s="180"/>
    </row>
    <row r="30" s="9" customFormat="true" ht="14.1" hidden="false" customHeight="true" outlineLevel="0" collapsed="false">
      <c r="A30" s="95" t="s">
        <v>43</v>
      </c>
      <c r="B30" s="2" t="s">
        <v>86</v>
      </c>
      <c r="C30" s="3"/>
      <c r="D30" s="96" t="n">
        <v>2294108</v>
      </c>
      <c r="E30" s="97" t="n">
        <v>45351</v>
      </c>
      <c r="F30" s="98" t="s">
        <v>45</v>
      </c>
      <c r="G30" s="5" t="n">
        <v>45352</v>
      </c>
      <c r="H30" s="100"/>
      <c r="I30" s="101"/>
      <c r="J30" s="101"/>
      <c r="K30" s="101"/>
      <c r="L30" s="101"/>
      <c r="M30" s="100"/>
      <c r="N30" s="101"/>
      <c r="O30" s="100"/>
      <c r="P30" s="6"/>
      <c r="Q30" s="102"/>
      <c r="R30" s="100" t="n">
        <v>375</v>
      </c>
      <c r="S30" s="102" t="n">
        <v>87.5</v>
      </c>
      <c r="T30" s="103" t="n">
        <v>34.69</v>
      </c>
      <c r="U30" s="90" t="n">
        <f aca="false">SUM(H30:T30)</f>
        <v>497.19</v>
      </c>
      <c r="V30" s="104" t="s">
        <v>46</v>
      </c>
      <c r="W30" s="9" t="s">
        <v>43</v>
      </c>
      <c r="X30" s="105" t="s">
        <v>48</v>
      </c>
      <c r="Y30" s="179"/>
      <c r="Z30" s="180"/>
    </row>
    <row r="31" s="9" customFormat="true" ht="14.1" hidden="false" customHeight="true" outlineLevel="0" collapsed="false">
      <c r="A31" s="181" t="s">
        <v>43</v>
      </c>
      <c r="B31" s="182" t="s">
        <v>88</v>
      </c>
      <c r="C31" s="183"/>
      <c r="D31" s="184" t="n">
        <v>10243102</v>
      </c>
      <c r="E31" s="185" t="n">
        <v>45223</v>
      </c>
      <c r="F31" s="186" t="s">
        <v>45</v>
      </c>
      <c r="G31" s="187" t="n">
        <v>45223</v>
      </c>
      <c r="H31" s="188"/>
      <c r="I31" s="189"/>
      <c r="J31" s="189"/>
      <c r="K31" s="189"/>
      <c r="L31" s="189"/>
      <c r="M31" s="188"/>
      <c r="N31" s="189"/>
      <c r="O31" s="188"/>
      <c r="P31" s="190"/>
      <c r="Q31" s="191"/>
      <c r="R31" s="188" t="n">
        <v>110</v>
      </c>
      <c r="S31" s="191" t="n">
        <v>25</v>
      </c>
      <c r="T31" s="192" t="n">
        <v>9.08</v>
      </c>
      <c r="U31" s="193" t="n">
        <f aca="false">SUM(H31:T31)</f>
        <v>144.08</v>
      </c>
      <c r="V31" s="194" t="s">
        <v>46</v>
      </c>
      <c r="W31" s="195" t="s">
        <v>59</v>
      </c>
      <c r="X31" s="105" t="s">
        <v>48</v>
      </c>
      <c r="Y31" s="49"/>
    </row>
    <row r="32" s="9" customFormat="true" ht="14.1" hidden="false" customHeight="true" outlineLevel="0" collapsed="false">
      <c r="A32" s="247" t="s">
        <v>43</v>
      </c>
      <c r="B32" s="248" t="s">
        <v>90</v>
      </c>
      <c r="C32" s="249" t="s">
        <v>91</v>
      </c>
      <c r="D32" s="249" t="n">
        <v>2024101</v>
      </c>
      <c r="E32" s="250" t="n">
        <v>45324</v>
      </c>
      <c r="F32" s="251" t="s">
        <v>92</v>
      </c>
      <c r="G32" s="252" t="n">
        <v>45324</v>
      </c>
      <c r="H32" s="253"/>
      <c r="I32" s="253"/>
      <c r="J32" s="254"/>
      <c r="K32" s="254"/>
      <c r="L32" s="254"/>
      <c r="M32" s="253"/>
      <c r="N32" s="253"/>
      <c r="O32" s="253"/>
      <c r="P32" s="255" t="n">
        <v>180</v>
      </c>
      <c r="Q32" s="256" t="n">
        <v>90</v>
      </c>
      <c r="R32" s="253"/>
      <c r="S32" s="256"/>
      <c r="T32" s="257"/>
      <c r="U32" s="258" t="n">
        <f aca="false">SUM(H32:T32)</f>
        <v>270</v>
      </c>
      <c r="V32" s="259" t="s">
        <v>92</v>
      </c>
      <c r="W32" s="260" t="s">
        <v>93</v>
      </c>
      <c r="X32" s="27" t="s">
        <v>48</v>
      </c>
      <c r="Y32" s="246"/>
      <c r="Z32" s="180"/>
    </row>
    <row r="33" s="9" customFormat="true" ht="14.1" hidden="false" customHeight="true" outlineLevel="0" collapsed="false">
      <c r="A33" s="164" t="s">
        <v>43</v>
      </c>
      <c r="B33" s="165" t="s">
        <v>94</v>
      </c>
      <c r="C33" s="166"/>
      <c r="D33" s="167" t="n">
        <v>2154102</v>
      </c>
      <c r="E33" s="168" t="n">
        <v>45337</v>
      </c>
      <c r="F33" s="169" t="s">
        <v>45</v>
      </c>
      <c r="G33" s="170" t="n">
        <v>45338</v>
      </c>
      <c r="H33" s="171"/>
      <c r="I33" s="172"/>
      <c r="J33" s="172"/>
      <c r="K33" s="172"/>
      <c r="L33" s="172"/>
      <c r="M33" s="171"/>
      <c r="N33" s="172"/>
      <c r="O33" s="171"/>
      <c r="P33" s="173"/>
      <c r="Q33" s="174"/>
      <c r="R33" s="171" t="n">
        <v>65</v>
      </c>
      <c r="S33" s="174" t="n">
        <v>12.5</v>
      </c>
      <c r="T33" s="175" t="n">
        <v>5.53</v>
      </c>
      <c r="U33" s="176" t="n">
        <f aca="false">SUM(H33:T33)</f>
        <v>83.03</v>
      </c>
      <c r="V33" s="177" t="s">
        <v>46</v>
      </c>
      <c r="W33" s="178" t="s">
        <v>43</v>
      </c>
      <c r="X33" s="105" t="s">
        <v>48</v>
      </c>
      <c r="Y33" s="179"/>
      <c r="Z33" s="180"/>
    </row>
    <row r="34" s="9" customFormat="true" ht="14.1" hidden="false" customHeight="true" outlineLevel="0" collapsed="false">
      <c r="A34" s="95" t="s">
        <v>43</v>
      </c>
      <c r="B34" s="2" t="s">
        <v>175</v>
      </c>
      <c r="C34" s="3"/>
      <c r="D34" s="96" t="n">
        <v>3194907</v>
      </c>
      <c r="E34" s="97" t="n">
        <v>45370</v>
      </c>
      <c r="F34" s="98" t="s">
        <v>45</v>
      </c>
      <c r="G34" s="5" t="n">
        <v>45370</v>
      </c>
      <c r="H34" s="100"/>
      <c r="I34" s="101"/>
      <c r="J34" s="101"/>
      <c r="K34" s="101"/>
      <c r="L34" s="101"/>
      <c r="M34" s="100"/>
      <c r="N34" s="101"/>
      <c r="O34" s="100"/>
      <c r="P34" s="6"/>
      <c r="Q34" s="102"/>
      <c r="R34" s="100" t="n">
        <v>110</v>
      </c>
      <c r="S34" s="102" t="n">
        <v>25</v>
      </c>
      <c r="T34" s="103" t="n">
        <v>10.12</v>
      </c>
      <c r="U34" s="90" t="n">
        <f aca="false">SUM(H34:T34)</f>
        <v>145.12</v>
      </c>
      <c r="V34" s="104" t="s">
        <v>46</v>
      </c>
      <c r="W34" s="9" t="s">
        <v>43</v>
      </c>
      <c r="X34" s="105" t="s">
        <v>48</v>
      </c>
      <c r="Y34" s="179"/>
      <c r="Z34" s="180"/>
    </row>
    <row r="35" s="9" customFormat="true" ht="14.1" hidden="false" customHeight="true" outlineLevel="0" collapsed="false">
      <c r="A35" s="164" t="s">
        <v>43</v>
      </c>
      <c r="B35" s="165" t="s">
        <v>176</v>
      </c>
      <c r="C35" s="166"/>
      <c r="D35" s="167" t="n">
        <v>2224101</v>
      </c>
      <c r="E35" s="168" t="n">
        <v>45343</v>
      </c>
      <c r="F35" s="169" t="s">
        <v>45</v>
      </c>
      <c r="G35" s="170" t="n">
        <v>45343</v>
      </c>
      <c r="H35" s="171"/>
      <c r="I35" s="172"/>
      <c r="J35" s="172"/>
      <c r="K35" s="172"/>
      <c r="L35" s="172"/>
      <c r="M35" s="171"/>
      <c r="N35" s="172"/>
      <c r="O35" s="171"/>
      <c r="P35" s="173"/>
      <c r="Q35" s="174"/>
      <c r="R35" s="171" t="n">
        <v>110</v>
      </c>
      <c r="S35" s="174" t="n">
        <v>25</v>
      </c>
      <c r="T35" s="175" t="n">
        <v>10.12</v>
      </c>
      <c r="U35" s="176" t="n">
        <f aca="false">SUM(H35:T35)</f>
        <v>145.12</v>
      </c>
      <c r="V35" s="177" t="s">
        <v>46</v>
      </c>
      <c r="W35" s="178" t="s">
        <v>70</v>
      </c>
      <c r="X35" s="105" t="s">
        <v>48</v>
      </c>
      <c r="Y35" s="179"/>
      <c r="Z35" s="180"/>
    </row>
    <row r="36" s="9" customFormat="true" ht="14.1" hidden="false" customHeight="true" outlineLevel="0" collapsed="false">
      <c r="A36" s="164" t="s">
        <v>43</v>
      </c>
      <c r="B36" s="165" t="s">
        <v>177</v>
      </c>
      <c r="C36" s="166"/>
      <c r="D36" s="167" t="n">
        <v>2294101</v>
      </c>
      <c r="E36" s="168" t="n">
        <v>45351</v>
      </c>
      <c r="F36" s="169" t="s">
        <v>45</v>
      </c>
      <c r="G36" s="170" t="n">
        <v>45351</v>
      </c>
      <c r="H36" s="171"/>
      <c r="I36" s="172"/>
      <c r="J36" s="172"/>
      <c r="K36" s="172"/>
      <c r="L36" s="172"/>
      <c r="M36" s="171"/>
      <c r="N36" s="172"/>
      <c r="O36" s="171"/>
      <c r="P36" s="173"/>
      <c r="Q36" s="174"/>
      <c r="R36" s="171" t="n">
        <v>110</v>
      </c>
      <c r="S36" s="174" t="n">
        <v>25</v>
      </c>
      <c r="T36" s="175" t="n">
        <v>9.08</v>
      </c>
      <c r="U36" s="176" t="n">
        <f aca="false">SUM(H36:T36)</f>
        <v>144.08</v>
      </c>
      <c r="V36" s="177" t="s">
        <v>46</v>
      </c>
      <c r="W36" s="178" t="s">
        <v>43</v>
      </c>
      <c r="X36" s="105" t="s">
        <v>48</v>
      </c>
      <c r="Y36" s="179"/>
      <c r="Z36" s="180"/>
    </row>
    <row r="37" s="9" customFormat="true" ht="14.1" hidden="false" customHeight="true" outlineLevel="0" collapsed="false">
      <c r="A37" s="164" t="s">
        <v>43</v>
      </c>
      <c r="B37" s="165" t="s">
        <v>178</v>
      </c>
      <c r="C37" s="166"/>
      <c r="D37" s="167" t="n">
        <v>2074101</v>
      </c>
      <c r="E37" s="168" t="n">
        <v>45329</v>
      </c>
      <c r="F37" s="169" t="s">
        <v>45</v>
      </c>
      <c r="G37" s="170" t="n">
        <v>45330</v>
      </c>
      <c r="H37" s="171"/>
      <c r="I37" s="172"/>
      <c r="J37" s="172"/>
      <c r="K37" s="172"/>
      <c r="L37" s="172"/>
      <c r="M37" s="171"/>
      <c r="N37" s="172"/>
      <c r="O37" s="171"/>
      <c r="P37" s="173"/>
      <c r="Q37" s="174"/>
      <c r="R37" s="171" t="n">
        <v>175</v>
      </c>
      <c r="S37" s="174" t="n">
        <v>37.5</v>
      </c>
      <c r="T37" s="175" t="n">
        <v>15.09</v>
      </c>
      <c r="U37" s="176" t="n">
        <f aca="false">SUM(H37:T37)</f>
        <v>227.59</v>
      </c>
      <c r="V37" s="177" t="s">
        <v>179</v>
      </c>
      <c r="W37" s="178" t="s">
        <v>43</v>
      </c>
      <c r="X37" s="105" t="s">
        <v>48</v>
      </c>
      <c r="Y37" s="179"/>
      <c r="Z37" s="180"/>
    </row>
    <row r="38" s="9" customFormat="true" ht="14.1" hidden="false" customHeight="true" outlineLevel="0" collapsed="false">
      <c r="A38" s="95" t="s">
        <v>43</v>
      </c>
      <c r="B38" s="2" t="s">
        <v>182</v>
      </c>
      <c r="C38" s="3"/>
      <c r="D38" s="96" t="n">
        <v>3114101</v>
      </c>
      <c r="E38" s="97" t="n">
        <v>45362</v>
      </c>
      <c r="F38" s="98" t="s">
        <v>45</v>
      </c>
      <c r="G38" s="5" t="n">
        <v>45362</v>
      </c>
      <c r="H38" s="100"/>
      <c r="I38" s="101"/>
      <c r="J38" s="101"/>
      <c r="K38" s="101"/>
      <c r="L38" s="101"/>
      <c r="M38" s="100"/>
      <c r="N38" s="101"/>
      <c r="O38" s="100"/>
      <c r="P38" s="6"/>
      <c r="Q38" s="102"/>
      <c r="R38" s="100" t="n">
        <v>195</v>
      </c>
      <c r="S38" s="102" t="n">
        <v>12.5</v>
      </c>
      <c r="T38" s="103" t="n">
        <v>18.04</v>
      </c>
      <c r="U38" s="90" t="n">
        <f aca="false">SUM(H38:T38)</f>
        <v>225.54</v>
      </c>
      <c r="V38" s="104" t="s">
        <v>46</v>
      </c>
      <c r="W38" s="9" t="s">
        <v>43</v>
      </c>
      <c r="X38" s="105" t="s">
        <v>48</v>
      </c>
      <c r="Y38" s="179"/>
      <c r="Z38" s="180"/>
    </row>
    <row r="39" s="9" customFormat="true" ht="14.1" hidden="false" customHeight="true" outlineLevel="0" collapsed="false">
      <c r="A39" s="95" t="s">
        <v>43</v>
      </c>
      <c r="B39" s="2" t="s">
        <v>183</v>
      </c>
      <c r="C39" s="3"/>
      <c r="D39" s="96" t="n">
        <v>3184103</v>
      </c>
      <c r="E39" s="97" t="n">
        <v>45369</v>
      </c>
      <c r="F39" s="98" t="s">
        <v>45</v>
      </c>
      <c r="G39" s="5" t="n">
        <v>45369</v>
      </c>
      <c r="H39" s="100"/>
      <c r="I39" s="101"/>
      <c r="J39" s="101"/>
      <c r="K39" s="101"/>
      <c r="L39" s="101"/>
      <c r="M39" s="100"/>
      <c r="N39" s="101"/>
      <c r="O39" s="100"/>
      <c r="P39" s="6"/>
      <c r="Q39" s="102"/>
      <c r="R39" s="100" t="n">
        <v>97.5</v>
      </c>
      <c r="S39" s="102" t="n">
        <v>12.5</v>
      </c>
      <c r="T39" s="103" t="n">
        <v>7.56</v>
      </c>
      <c r="U39" s="90" t="n">
        <f aca="false">SUM(H39:T39)</f>
        <v>117.56</v>
      </c>
      <c r="V39" s="104" t="s">
        <v>46</v>
      </c>
      <c r="W39" s="9" t="s">
        <v>70</v>
      </c>
      <c r="X39" s="105" t="s">
        <v>48</v>
      </c>
      <c r="Y39" s="179"/>
      <c r="Z39" s="180"/>
    </row>
    <row r="40" s="9" customFormat="true" ht="14.1" hidden="false" customHeight="true" outlineLevel="0" collapsed="false">
      <c r="A40" s="181" t="s">
        <v>43</v>
      </c>
      <c r="B40" s="182" t="s">
        <v>98</v>
      </c>
      <c r="C40" s="183"/>
      <c r="D40" s="184" t="n">
        <v>7273103</v>
      </c>
      <c r="E40" s="185" t="n">
        <v>45134</v>
      </c>
      <c r="F40" s="186" t="s">
        <v>45</v>
      </c>
      <c r="G40" s="187" t="n">
        <v>45135</v>
      </c>
      <c r="H40" s="188"/>
      <c r="I40" s="189"/>
      <c r="J40" s="189"/>
      <c r="K40" s="189"/>
      <c r="L40" s="189"/>
      <c r="M40" s="188"/>
      <c r="N40" s="189"/>
      <c r="O40" s="188"/>
      <c r="P40" s="190"/>
      <c r="Q40" s="191"/>
      <c r="R40" s="188" t="n">
        <v>39</v>
      </c>
      <c r="S40" s="191" t="n">
        <v>12.5</v>
      </c>
      <c r="T40" s="192" t="n">
        <v>3.36</v>
      </c>
      <c r="U40" s="193" t="n">
        <f aca="false">SUM(H40:T40)</f>
        <v>54.86</v>
      </c>
      <c r="V40" s="194" t="s">
        <v>46</v>
      </c>
      <c r="W40" s="195" t="s">
        <v>70</v>
      </c>
      <c r="X40" s="105" t="s">
        <v>48</v>
      </c>
      <c r="Y40" s="196"/>
      <c r="Z40" s="49"/>
    </row>
    <row r="41" s="9" customFormat="true" ht="14.1" hidden="false" customHeight="true" outlineLevel="0" collapsed="false">
      <c r="A41" s="181" t="s">
        <v>43</v>
      </c>
      <c r="B41" s="182" t="s">
        <v>101</v>
      </c>
      <c r="C41" s="183" t="s">
        <v>102</v>
      </c>
      <c r="D41" s="184" t="n">
        <v>12123106</v>
      </c>
      <c r="E41" s="185" t="n">
        <v>45272</v>
      </c>
      <c r="F41" s="186" t="s">
        <v>45</v>
      </c>
      <c r="G41" s="187" t="n">
        <v>45272</v>
      </c>
      <c r="H41" s="188"/>
      <c r="I41" s="189"/>
      <c r="J41" s="189"/>
      <c r="K41" s="189"/>
      <c r="L41" s="189"/>
      <c r="M41" s="188"/>
      <c r="N41" s="189"/>
      <c r="O41" s="188"/>
      <c r="P41" s="190"/>
      <c r="Q41" s="191"/>
      <c r="R41" s="188" t="n">
        <v>188</v>
      </c>
      <c r="S41" s="191" t="n">
        <v>37.5</v>
      </c>
      <c r="T41" s="192" t="n">
        <v>15.75</v>
      </c>
      <c r="U41" s="193" t="n">
        <f aca="false">SUM(H41:T41)</f>
        <v>241.25</v>
      </c>
      <c r="V41" s="194" t="s">
        <v>46</v>
      </c>
      <c r="W41" s="195" t="s">
        <v>43</v>
      </c>
      <c r="X41" s="105" t="s">
        <v>48</v>
      </c>
      <c r="Y41" s="196"/>
      <c r="Z41" s="49"/>
    </row>
    <row r="42" s="9" customFormat="true" ht="14.1" hidden="false" customHeight="true" outlineLevel="0" collapsed="false">
      <c r="A42" s="198" t="s">
        <v>43</v>
      </c>
      <c r="B42" s="285" t="s">
        <v>101</v>
      </c>
      <c r="C42" s="286" t="s">
        <v>102</v>
      </c>
      <c r="D42" s="201" t="n">
        <v>1294104</v>
      </c>
      <c r="E42" s="202" t="n">
        <v>45320</v>
      </c>
      <c r="F42" s="203" t="s">
        <v>45</v>
      </c>
      <c r="G42" s="287" t="n">
        <v>45320</v>
      </c>
      <c r="H42" s="205"/>
      <c r="I42" s="206"/>
      <c r="J42" s="206"/>
      <c r="K42" s="206"/>
      <c r="L42" s="206"/>
      <c r="M42" s="205"/>
      <c r="N42" s="206"/>
      <c r="O42" s="205"/>
      <c r="P42" s="288"/>
      <c r="Q42" s="208"/>
      <c r="R42" s="205" t="n">
        <v>175</v>
      </c>
      <c r="S42" s="208" t="n">
        <v>37.5</v>
      </c>
      <c r="T42" s="209" t="n">
        <v>14.66</v>
      </c>
      <c r="U42" s="210" t="n">
        <f aca="false">SUM(H42:T42)</f>
        <v>227.16</v>
      </c>
      <c r="V42" s="211" t="s">
        <v>46</v>
      </c>
      <c r="W42" s="289" t="s">
        <v>43</v>
      </c>
      <c r="X42" s="105" t="s">
        <v>48</v>
      </c>
      <c r="Y42" s="179"/>
      <c r="Z42" s="49"/>
    </row>
    <row r="43" s="9" customFormat="true" ht="14.1" hidden="false" customHeight="true" outlineLevel="0" collapsed="false">
      <c r="A43" s="95" t="s">
        <v>43</v>
      </c>
      <c r="B43" s="2" t="s">
        <v>184</v>
      </c>
      <c r="C43" s="3"/>
      <c r="D43" s="96" t="n">
        <v>3284101</v>
      </c>
      <c r="E43" s="97" t="n">
        <v>45379</v>
      </c>
      <c r="F43" s="98" t="s">
        <v>45</v>
      </c>
      <c r="G43" s="5" t="n">
        <v>45380</v>
      </c>
      <c r="H43" s="100"/>
      <c r="I43" s="101"/>
      <c r="J43" s="101"/>
      <c r="K43" s="101"/>
      <c r="L43" s="101"/>
      <c r="M43" s="100"/>
      <c r="N43" s="101"/>
      <c r="O43" s="100"/>
      <c r="P43" s="6"/>
      <c r="Q43" s="102"/>
      <c r="R43" s="100" t="n">
        <v>165</v>
      </c>
      <c r="S43" s="102" t="n">
        <v>37.5</v>
      </c>
      <c r="T43" s="103" t="n">
        <v>12.79</v>
      </c>
      <c r="U43" s="90" t="n">
        <f aca="false">SUM(H43:T43)</f>
        <v>215.29</v>
      </c>
      <c r="V43" s="104" t="s">
        <v>46</v>
      </c>
      <c r="W43" s="9" t="s">
        <v>43</v>
      </c>
      <c r="X43" s="105" t="s">
        <v>48</v>
      </c>
      <c r="Y43" s="179"/>
      <c r="Z43" s="180"/>
    </row>
    <row r="44" s="9" customFormat="true" ht="14.1" hidden="false" customHeight="true" outlineLevel="0" collapsed="false">
      <c r="A44" s="95" t="s">
        <v>43</v>
      </c>
      <c r="B44" s="2" t="s">
        <v>185</v>
      </c>
      <c r="C44" s="3"/>
      <c r="D44" s="96" t="n">
        <v>3184107</v>
      </c>
      <c r="E44" s="97" t="n">
        <v>45369</v>
      </c>
      <c r="F44" s="98" t="s">
        <v>45</v>
      </c>
      <c r="G44" s="5" t="n">
        <v>45369</v>
      </c>
      <c r="H44" s="100"/>
      <c r="I44" s="101"/>
      <c r="J44" s="101"/>
      <c r="K44" s="101"/>
      <c r="L44" s="101"/>
      <c r="M44" s="100"/>
      <c r="N44" s="101"/>
      <c r="O44" s="100"/>
      <c r="P44" s="6"/>
      <c r="Q44" s="102"/>
      <c r="R44" s="100" t="n">
        <v>149</v>
      </c>
      <c r="S44" s="102" t="n">
        <v>25</v>
      </c>
      <c r="T44" s="103" t="n">
        <v>13.78</v>
      </c>
      <c r="U44" s="90" t="n">
        <f aca="false">SUM(H44:T44)</f>
        <v>187.78</v>
      </c>
      <c r="V44" s="104" t="s">
        <v>46</v>
      </c>
      <c r="W44" s="9" t="s">
        <v>43</v>
      </c>
      <c r="X44" s="105" t="s">
        <v>48</v>
      </c>
      <c r="Y44" s="179"/>
      <c r="Z44" s="180"/>
    </row>
    <row r="45" s="9" customFormat="true" ht="14.1" hidden="false" customHeight="true" outlineLevel="0" collapsed="false">
      <c r="A45" s="95" t="s">
        <v>43</v>
      </c>
      <c r="B45" s="2" t="s">
        <v>186</v>
      </c>
      <c r="C45" s="3" t="s">
        <v>187</v>
      </c>
      <c r="D45" s="96" t="n">
        <v>3014106</v>
      </c>
      <c r="E45" s="97" t="n">
        <v>45352</v>
      </c>
      <c r="F45" s="98" t="s">
        <v>45</v>
      </c>
      <c r="G45" s="5" t="n">
        <v>45352</v>
      </c>
      <c r="H45" s="100"/>
      <c r="I45" s="101"/>
      <c r="J45" s="101"/>
      <c r="K45" s="101"/>
      <c r="L45" s="101"/>
      <c r="M45" s="100"/>
      <c r="N45" s="101"/>
      <c r="O45" s="100"/>
      <c r="P45" s="6"/>
      <c r="Q45" s="102"/>
      <c r="R45" s="100" t="n">
        <v>45</v>
      </c>
      <c r="S45" s="102"/>
      <c r="T45" s="103" t="n">
        <v>4.16</v>
      </c>
      <c r="U45" s="90" t="n">
        <f aca="false">SUM(H45:T45)</f>
        <v>49.16</v>
      </c>
      <c r="V45" s="104" t="s">
        <v>53</v>
      </c>
      <c r="W45" s="9" t="s">
        <v>188</v>
      </c>
      <c r="X45" s="105" t="s">
        <v>48</v>
      </c>
      <c r="Y45" s="179"/>
      <c r="Z45" s="180"/>
    </row>
    <row r="46" s="9" customFormat="true" ht="14.1" hidden="false" customHeight="true" outlineLevel="0" collapsed="false">
      <c r="A46" s="95" t="s">
        <v>43</v>
      </c>
      <c r="B46" s="2" t="s">
        <v>186</v>
      </c>
      <c r="C46" s="3" t="s">
        <v>187</v>
      </c>
      <c r="D46" s="96" t="n">
        <v>3064103</v>
      </c>
      <c r="E46" s="97" t="n">
        <v>45357</v>
      </c>
      <c r="F46" s="98" t="s">
        <v>45</v>
      </c>
      <c r="G46" s="5" t="n">
        <v>45357</v>
      </c>
      <c r="H46" s="100"/>
      <c r="I46" s="101"/>
      <c r="J46" s="101"/>
      <c r="K46" s="101"/>
      <c r="L46" s="101"/>
      <c r="M46" s="100"/>
      <c r="N46" s="101"/>
      <c r="O46" s="100"/>
      <c r="P46" s="6"/>
      <c r="Q46" s="102"/>
      <c r="R46" s="100" t="n">
        <v>445</v>
      </c>
      <c r="S46" s="102"/>
      <c r="T46" s="103" t="n">
        <v>41.16</v>
      </c>
      <c r="U46" s="90" t="n">
        <f aca="false">SUM(H46:T46)</f>
        <v>486.16</v>
      </c>
      <c r="V46" s="104" t="s">
        <v>53</v>
      </c>
      <c r="W46" s="9" t="s">
        <v>189</v>
      </c>
      <c r="X46" s="105" t="s">
        <v>48</v>
      </c>
      <c r="Y46" s="179"/>
      <c r="Z46" s="180"/>
    </row>
    <row r="47" s="9" customFormat="true" ht="14.1" hidden="false" customHeight="true" outlineLevel="0" collapsed="false">
      <c r="A47" s="95" t="s">
        <v>43</v>
      </c>
      <c r="B47" s="2" t="s">
        <v>190</v>
      </c>
      <c r="C47" s="3"/>
      <c r="D47" s="96" t="n">
        <v>3214105</v>
      </c>
      <c r="E47" s="97" t="n">
        <v>45373</v>
      </c>
      <c r="F47" s="98" t="s">
        <v>45</v>
      </c>
      <c r="G47" s="5" t="n">
        <v>45373</v>
      </c>
      <c r="H47" s="100"/>
      <c r="I47" s="101"/>
      <c r="J47" s="101"/>
      <c r="K47" s="101"/>
      <c r="L47" s="101"/>
      <c r="M47" s="100"/>
      <c r="N47" s="101"/>
      <c r="O47" s="100"/>
      <c r="P47" s="6"/>
      <c r="Q47" s="102"/>
      <c r="R47" s="100" t="n">
        <v>477</v>
      </c>
      <c r="S47" s="102" t="n">
        <v>87.5</v>
      </c>
      <c r="T47" s="103" t="n">
        <v>41.14</v>
      </c>
      <c r="U47" s="90" t="n">
        <f aca="false">SUM(H47:T47)</f>
        <v>605.64</v>
      </c>
      <c r="V47" s="104" t="s">
        <v>46</v>
      </c>
      <c r="W47" s="9" t="s">
        <v>43</v>
      </c>
      <c r="X47" s="105" t="s">
        <v>48</v>
      </c>
      <c r="Y47" s="179"/>
      <c r="Z47" s="180"/>
    </row>
    <row r="48" s="9" customFormat="true" ht="14.1" hidden="false" customHeight="true" outlineLevel="0" collapsed="false">
      <c r="A48" s="95" t="s">
        <v>43</v>
      </c>
      <c r="B48" s="2" t="s">
        <v>104</v>
      </c>
      <c r="C48" s="3"/>
      <c r="D48" s="96" t="n">
        <v>3154106</v>
      </c>
      <c r="E48" s="97" t="n">
        <v>45366</v>
      </c>
      <c r="F48" s="98" t="s">
        <v>45</v>
      </c>
      <c r="G48" s="5" t="n">
        <v>45366</v>
      </c>
      <c r="H48" s="100"/>
      <c r="I48" s="101"/>
      <c r="J48" s="101"/>
      <c r="K48" s="101"/>
      <c r="L48" s="101"/>
      <c r="M48" s="100"/>
      <c r="N48" s="101"/>
      <c r="O48" s="100"/>
      <c r="P48" s="6"/>
      <c r="Q48" s="102"/>
      <c r="R48" s="100" t="n">
        <v>355</v>
      </c>
      <c r="S48" s="102" t="n">
        <v>67.5</v>
      </c>
      <c r="T48" s="103" t="n">
        <v>30.62</v>
      </c>
      <c r="U48" s="90" t="n">
        <f aca="false">SUM(H48:T48)</f>
        <v>453.12</v>
      </c>
      <c r="V48" s="104" t="s">
        <v>46</v>
      </c>
      <c r="W48" s="9" t="s">
        <v>43</v>
      </c>
      <c r="X48" s="105" t="s">
        <v>48</v>
      </c>
      <c r="Y48" s="179"/>
      <c r="Z48" s="180"/>
    </row>
    <row r="49" s="9" customFormat="true" ht="14.1" hidden="false" customHeight="true" outlineLevel="0" collapsed="false">
      <c r="A49" s="181" t="s">
        <v>43</v>
      </c>
      <c r="B49" s="182" t="s">
        <v>106</v>
      </c>
      <c r="C49" s="183"/>
      <c r="D49" s="184" t="n">
        <v>9013106</v>
      </c>
      <c r="E49" s="185" t="n">
        <v>45170</v>
      </c>
      <c r="F49" s="186" t="s">
        <v>45</v>
      </c>
      <c r="G49" s="187" t="n">
        <v>45174</v>
      </c>
      <c r="H49" s="188"/>
      <c r="I49" s="189"/>
      <c r="J49" s="189"/>
      <c r="K49" s="189"/>
      <c r="L49" s="189"/>
      <c r="M49" s="188"/>
      <c r="N49" s="189"/>
      <c r="O49" s="188"/>
      <c r="P49" s="190"/>
      <c r="Q49" s="191"/>
      <c r="R49" s="188" t="n">
        <v>135</v>
      </c>
      <c r="S49" s="191" t="n">
        <v>25</v>
      </c>
      <c r="T49" s="192" t="n">
        <v>12.99</v>
      </c>
      <c r="U49" s="193" t="n">
        <f aca="false">SUM(H49:T49)</f>
        <v>172.99</v>
      </c>
      <c r="V49" s="194" t="s">
        <v>58</v>
      </c>
      <c r="W49" s="195" t="s">
        <v>93</v>
      </c>
      <c r="X49" s="105" t="s">
        <v>48</v>
      </c>
      <c r="Y49" s="196"/>
      <c r="Z49" s="49"/>
    </row>
    <row r="50" s="9" customFormat="true" ht="14.1" hidden="false" customHeight="true" outlineLevel="0" collapsed="false">
      <c r="A50" s="261" t="s">
        <v>43</v>
      </c>
      <c r="B50" s="262" t="s">
        <v>108</v>
      </c>
      <c r="C50" s="263"/>
      <c r="D50" s="263" t="n">
        <v>1194105</v>
      </c>
      <c r="E50" s="264" t="n">
        <v>45310</v>
      </c>
      <c r="F50" s="265" t="s">
        <v>109</v>
      </c>
      <c r="G50" s="266" t="n">
        <v>45317</v>
      </c>
      <c r="H50" s="267"/>
      <c r="I50" s="267"/>
      <c r="J50" s="268"/>
      <c r="K50" s="268"/>
      <c r="L50" s="268"/>
      <c r="M50" s="267"/>
      <c r="N50" s="267"/>
      <c r="O50" s="267" t="n">
        <v>95</v>
      </c>
      <c r="P50" s="269"/>
      <c r="Q50" s="270"/>
      <c r="R50" s="267"/>
      <c r="S50" s="270" t="n">
        <v>12.5</v>
      </c>
      <c r="T50" s="271" t="n">
        <v>9.26</v>
      </c>
      <c r="U50" s="272" t="n">
        <f aca="false">SUM(H50:T50)</f>
        <v>116.76</v>
      </c>
      <c r="V50" s="273" t="s">
        <v>46</v>
      </c>
      <c r="W50" s="274" t="s">
        <v>70</v>
      </c>
      <c r="X50" s="27" t="s">
        <v>48</v>
      </c>
      <c r="Y50" s="246"/>
      <c r="Z50" s="49"/>
    </row>
    <row r="51" s="9" customFormat="true" ht="12.75" hidden="false" customHeight="true" outlineLevel="0" collapsed="false">
      <c r="A51" s="181" t="s">
        <v>43</v>
      </c>
      <c r="B51" s="182" t="s">
        <v>110</v>
      </c>
      <c r="C51" s="183"/>
      <c r="D51" s="184" t="n">
        <v>6263103</v>
      </c>
      <c r="E51" s="185" t="n">
        <v>45103</v>
      </c>
      <c r="F51" s="186" t="s">
        <v>45</v>
      </c>
      <c r="G51" s="187" t="n">
        <v>45103</v>
      </c>
      <c r="H51" s="188"/>
      <c r="I51" s="189"/>
      <c r="J51" s="189"/>
      <c r="K51" s="189"/>
      <c r="L51" s="189"/>
      <c r="M51" s="188"/>
      <c r="N51" s="189"/>
      <c r="O51" s="188"/>
      <c r="P51" s="190"/>
      <c r="Q51" s="191"/>
      <c r="R51" s="188" t="n">
        <v>204</v>
      </c>
      <c r="S51" s="191" t="n">
        <v>50</v>
      </c>
      <c r="T51" s="192" t="n">
        <v>18.36</v>
      </c>
      <c r="U51" s="193" t="n">
        <f aca="false">SUM(H51:T51)</f>
        <v>272.36</v>
      </c>
      <c r="V51" s="194" t="s">
        <v>46</v>
      </c>
      <c r="W51" s="195" t="s">
        <v>47</v>
      </c>
      <c r="X51" s="105" t="s">
        <v>48</v>
      </c>
      <c r="Y51" s="196"/>
      <c r="Z51" s="49"/>
    </row>
    <row r="52" s="9" customFormat="true" ht="12.75" hidden="false" customHeight="true" outlineLevel="0" collapsed="false">
      <c r="A52" s="95" t="s">
        <v>43</v>
      </c>
      <c r="B52" s="2" t="s">
        <v>113</v>
      </c>
      <c r="C52" s="3"/>
      <c r="D52" s="96" t="n">
        <v>3114110</v>
      </c>
      <c r="E52" s="97" t="n">
        <v>45362</v>
      </c>
      <c r="F52" s="98" t="s">
        <v>45</v>
      </c>
      <c r="G52" s="5" t="n">
        <v>45363</v>
      </c>
      <c r="H52" s="100"/>
      <c r="I52" s="101"/>
      <c r="J52" s="101"/>
      <c r="K52" s="101"/>
      <c r="L52" s="101"/>
      <c r="M52" s="100"/>
      <c r="N52" s="101"/>
      <c r="O52" s="100"/>
      <c r="P52" s="6"/>
      <c r="Q52" s="102"/>
      <c r="R52" s="100" t="n">
        <v>39</v>
      </c>
      <c r="S52" s="102" t="n">
        <v>12.5</v>
      </c>
      <c r="T52" s="103" t="n">
        <v>3.32</v>
      </c>
      <c r="U52" s="90" t="n">
        <f aca="false">SUM(H52:T52)</f>
        <v>54.82</v>
      </c>
      <c r="V52" s="104" t="s">
        <v>46</v>
      </c>
      <c r="W52" s="9" t="s">
        <v>43</v>
      </c>
      <c r="X52" s="105" t="s">
        <v>48</v>
      </c>
      <c r="Y52" s="179"/>
      <c r="Z52" s="180"/>
    </row>
    <row r="53" s="9" customFormat="true" ht="14.1" hidden="false" customHeight="true" outlineLevel="0" collapsed="false">
      <c r="A53" s="95" t="s">
        <v>43</v>
      </c>
      <c r="B53" s="2" t="s">
        <v>113</v>
      </c>
      <c r="C53" s="3"/>
      <c r="D53" s="96" t="n">
        <v>3134102</v>
      </c>
      <c r="E53" s="97" t="n">
        <v>45364</v>
      </c>
      <c r="F53" s="98" t="s">
        <v>45</v>
      </c>
      <c r="G53" s="5" t="n">
        <v>45364</v>
      </c>
      <c r="H53" s="100"/>
      <c r="I53" s="101"/>
      <c r="J53" s="101"/>
      <c r="K53" s="101"/>
      <c r="L53" s="101"/>
      <c r="M53" s="100"/>
      <c r="N53" s="101"/>
      <c r="O53" s="100"/>
      <c r="P53" s="6"/>
      <c r="Q53" s="102"/>
      <c r="R53" s="100" t="n">
        <v>39</v>
      </c>
      <c r="S53" s="102" t="n">
        <v>12.5</v>
      </c>
      <c r="T53" s="103" t="n">
        <v>3.32</v>
      </c>
      <c r="U53" s="90" t="n">
        <f aca="false">SUM(H53:T53)</f>
        <v>54.82</v>
      </c>
      <c r="V53" s="104" t="s">
        <v>46</v>
      </c>
      <c r="W53" s="9" t="s">
        <v>43</v>
      </c>
      <c r="X53" s="105" t="s">
        <v>48</v>
      </c>
      <c r="Y53" s="179"/>
      <c r="Z53" s="180"/>
    </row>
    <row r="54" s="9" customFormat="true" ht="14.1" hidden="false" customHeight="true" outlineLevel="0" collapsed="false">
      <c r="A54" s="181" t="s">
        <v>43</v>
      </c>
      <c r="B54" s="182" t="s">
        <v>114</v>
      </c>
      <c r="C54" s="183"/>
      <c r="D54" s="184" t="n">
        <v>12193106</v>
      </c>
      <c r="E54" s="185" t="n">
        <v>45279</v>
      </c>
      <c r="F54" s="186" t="s">
        <v>45</v>
      </c>
      <c r="G54" s="187" t="n">
        <v>45279</v>
      </c>
      <c r="H54" s="188"/>
      <c r="I54" s="189"/>
      <c r="J54" s="189"/>
      <c r="K54" s="189"/>
      <c r="L54" s="189"/>
      <c r="M54" s="188"/>
      <c r="N54" s="189"/>
      <c r="O54" s="188"/>
      <c r="P54" s="190"/>
      <c r="Q54" s="191"/>
      <c r="R54" s="188" t="n">
        <v>195</v>
      </c>
      <c r="S54" s="191" t="n">
        <v>37.5</v>
      </c>
      <c r="T54" s="192" t="n">
        <v>19.99</v>
      </c>
      <c r="U54" s="193" t="n">
        <f aca="false">SUM(H54:T54)</f>
        <v>252.49</v>
      </c>
      <c r="V54" s="194" t="s">
        <v>46</v>
      </c>
      <c r="W54" s="195" t="s">
        <v>47</v>
      </c>
      <c r="X54" s="105" t="s">
        <v>48</v>
      </c>
      <c r="Y54" s="196"/>
      <c r="Z54" s="49"/>
    </row>
    <row r="55" s="9" customFormat="true" ht="14.1" hidden="false" customHeight="true" outlineLevel="0" collapsed="false">
      <c r="A55" s="164" t="s">
        <v>43</v>
      </c>
      <c r="B55" s="165" t="s">
        <v>191</v>
      </c>
      <c r="C55" s="166"/>
      <c r="D55" s="167" t="n">
        <v>2284105</v>
      </c>
      <c r="E55" s="168" t="n">
        <v>45350</v>
      </c>
      <c r="F55" s="169" t="s">
        <v>45</v>
      </c>
      <c r="G55" s="170" t="n">
        <v>45350</v>
      </c>
      <c r="H55" s="171"/>
      <c r="I55" s="172"/>
      <c r="J55" s="172"/>
      <c r="K55" s="172"/>
      <c r="L55" s="172" t="n">
        <v>5</v>
      </c>
      <c r="M55" s="171"/>
      <c r="N55" s="172"/>
      <c r="O55" s="171"/>
      <c r="P55" s="173"/>
      <c r="Q55" s="174"/>
      <c r="R55" s="171" t="n">
        <v>123</v>
      </c>
      <c r="S55" s="174" t="n">
        <v>37.5</v>
      </c>
      <c r="T55" s="175" t="n">
        <v>11.69</v>
      </c>
      <c r="U55" s="176" t="n">
        <f aca="false">SUM(H55:T55)</f>
        <v>177.19</v>
      </c>
      <c r="V55" s="177" t="s">
        <v>46</v>
      </c>
      <c r="W55" s="178" t="s">
        <v>43</v>
      </c>
      <c r="X55" s="105" t="s">
        <v>48</v>
      </c>
      <c r="Y55" s="179"/>
      <c r="Z55" s="180"/>
    </row>
    <row r="56" s="9" customFormat="true" ht="14.1" hidden="false" customHeight="true" outlineLevel="0" collapsed="false">
      <c r="A56" s="164" t="s">
        <v>43</v>
      </c>
      <c r="B56" s="165" t="s">
        <v>192</v>
      </c>
      <c r="C56" s="166"/>
      <c r="D56" s="167" t="n">
        <v>2284102</v>
      </c>
      <c r="E56" s="168" t="n">
        <v>45350</v>
      </c>
      <c r="F56" s="169" t="s">
        <v>45</v>
      </c>
      <c r="G56" s="170" t="n">
        <v>45350</v>
      </c>
      <c r="H56" s="171"/>
      <c r="I56" s="172"/>
      <c r="J56" s="172"/>
      <c r="K56" s="172"/>
      <c r="L56" s="172"/>
      <c r="M56" s="171"/>
      <c r="N56" s="172"/>
      <c r="O56" s="171"/>
      <c r="P56" s="173"/>
      <c r="Q56" s="174"/>
      <c r="R56" s="171" t="n">
        <v>84</v>
      </c>
      <c r="S56" s="174" t="n">
        <v>25</v>
      </c>
      <c r="T56" s="175" t="n">
        <v>7.98</v>
      </c>
      <c r="U56" s="176" t="n">
        <f aca="false">SUM(H56:T56)</f>
        <v>116.98</v>
      </c>
      <c r="V56" s="177" t="s">
        <v>46</v>
      </c>
      <c r="W56" s="178" t="s">
        <v>43</v>
      </c>
      <c r="X56" s="105" t="s">
        <v>48</v>
      </c>
      <c r="Y56" s="179"/>
      <c r="Z56" s="180"/>
    </row>
    <row r="57" s="9" customFormat="true" ht="14.1" hidden="false" customHeight="true" outlineLevel="0" collapsed="false">
      <c r="A57" s="95" t="s">
        <v>43</v>
      </c>
      <c r="B57" s="2" t="s">
        <v>115</v>
      </c>
      <c r="C57" s="3"/>
      <c r="D57" s="96" t="n">
        <v>3214104</v>
      </c>
      <c r="E57" s="97" t="n">
        <v>45372</v>
      </c>
      <c r="F57" s="98" t="s">
        <v>45</v>
      </c>
      <c r="G57" s="5" t="n">
        <v>45372</v>
      </c>
      <c r="H57" s="100"/>
      <c r="I57" s="101"/>
      <c r="J57" s="101"/>
      <c r="K57" s="101"/>
      <c r="L57" s="101"/>
      <c r="M57" s="100"/>
      <c r="N57" s="101"/>
      <c r="O57" s="100"/>
      <c r="P57" s="6"/>
      <c r="Q57" s="102"/>
      <c r="R57" s="100" t="n">
        <v>818</v>
      </c>
      <c r="S57" s="102" t="n">
        <v>162.5</v>
      </c>
      <c r="T57" s="103" t="n">
        <v>75.67</v>
      </c>
      <c r="U57" s="90" t="n">
        <f aca="false">SUM(H57:T57)</f>
        <v>1056.17</v>
      </c>
      <c r="V57" s="104" t="s">
        <v>46</v>
      </c>
      <c r="W57" s="9" t="s">
        <v>43</v>
      </c>
      <c r="X57" s="105" t="s">
        <v>48</v>
      </c>
      <c r="Y57" s="179"/>
      <c r="Z57" s="180"/>
    </row>
    <row r="58" s="9" customFormat="true" ht="14.1" hidden="false" customHeight="true" outlineLevel="0" collapsed="false">
      <c r="A58" s="95" t="s">
        <v>43</v>
      </c>
      <c r="B58" s="2" t="s">
        <v>193</v>
      </c>
      <c r="C58" s="3"/>
      <c r="D58" s="96" t="n">
        <v>3154101</v>
      </c>
      <c r="E58" s="97" t="n">
        <v>45366</v>
      </c>
      <c r="F58" s="98" t="s">
        <v>45</v>
      </c>
      <c r="G58" s="5" t="n">
        <v>45366</v>
      </c>
      <c r="H58" s="100"/>
      <c r="I58" s="101"/>
      <c r="J58" s="101"/>
      <c r="K58" s="101"/>
      <c r="L58" s="101"/>
      <c r="M58" s="100"/>
      <c r="N58" s="101"/>
      <c r="O58" s="100"/>
      <c r="P58" s="6"/>
      <c r="Q58" s="102"/>
      <c r="R58" s="100" t="n">
        <v>129</v>
      </c>
      <c r="S58" s="102" t="n">
        <v>37.5</v>
      </c>
      <c r="T58" s="103" t="n">
        <v>10.64</v>
      </c>
      <c r="U58" s="90" t="n">
        <f aca="false">SUM(H58:T58)</f>
        <v>177.14</v>
      </c>
      <c r="V58" s="104" t="s">
        <v>46</v>
      </c>
      <c r="W58" s="9" t="s">
        <v>43</v>
      </c>
      <c r="X58" s="105" t="s">
        <v>48</v>
      </c>
      <c r="Y58" s="179"/>
      <c r="Z58" s="180"/>
    </row>
    <row r="59" s="9" customFormat="true" ht="14.1" hidden="false" customHeight="true" outlineLevel="0" collapsed="false">
      <c r="A59" s="95" t="s">
        <v>43</v>
      </c>
      <c r="B59" s="2" t="s">
        <v>117</v>
      </c>
      <c r="C59" s="3"/>
      <c r="D59" s="96" t="n">
        <v>3194101</v>
      </c>
      <c r="E59" s="97" t="n">
        <v>45370</v>
      </c>
      <c r="F59" s="98" t="s">
        <v>45</v>
      </c>
      <c r="G59" s="5" t="n">
        <v>45370</v>
      </c>
      <c r="H59" s="100"/>
      <c r="I59" s="101"/>
      <c r="J59" s="101"/>
      <c r="K59" s="101"/>
      <c r="L59" s="101"/>
      <c r="M59" s="100"/>
      <c r="N59" s="101"/>
      <c r="O59" s="100"/>
      <c r="P59" s="6"/>
      <c r="Q59" s="102"/>
      <c r="R59" s="100" t="n">
        <v>135</v>
      </c>
      <c r="S59" s="102"/>
      <c r="T59" s="103" t="n">
        <v>13.16</v>
      </c>
      <c r="U59" s="90" t="n">
        <f aca="false">SUM(H59:T59)</f>
        <v>148.16</v>
      </c>
      <c r="V59" s="104" t="s">
        <v>53</v>
      </c>
      <c r="W59" s="9" t="s">
        <v>118</v>
      </c>
      <c r="X59" s="105" t="s">
        <v>48</v>
      </c>
      <c r="Y59" s="179"/>
      <c r="Z59" s="180"/>
    </row>
    <row r="60" s="9" customFormat="true" ht="14.1" hidden="false" customHeight="true" outlineLevel="0" collapsed="false">
      <c r="A60" s="95" t="s">
        <v>43</v>
      </c>
      <c r="B60" s="2" t="s">
        <v>119</v>
      </c>
      <c r="C60" s="3"/>
      <c r="D60" s="96" t="n">
        <v>3144102</v>
      </c>
      <c r="E60" s="97" t="n">
        <v>45365</v>
      </c>
      <c r="F60" s="98" t="s">
        <v>45</v>
      </c>
      <c r="G60" s="5" t="n">
        <v>45365</v>
      </c>
      <c r="H60" s="100"/>
      <c r="I60" s="101"/>
      <c r="J60" s="101"/>
      <c r="K60" s="101"/>
      <c r="L60" s="101"/>
      <c r="M60" s="100"/>
      <c r="N60" s="101"/>
      <c r="O60" s="100"/>
      <c r="P60" s="6"/>
      <c r="Q60" s="102"/>
      <c r="R60" s="100" t="n">
        <v>330</v>
      </c>
      <c r="S60" s="102" t="n">
        <v>75</v>
      </c>
      <c r="T60" s="103" t="n">
        <v>28.48</v>
      </c>
      <c r="U60" s="90" t="n">
        <f aca="false">SUM(H60:T60)</f>
        <v>433.48</v>
      </c>
      <c r="V60" s="104" t="s">
        <v>46</v>
      </c>
      <c r="W60" s="9" t="s">
        <v>43</v>
      </c>
      <c r="X60" s="105" t="s">
        <v>48</v>
      </c>
      <c r="Y60" s="179"/>
      <c r="Z60" s="180"/>
    </row>
    <row r="61" s="9" customFormat="true" ht="14.1" hidden="false" customHeight="true" outlineLevel="0" collapsed="false">
      <c r="A61" s="164" t="s">
        <v>43</v>
      </c>
      <c r="B61" s="165" t="s">
        <v>120</v>
      </c>
      <c r="C61" s="166"/>
      <c r="D61" s="167" t="n">
        <v>2014105</v>
      </c>
      <c r="E61" s="168" t="n">
        <v>45323</v>
      </c>
      <c r="F61" s="169" t="s">
        <v>45</v>
      </c>
      <c r="G61" s="170" t="n">
        <v>45323</v>
      </c>
      <c r="H61" s="171"/>
      <c r="I61" s="172"/>
      <c r="J61" s="172"/>
      <c r="K61" s="172"/>
      <c r="L61" s="172"/>
      <c r="M61" s="171"/>
      <c r="N61" s="172"/>
      <c r="O61" s="171"/>
      <c r="P61" s="173"/>
      <c r="Q61" s="174"/>
      <c r="R61" s="171" t="n">
        <v>266</v>
      </c>
      <c r="S61" s="174" t="n">
        <v>37.5</v>
      </c>
      <c r="T61" s="175" t="n">
        <v>22.96</v>
      </c>
      <c r="U61" s="176" t="n">
        <f aca="false">SUM(H61:T61)</f>
        <v>326.46</v>
      </c>
      <c r="V61" s="177" t="s">
        <v>46</v>
      </c>
      <c r="W61" s="178" t="s">
        <v>43</v>
      </c>
      <c r="X61" s="105" t="s">
        <v>48</v>
      </c>
      <c r="Y61" s="179"/>
      <c r="Z61" s="180"/>
    </row>
    <row r="62" s="9" customFormat="true" ht="14.1" hidden="false" customHeight="true" outlineLevel="0" collapsed="false">
      <c r="A62" s="181" t="s">
        <v>43</v>
      </c>
      <c r="B62" s="182" t="s">
        <v>194</v>
      </c>
      <c r="C62" s="183"/>
      <c r="D62" s="184" t="n">
        <v>6233103</v>
      </c>
      <c r="E62" s="185" t="n">
        <v>45100</v>
      </c>
      <c r="F62" s="186" t="s">
        <v>45</v>
      </c>
      <c r="G62" s="187" t="n">
        <v>45100</v>
      </c>
      <c r="H62" s="188"/>
      <c r="I62" s="189"/>
      <c r="J62" s="189"/>
      <c r="K62" s="189"/>
      <c r="L62" s="189"/>
      <c r="M62" s="188"/>
      <c r="N62" s="189"/>
      <c r="O62" s="188"/>
      <c r="P62" s="190"/>
      <c r="Q62" s="191"/>
      <c r="R62" s="188" t="n">
        <v>110</v>
      </c>
      <c r="S62" s="191" t="n">
        <v>25</v>
      </c>
      <c r="T62" s="192" t="n">
        <v>9.35</v>
      </c>
      <c r="U62" s="193" t="n">
        <f aca="false">SUM(H62:T62)</f>
        <v>144.35</v>
      </c>
      <c r="V62" s="194" t="s">
        <v>46</v>
      </c>
      <c r="W62" s="195" t="s">
        <v>43</v>
      </c>
      <c r="X62" s="105" t="s">
        <v>48</v>
      </c>
      <c r="Y62" s="196"/>
      <c r="Z62" s="49"/>
    </row>
    <row r="63" s="9" customFormat="true" ht="14.1" hidden="false" customHeight="true" outlineLevel="0" collapsed="false">
      <c r="A63" s="164" t="s">
        <v>43</v>
      </c>
      <c r="B63" s="165" t="s">
        <v>124</v>
      </c>
      <c r="C63" s="166"/>
      <c r="D63" s="167" t="n">
        <v>2124104</v>
      </c>
      <c r="E63" s="168" t="n">
        <v>45334</v>
      </c>
      <c r="F63" s="169" t="s">
        <v>45</v>
      </c>
      <c r="G63" s="170" t="n">
        <v>45334</v>
      </c>
      <c r="H63" s="171"/>
      <c r="I63" s="172"/>
      <c r="J63" s="172"/>
      <c r="K63" s="172"/>
      <c r="L63" s="172"/>
      <c r="M63" s="171"/>
      <c r="N63" s="172"/>
      <c r="O63" s="171"/>
      <c r="P63" s="173"/>
      <c r="Q63" s="174"/>
      <c r="R63" s="171" t="n">
        <v>55</v>
      </c>
      <c r="S63" s="174" t="n">
        <v>12.5</v>
      </c>
      <c r="T63" s="175" t="n">
        <v>4.75</v>
      </c>
      <c r="U63" s="176" t="n">
        <f aca="false">SUM(H63:T63)</f>
        <v>72.25</v>
      </c>
      <c r="V63" s="177" t="s">
        <v>46</v>
      </c>
      <c r="W63" s="178" t="s">
        <v>43</v>
      </c>
      <c r="X63" s="105" t="s">
        <v>48</v>
      </c>
      <c r="Y63" s="179"/>
      <c r="Z63" s="180"/>
    </row>
    <row r="64" s="9" customFormat="true" ht="14.1" hidden="false" customHeight="true" outlineLevel="0" collapsed="false">
      <c r="A64" s="95" t="s">
        <v>43</v>
      </c>
      <c r="B64" s="2" t="s">
        <v>197</v>
      </c>
      <c r="C64" s="3"/>
      <c r="D64" s="96" t="n">
        <v>3044102</v>
      </c>
      <c r="E64" s="97" t="n">
        <v>45355</v>
      </c>
      <c r="F64" s="98" t="s">
        <v>45</v>
      </c>
      <c r="G64" s="5" t="n">
        <v>45355</v>
      </c>
      <c r="H64" s="100"/>
      <c r="I64" s="101"/>
      <c r="J64" s="101"/>
      <c r="K64" s="101"/>
      <c r="L64" s="101"/>
      <c r="M64" s="100"/>
      <c r="N64" s="101"/>
      <c r="O64" s="100"/>
      <c r="P64" s="6"/>
      <c r="Q64" s="102"/>
      <c r="R64" s="100" t="n">
        <v>120</v>
      </c>
      <c r="S64" s="102" t="n">
        <v>25</v>
      </c>
      <c r="T64" s="103" t="n">
        <v>9.9</v>
      </c>
      <c r="U64" s="90" t="n">
        <f aca="false">SUM(H64:T64)</f>
        <v>154.9</v>
      </c>
      <c r="V64" s="104" t="s">
        <v>46</v>
      </c>
      <c r="W64" s="9" t="s">
        <v>70</v>
      </c>
      <c r="X64" s="105" t="s">
        <v>48</v>
      </c>
      <c r="Y64" s="179"/>
      <c r="Z64" s="180"/>
    </row>
    <row r="65" s="9" customFormat="true" ht="14.1" hidden="false" customHeight="true" outlineLevel="0" collapsed="false">
      <c r="A65" s="95" t="s">
        <v>43</v>
      </c>
      <c r="B65" s="2" t="s">
        <v>197</v>
      </c>
      <c r="C65" s="3"/>
      <c r="D65" s="96" t="n">
        <v>3214101</v>
      </c>
      <c r="E65" s="97" t="n">
        <v>45372</v>
      </c>
      <c r="F65" s="98" t="s">
        <v>45</v>
      </c>
      <c r="G65" s="5" t="n">
        <v>45372</v>
      </c>
      <c r="H65" s="100"/>
      <c r="I65" s="101"/>
      <c r="J65" s="101"/>
      <c r="K65" s="101"/>
      <c r="L65" s="101"/>
      <c r="M65" s="100"/>
      <c r="N65" s="101"/>
      <c r="O65" s="100"/>
      <c r="P65" s="6"/>
      <c r="Q65" s="102"/>
      <c r="R65" s="100" t="n">
        <v>120</v>
      </c>
      <c r="S65" s="102" t="n">
        <v>25</v>
      </c>
      <c r="T65" s="103" t="n">
        <v>9.9</v>
      </c>
      <c r="U65" s="90" t="n">
        <f aca="false">SUM(H65:T65)</f>
        <v>154.9</v>
      </c>
      <c r="V65" s="104" t="s">
        <v>46</v>
      </c>
      <c r="W65" s="9" t="s">
        <v>43</v>
      </c>
      <c r="X65" s="105" t="s">
        <v>48</v>
      </c>
      <c r="Y65" s="179"/>
      <c r="Z65" s="180"/>
    </row>
    <row r="66" s="9" customFormat="true" ht="14.1" hidden="false" customHeight="true" outlineLevel="0" collapsed="false">
      <c r="A66" s="164" t="s">
        <v>43</v>
      </c>
      <c r="B66" s="165" t="s">
        <v>126</v>
      </c>
      <c r="C66" s="166"/>
      <c r="D66" s="167" t="n">
        <v>2294102</v>
      </c>
      <c r="E66" s="168" t="n">
        <v>45351</v>
      </c>
      <c r="F66" s="169" t="s">
        <v>45</v>
      </c>
      <c r="G66" s="170" t="n">
        <v>45351</v>
      </c>
      <c r="H66" s="171"/>
      <c r="I66" s="172"/>
      <c r="J66" s="172"/>
      <c r="K66" s="172"/>
      <c r="L66" s="172"/>
      <c r="M66" s="171"/>
      <c r="N66" s="172"/>
      <c r="O66" s="171"/>
      <c r="P66" s="173"/>
      <c r="Q66" s="174"/>
      <c r="R66" s="171" t="n">
        <v>105</v>
      </c>
      <c r="S66" s="174" t="n">
        <v>12.5</v>
      </c>
      <c r="T66" s="175" t="n">
        <v>9.71</v>
      </c>
      <c r="U66" s="176" t="n">
        <f aca="false">SUM(H66:T66)</f>
        <v>127.21</v>
      </c>
      <c r="V66" s="177" t="s">
        <v>46</v>
      </c>
      <c r="W66" s="178" t="s">
        <v>43</v>
      </c>
      <c r="X66" s="105" t="s">
        <v>48</v>
      </c>
      <c r="Y66" s="179"/>
      <c r="Z66" s="180"/>
    </row>
    <row r="67" s="9" customFormat="true" ht="14.1" hidden="false" customHeight="true" outlineLevel="0" collapsed="false">
      <c r="A67" s="181" t="s">
        <v>43</v>
      </c>
      <c r="B67" s="182" t="s">
        <v>128</v>
      </c>
      <c r="C67" s="183"/>
      <c r="D67" s="184" t="n">
        <v>11023102</v>
      </c>
      <c r="E67" s="185" t="n">
        <v>45232</v>
      </c>
      <c r="F67" s="186" t="s">
        <v>45</v>
      </c>
      <c r="G67" s="187" t="n">
        <v>45232</v>
      </c>
      <c r="H67" s="188"/>
      <c r="I67" s="189"/>
      <c r="J67" s="189"/>
      <c r="K67" s="189"/>
      <c r="L67" s="189"/>
      <c r="M67" s="188"/>
      <c r="N67" s="189"/>
      <c r="O67" s="188"/>
      <c r="P67" s="190"/>
      <c r="Q67" s="191"/>
      <c r="R67" s="188" t="n">
        <v>110</v>
      </c>
      <c r="S67" s="191" t="n">
        <v>25</v>
      </c>
      <c r="T67" s="192" t="n">
        <v>9.49</v>
      </c>
      <c r="U67" s="193" t="n">
        <f aca="false">SUM(H67:T67)</f>
        <v>144.49</v>
      </c>
      <c r="V67" s="194" t="s">
        <v>46</v>
      </c>
      <c r="W67" s="195" t="s">
        <v>70</v>
      </c>
      <c r="X67" s="105" t="s">
        <v>48</v>
      </c>
      <c r="Y67" s="196"/>
      <c r="Z67" s="49"/>
    </row>
    <row r="68" s="9" customFormat="true" ht="14.1" hidden="false" customHeight="true" outlineLevel="0" collapsed="false">
      <c r="A68" s="181" t="s">
        <v>43</v>
      </c>
      <c r="B68" s="182" t="s">
        <v>130</v>
      </c>
      <c r="C68" s="183"/>
      <c r="D68" s="184" t="n">
        <v>10033111</v>
      </c>
      <c r="E68" s="185" t="n">
        <v>45202</v>
      </c>
      <c r="F68" s="186" t="s">
        <v>45</v>
      </c>
      <c r="G68" s="187" t="n">
        <v>45203</v>
      </c>
      <c r="H68" s="188"/>
      <c r="I68" s="189"/>
      <c r="J68" s="189"/>
      <c r="K68" s="189"/>
      <c r="L68" s="189"/>
      <c r="M68" s="188"/>
      <c r="N68" s="189"/>
      <c r="O68" s="188"/>
      <c r="P68" s="190"/>
      <c r="Q68" s="191"/>
      <c r="R68" s="188" t="n">
        <v>149</v>
      </c>
      <c r="S68" s="191" t="n">
        <v>37.5</v>
      </c>
      <c r="T68" s="192" t="n">
        <v>12.29</v>
      </c>
      <c r="U68" s="193" t="n">
        <f aca="false">SUM(H68:T68)</f>
        <v>198.79</v>
      </c>
      <c r="V68" s="194" t="s">
        <v>46</v>
      </c>
      <c r="W68" s="195" t="s">
        <v>43</v>
      </c>
      <c r="X68" s="105" t="s">
        <v>48</v>
      </c>
      <c r="Y68" s="49"/>
    </row>
    <row r="69" s="9" customFormat="true" ht="14.1" hidden="false" customHeight="true" outlineLevel="0" collapsed="false">
      <c r="A69" s="198" t="s">
        <v>43</v>
      </c>
      <c r="B69" s="199" t="s">
        <v>200</v>
      </c>
      <c r="C69" s="200"/>
      <c r="D69" s="201" t="n">
        <v>1234107</v>
      </c>
      <c r="E69" s="202" t="n">
        <v>45314</v>
      </c>
      <c r="F69" s="203" t="s">
        <v>45</v>
      </c>
      <c r="G69" s="204" t="n">
        <v>45314</v>
      </c>
      <c r="H69" s="205"/>
      <c r="I69" s="206"/>
      <c r="J69" s="206"/>
      <c r="K69" s="206"/>
      <c r="L69" s="206"/>
      <c r="M69" s="205"/>
      <c r="N69" s="206"/>
      <c r="O69" s="205"/>
      <c r="P69" s="207"/>
      <c r="Q69" s="208"/>
      <c r="R69" s="205" t="n">
        <v>70</v>
      </c>
      <c r="S69" s="208" t="n">
        <v>25</v>
      </c>
      <c r="T69" s="209" t="n">
        <v>5.95</v>
      </c>
      <c r="U69" s="210" t="n">
        <f aca="false">SUM(H69:T69)</f>
        <v>100.95</v>
      </c>
      <c r="V69" s="211" t="s">
        <v>46</v>
      </c>
      <c r="W69" s="212" t="s">
        <v>43</v>
      </c>
      <c r="X69" s="105" t="s">
        <v>48</v>
      </c>
      <c r="Y69" s="196"/>
      <c r="Z69" s="49"/>
    </row>
    <row r="70" s="9" customFormat="true" ht="14.1" hidden="false" customHeight="true" outlineLevel="0" collapsed="false">
      <c r="A70" s="95" t="s">
        <v>43</v>
      </c>
      <c r="B70" s="2" t="s">
        <v>135</v>
      </c>
      <c r="C70" s="3"/>
      <c r="D70" s="96" t="n">
        <v>3014101</v>
      </c>
      <c r="E70" s="97" t="n">
        <v>45352</v>
      </c>
      <c r="F70" s="98" t="s">
        <v>45</v>
      </c>
      <c r="G70" s="5" t="n">
        <v>45352</v>
      </c>
      <c r="H70" s="100"/>
      <c r="I70" s="101"/>
      <c r="J70" s="101"/>
      <c r="K70" s="101"/>
      <c r="L70" s="101"/>
      <c r="M70" s="100"/>
      <c r="N70" s="101"/>
      <c r="O70" s="100"/>
      <c r="P70" s="6"/>
      <c r="Q70" s="102"/>
      <c r="R70" s="100" t="n">
        <v>65</v>
      </c>
      <c r="S70" s="102" t="n">
        <v>12.5</v>
      </c>
      <c r="T70" s="103" t="n">
        <v>6.99</v>
      </c>
      <c r="U70" s="90" t="n">
        <f aca="false">SUM(H70:T70)</f>
        <v>84.49</v>
      </c>
      <c r="V70" s="104" t="s">
        <v>46</v>
      </c>
      <c r="W70" s="9" t="s">
        <v>43</v>
      </c>
      <c r="X70" s="105" t="s">
        <v>48</v>
      </c>
      <c r="Y70" s="179"/>
      <c r="Z70" s="180"/>
    </row>
    <row r="71" s="9" customFormat="true" ht="14.1" hidden="false" customHeight="true" outlineLevel="0" collapsed="false">
      <c r="A71" s="181" t="s">
        <v>43</v>
      </c>
      <c r="B71" s="182" t="s">
        <v>201</v>
      </c>
      <c r="C71" s="183"/>
      <c r="D71" s="184" t="n">
        <v>9053102</v>
      </c>
      <c r="E71" s="185" t="n">
        <v>45174</v>
      </c>
      <c r="F71" s="186" t="s">
        <v>45</v>
      </c>
      <c r="G71" s="187" t="n">
        <v>45174</v>
      </c>
      <c r="H71" s="188"/>
      <c r="I71" s="189"/>
      <c r="J71" s="189"/>
      <c r="K71" s="189"/>
      <c r="L71" s="189"/>
      <c r="M71" s="188"/>
      <c r="N71" s="189"/>
      <c r="O71" s="188"/>
      <c r="P71" s="190"/>
      <c r="Q71" s="191"/>
      <c r="R71" s="188" t="n">
        <v>219</v>
      </c>
      <c r="S71" s="191" t="n">
        <v>62.5</v>
      </c>
      <c r="T71" s="192" t="n">
        <v>22.45</v>
      </c>
      <c r="U71" s="193" t="n">
        <f aca="false">SUM(H71:T71)</f>
        <v>303.95</v>
      </c>
      <c r="V71" s="194" t="s">
        <v>46</v>
      </c>
      <c r="W71" s="195" t="s">
        <v>47</v>
      </c>
      <c r="X71" s="105" t="s">
        <v>48</v>
      </c>
      <c r="Y71" s="196"/>
      <c r="Z71" s="49"/>
    </row>
    <row r="72" s="9" customFormat="true" ht="14.1" hidden="false" customHeight="true" outlineLevel="0" collapsed="false">
      <c r="A72" s="95" t="s">
        <v>43</v>
      </c>
      <c r="B72" s="2" t="s">
        <v>202</v>
      </c>
      <c r="C72" s="3"/>
      <c r="D72" s="96" t="n">
        <v>3224102</v>
      </c>
      <c r="E72" s="97" t="n">
        <v>45373</v>
      </c>
      <c r="F72" s="98" t="s">
        <v>45</v>
      </c>
      <c r="G72" s="5" t="n">
        <v>45373</v>
      </c>
      <c r="H72" s="100"/>
      <c r="I72" s="101"/>
      <c r="J72" s="101"/>
      <c r="K72" s="101"/>
      <c r="L72" s="101"/>
      <c r="M72" s="100"/>
      <c r="N72" s="101"/>
      <c r="O72" s="100"/>
      <c r="P72" s="6"/>
      <c r="Q72" s="102"/>
      <c r="R72" s="100" t="n">
        <v>425</v>
      </c>
      <c r="S72" s="102" t="n">
        <v>87.5</v>
      </c>
      <c r="T72" s="103" t="n">
        <v>36.66</v>
      </c>
      <c r="U72" s="90" t="n">
        <f aca="false">SUM(H72:T72)</f>
        <v>549.16</v>
      </c>
      <c r="V72" s="104" t="s">
        <v>46</v>
      </c>
      <c r="W72" s="9" t="s">
        <v>43</v>
      </c>
      <c r="X72" s="105" t="s">
        <v>48</v>
      </c>
      <c r="Y72" s="179"/>
      <c r="Z72" s="180"/>
    </row>
    <row r="73" s="9" customFormat="true" ht="14.1" hidden="false" customHeight="true" outlineLevel="0" collapsed="false">
      <c r="A73" s="198" t="s">
        <v>43</v>
      </c>
      <c r="B73" s="199" t="s">
        <v>136</v>
      </c>
      <c r="C73" s="200"/>
      <c r="D73" s="201" t="n">
        <v>1264103</v>
      </c>
      <c r="E73" s="202" t="n">
        <v>45317</v>
      </c>
      <c r="F73" s="203" t="s">
        <v>45</v>
      </c>
      <c r="G73" s="204" t="n">
        <v>45317</v>
      </c>
      <c r="H73" s="205"/>
      <c r="I73" s="206"/>
      <c r="J73" s="206"/>
      <c r="K73" s="206"/>
      <c r="L73" s="206"/>
      <c r="M73" s="205"/>
      <c r="N73" s="206"/>
      <c r="O73" s="205"/>
      <c r="P73" s="207"/>
      <c r="Q73" s="208"/>
      <c r="R73" s="205" t="n">
        <v>726</v>
      </c>
      <c r="S73" s="208" t="n">
        <v>137.5</v>
      </c>
      <c r="T73" s="209" t="n">
        <v>67.16</v>
      </c>
      <c r="U73" s="210" t="n">
        <f aca="false">SUM(H73:T73)</f>
        <v>930.66</v>
      </c>
      <c r="V73" s="211" t="s">
        <v>46</v>
      </c>
      <c r="W73" s="212" t="s">
        <v>70</v>
      </c>
      <c r="X73" s="105" t="s">
        <v>48</v>
      </c>
      <c r="Y73" s="196"/>
      <c r="Z73" s="49"/>
    </row>
    <row r="74" s="9" customFormat="true" ht="14.1" hidden="false" customHeight="true" outlineLevel="0" collapsed="false">
      <c r="A74" s="164" t="s">
        <v>43</v>
      </c>
      <c r="B74" s="165" t="s">
        <v>203</v>
      </c>
      <c r="C74" s="166"/>
      <c r="D74" s="167" t="n">
        <v>2224102</v>
      </c>
      <c r="E74" s="168" t="n">
        <v>45344</v>
      </c>
      <c r="F74" s="169" t="s">
        <v>45</v>
      </c>
      <c r="G74" s="170" t="n">
        <v>45344</v>
      </c>
      <c r="H74" s="171"/>
      <c r="I74" s="172"/>
      <c r="J74" s="172"/>
      <c r="K74" s="172"/>
      <c r="L74" s="172"/>
      <c r="M74" s="171"/>
      <c r="N74" s="172"/>
      <c r="O74" s="171"/>
      <c r="P74" s="173"/>
      <c r="Q74" s="174"/>
      <c r="R74" s="171" t="n">
        <v>120</v>
      </c>
      <c r="S74" s="174" t="n">
        <v>25</v>
      </c>
      <c r="T74" s="175" t="n">
        <v>10.2</v>
      </c>
      <c r="U74" s="176" t="n">
        <f aca="false">SUM(H74:T74)</f>
        <v>155.2</v>
      </c>
      <c r="V74" s="177" t="s">
        <v>46</v>
      </c>
      <c r="W74" s="178" t="s">
        <v>70</v>
      </c>
      <c r="X74" s="105" t="s">
        <v>48</v>
      </c>
      <c r="Y74" s="179"/>
      <c r="Z74" s="180"/>
    </row>
    <row r="75" s="9" customFormat="true" ht="14.1" hidden="false" customHeight="true" outlineLevel="0" collapsed="false">
      <c r="A75" s="181" t="s">
        <v>43</v>
      </c>
      <c r="B75" s="182" t="s">
        <v>137</v>
      </c>
      <c r="C75" s="183"/>
      <c r="D75" s="184" t="n">
        <v>12133101</v>
      </c>
      <c r="E75" s="185" t="n">
        <v>45273</v>
      </c>
      <c r="F75" s="186" t="s">
        <v>45</v>
      </c>
      <c r="G75" s="187" t="n">
        <v>45273</v>
      </c>
      <c r="H75" s="188"/>
      <c r="I75" s="189"/>
      <c r="J75" s="189"/>
      <c r="K75" s="189"/>
      <c r="L75" s="189"/>
      <c r="M75" s="188"/>
      <c r="N75" s="189"/>
      <c r="O75" s="188"/>
      <c r="P75" s="190"/>
      <c r="Q75" s="191"/>
      <c r="R75" s="188" t="n">
        <v>198</v>
      </c>
      <c r="S75" s="191" t="n">
        <v>37.5</v>
      </c>
      <c r="T75" s="192" t="n">
        <v>16.83</v>
      </c>
      <c r="U75" s="193" t="n">
        <f aca="false">SUM(H75:T75)</f>
        <v>252.33</v>
      </c>
      <c r="V75" s="194" t="s">
        <v>46</v>
      </c>
      <c r="W75" s="195" t="s">
        <v>43</v>
      </c>
      <c r="X75" s="105" t="s">
        <v>48</v>
      </c>
      <c r="Y75" s="196"/>
      <c r="Z75" s="49"/>
    </row>
    <row r="76" s="9" customFormat="true" ht="14.1" hidden="false" customHeight="true" outlineLevel="0" collapsed="false">
      <c r="A76" s="181" t="s">
        <v>43</v>
      </c>
      <c r="B76" s="182" t="s">
        <v>138</v>
      </c>
      <c r="C76" s="183" t="s">
        <v>139</v>
      </c>
      <c r="D76" s="184" t="n">
        <v>10053103</v>
      </c>
      <c r="E76" s="185" t="n">
        <v>45204</v>
      </c>
      <c r="F76" s="186" t="s">
        <v>45</v>
      </c>
      <c r="G76" s="187" t="n">
        <v>45204</v>
      </c>
      <c r="H76" s="188"/>
      <c r="I76" s="189"/>
      <c r="J76" s="189"/>
      <c r="K76" s="189"/>
      <c r="L76" s="189"/>
      <c r="M76" s="188"/>
      <c r="N76" s="189"/>
      <c r="O76" s="188"/>
      <c r="P76" s="190"/>
      <c r="Q76" s="191"/>
      <c r="R76" s="188" t="n">
        <v>155</v>
      </c>
      <c r="S76" s="191" t="n">
        <v>25</v>
      </c>
      <c r="T76" s="192"/>
      <c r="U76" s="193" t="n">
        <f aca="false">SUM(H76:T76)</f>
        <v>180</v>
      </c>
      <c r="V76" s="194" t="s">
        <v>46</v>
      </c>
      <c r="W76" s="195" t="s">
        <v>59</v>
      </c>
      <c r="X76" s="105" t="s">
        <v>48</v>
      </c>
      <c r="Y76" s="49"/>
    </row>
    <row r="77" s="9" customFormat="true" ht="14.1" hidden="false" customHeight="true" outlineLevel="0" collapsed="false">
      <c r="A77" s="95" t="s">
        <v>43</v>
      </c>
      <c r="B77" s="2" t="s">
        <v>141</v>
      </c>
      <c r="C77" s="3"/>
      <c r="D77" s="96" t="n">
        <v>3184102</v>
      </c>
      <c r="E77" s="97" t="n">
        <v>45369</v>
      </c>
      <c r="F77" s="98" t="s">
        <v>45</v>
      </c>
      <c r="G77" s="5" t="n">
        <v>45369</v>
      </c>
      <c r="H77" s="100"/>
      <c r="I77" s="101"/>
      <c r="J77" s="101"/>
      <c r="K77" s="101"/>
      <c r="L77" s="101"/>
      <c r="M77" s="100"/>
      <c r="N77" s="101"/>
      <c r="O77" s="100"/>
      <c r="P77" s="6"/>
      <c r="Q77" s="102"/>
      <c r="R77" s="100" t="n">
        <v>318</v>
      </c>
      <c r="S77" s="102" t="n">
        <v>67.5</v>
      </c>
      <c r="T77" s="103" t="n">
        <v>27.43</v>
      </c>
      <c r="U77" s="90" t="n">
        <f aca="false">SUM(H77:T77)</f>
        <v>412.93</v>
      </c>
      <c r="V77" s="104" t="s">
        <v>46</v>
      </c>
      <c r="W77" s="9" t="s">
        <v>70</v>
      </c>
      <c r="X77" s="105" t="s">
        <v>48</v>
      </c>
      <c r="Y77" s="179"/>
      <c r="Z77" s="180"/>
    </row>
    <row r="78" s="9" customFormat="true" ht="14.1" hidden="false" customHeight="true" outlineLevel="0" collapsed="false">
      <c r="A78" s="198" t="s">
        <v>43</v>
      </c>
      <c r="B78" s="199" t="s">
        <v>142</v>
      </c>
      <c r="C78" s="200" t="s">
        <v>143</v>
      </c>
      <c r="D78" s="201" t="n">
        <v>1044108</v>
      </c>
      <c r="E78" s="202" t="n">
        <v>45295</v>
      </c>
      <c r="F78" s="203" t="s">
        <v>45</v>
      </c>
      <c r="G78" s="204" t="n">
        <v>45296</v>
      </c>
      <c r="H78" s="205"/>
      <c r="I78" s="206"/>
      <c r="J78" s="206"/>
      <c r="K78" s="206"/>
      <c r="L78" s="206"/>
      <c r="M78" s="205"/>
      <c r="N78" s="206"/>
      <c r="O78" s="205"/>
      <c r="P78" s="207"/>
      <c r="Q78" s="208"/>
      <c r="R78" s="205" t="n">
        <v>162</v>
      </c>
      <c r="S78" s="208" t="n">
        <v>25</v>
      </c>
      <c r="T78" s="209" t="n">
        <v>17.42</v>
      </c>
      <c r="U78" s="210" t="n">
        <f aca="false">SUM(H78:T78)</f>
        <v>204.42</v>
      </c>
      <c r="V78" s="211" t="s">
        <v>46</v>
      </c>
      <c r="W78" s="212" t="s">
        <v>70</v>
      </c>
      <c r="X78" s="105" t="s">
        <v>48</v>
      </c>
      <c r="Y78" s="196"/>
      <c r="Z78" s="49"/>
    </row>
    <row r="79" s="9" customFormat="true" ht="14.1" hidden="false" customHeight="true" outlineLevel="0" collapsed="false">
      <c r="A79" s="95" t="s">
        <v>43</v>
      </c>
      <c r="B79" s="2" t="s">
        <v>142</v>
      </c>
      <c r="C79" s="3" t="s">
        <v>143</v>
      </c>
      <c r="D79" s="96" t="n">
        <v>3014109</v>
      </c>
      <c r="E79" s="97" t="n">
        <v>45352</v>
      </c>
      <c r="F79" s="98" t="s">
        <v>45</v>
      </c>
      <c r="G79" s="5" t="n">
        <v>45352</v>
      </c>
      <c r="H79" s="100"/>
      <c r="I79" s="101"/>
      <c r="J79" s="101"/>
      <c r="K79" s="101"/>
      <c r="L79" s="101"/>
      <c r="M79" s="100"/>
      <c r="N79" s="101"/>
      <c r="O79" s="100"/>
      <c r="P79" s="6"/>
      <c r="Q79" s="102"/>
      <c r="R79" s="100" t="n">
        <v>169</v>
      </c>
      <c r="S79" s="102" t="n">
        <v>37.5</v>
      </c>
      <c r="T79" s="103" t="n">
        <v>18.17</v>
      </c>
      <c r="U79" s="90" t="n">
        <f aca="false">SUM(H79:T79)</f>
        <v>224.67</v>
      </c>
      <c r="V79" s="104" t="s">
        <v>46</v>
      </c>
      <c r="W79" s="9" t="s">
        <v>70</v>
      </c>
      <c r="X79" s="105" t="s">
        <v>48</v>
      </c>
      <c r="Y79" s="179"/>
      <c r="Z79" s="180"/>
    </row>
    <row r="80" s="9" customFormat="true" ht="14.1" hidden="false" customHeight="true" outlineLevel="0" collapsed="false">
      <c r="A80" s="95" t="s">
        <v>43</v>
      </c>
      <c r="B80" s="2" t="s">
        <v>142</v>
      </c>
      <c r="C80" s="3" t="s">
        <v>204</v>
      </c>
      <c r="D80" s="96" t="n">
        <v>3084101</v>
      </c>
      <c r="E80" s="97" t="n">
        <v>45359</v>
      </c>
      <c r="F80" s="98" t="s">
        <v>45</v>
      </c>
      <c r="G80" s="5" t="n">
        <v>45362</v>
      </c>
      <c r="H80" s="100"/>
      <c r="I80" s="101"/>
      <c r="J80" s="101"/>
      <c r="K80" s="101"/>
      <c r="L80" s="101"/>
      <c r="M80" s="100"/>
      <c r="N80" s="101"/>
      <c r="O80" s="100"/>
      <c r="P80" s="6"/>
      <c r="Q80" s="102"/>
      <c r="R80" s="100" t="n">
        <v>110</v>
      </c>
      <c r="S80" s="102" t="n">
        <v>25</v>
      </c>
      <c r="T80" s="103" t="n">
        <v>10.04</v>
      </c>
      <c r="U80" s="90" t="n">
        <f aca="false">SUM(H80:T80)</f>
        <v>145.04</v>
      </c>
      <c r="V80" s="104" t="s">
        <v>46</v>
      </c>
      <c r="W80" s="9" t="s">
        <v>43</v>
      </c>
      <c r="X80" s="105" t="s">
        <v>48</v>
      </c>
      <c r="Y80" s="179"/>
      <c r="Z80" s="180"/>
    </row>
    <row r="81" s="9" customFormat="true" ht="14.1" hidden="false" customHeight="true" outlineLevel="0" collapsed="false">
      <c r="A81" s="95" t="s">
        <v>43</v>
      </c>
      <c r="B81" s="2" t="s">
        <v>205</v>
      </c>
      <c r="C81" s="3"/>
      <c r="D81" s="96" t="n">
        <v>3154105</v>
      </c>
      <c r="E81" s="97" t="n">
        <v>45366</v>
      </c>
      <c r="F81" s="98" t="s">
        <v>45</v>
      </c>
      <c r="G81" s="5" t="n">
        <v>45366</v>
      </c>
      <c r="H81" s="100"/>
      <c r="I81" s="101"/>
      <c r="J81" s="101"/>
      <c r="K81" s="101"/>
      <c r="L81" s="101"/>
      <c r="M81" s="100"/>
      <c r="N81" s="101"/>
      <c r="O81" s="100"/>
      <c r="P81" s="6"/>
      <c r="Q81" s="102"/>
      <c r="R81" s="100" t="n">
        <v>195</v>
      </c>
      <c r="S81" s="102" t="n">
        <v>67.5</v>
      </c>
      <c r="T81" s="103" t="n">
        <v>16.82</v>
      </c>
      <c r="U81" s="90" t="n">
        <f aca="false">SUM(H81:T81)</f>
        <v>279.32</v>
      </c>
      <c r="V81" s="104" t="s">
        <v>46</v>
      </c>
      <c r="W81" s="9" t="s">
        <v>43</v>
      </c>
      <c r="X81" s="105" t="s">
        <v>48</v>
      </c>
      <c r="Y81" s="179"/>
      <c r="Z81" s="180"/>
    </row>
    <row r="82" s="9" customFormat="true" ht="14.1" hidden="false" customHeight="true" outlineLevel="0" collapsed="false">
      <c r="A82" s="95" t="s">
        <v>43</v>
      </c>
      <c r="B82" s="2" t="s">
        <v>146</v>
      </c>
      <c r="C82" s="3"/>
      <c r="D82" s="96" t="n">
        <v>3114102</v>
      </c>
      <c r="E82" s="97" t="n">
        <v>45362</v>
      </c>
      <c r="F82" s="98" t="s">
        <v>45</v>
      </c>
      <c r="G82" s="5" t="n">
        <v>45362</v>
      </c>
      <c r="H82" s="100"/>
      <c r="I82" s="101"/>
      <c r="J82" s="101"/>
      <c r="K82" s="101"/>
      <c r="L82" s="101"/>
      <c r="M82" s="100"/>
      <c r="N82" s="101"/>
      <c r="O82" s="100"/>
      <c r="P82" s="6"/>
      <c r="Q82" s="102"/>
      <c r="R82" s="100" t="n">
        <v>130</v>
      </c>
      <c r="S82" s="102" t="n">
        <v>25</v>
      </c>
      <c r="T82" s="103" t="n">
        <v>11.21</v>
      </c>
      <c r="U82" s="90" t="n">
        <f aca="false">SUM(H82:T82)</f>
        <v>166.21</v>
      </c>
      <c r="V82" s="104" t="s">
        <v>46</v>
      </c>
      <c r="W82" s="9" t="s">
        <v>43</v>
      </c>
      <c r="X82" s="105" t="s">
        <v>48</v>
      </c>
      <c r="Y82" s="179"/>
      <c r="Z82" s="180"/>
    </row>
    <row r="83" s="9" customFormat="true" ht="14.1" hidden="false" customHeight="true" outlineLevel="0" collapsed="false">
      <c r="A83" s="95" t="s">
        <v>43</v>
      </c>
      <c r="B83" s="2" t="s">
        <v>206</v>
      </c>
      <c r="C83" s="3"/>
      <c r="D83" s="96" t="n">
        <v>3044101</v>
      </c>
      <c r="E83" s="97" t="n">
        <v>45355</v>
      </c>
      <c r="F83" s="98" t="s">
        <v>45</v>
      </c>
      <c r="G83" s="5" t="n">
        <v>45355</v>
      </c>
      <c r="H83" s="100"/>
      <c r="I83" s="101"/>
      <c r="J83" s="101"/>
      <c r="K83" s="101"/>
      <c r="L83" s="101"/>
      <c r="M83" s="100"/>
      <c r="N83" s="101"/>
      <c r="O83" s="100"/>
      <c r="P83" s="6"/>
      <c r="Q83" s="102"/>
      <c r="R83" s="100" t="n">
        <v>78</v>
      </c>
      <c r="S83" s="102" t="n">
        <v>12.5</v>
      </c>
      <c r="T83" s="103" t="n">
        <v>6.44</v>
      </c>
      <c r="U83" s="90" t="n">
        <f aca="false">SUM(H83:T83)</f>
        <v>96.94</v>
      </c>
      <c r="V83" s="104" t="s">
        <v>46</v>
      </c>
      <c r="W83" s="9" t="s">
        <v>70</v>
      </c>
      <c r="X83" s="105" t="s">
        <v>48</v>
      </c>
      <c r="Y83" s="179"/>
      <c r="Z83" s="180"/>
    </row>
    <row r="84" s="9" customFormat="true" ht="14.1" hidden="false" customHeight="true" outlineLevel="0" collapsed="false">
      <c r="A84" s="95" t="s">
        <v>43</v>
      </c>
      <c r="B84" s="2" t="s">
        <v>206</v>
      </c>
      <c r="C84" s="3"/>
      <c r="D84" s="96" t="n">
        <v>3044104</v>
      </c>
      <c r="E84" s="97" t="n">
        <v>45355</v>
      </c>
      <c r="F84" s="98" t="s">
        <v>45</v>
      </c>
      <c r="G84" s="5" t="n">
        <v>45355</v>
      </c>
      <c r="H84" s="100"/>
      <c r="I84" s="101"/>
      <c r="J84" s="101"/>
      <c r="K84" s="101"/>
      <c r="L84" s="101"/>
      <c r="M84" s="100"/>
      <c r="N84" s="101"/>
      <c r="O84" s="100"/>
      <c r="P84" s="6"/>
      <c r="Q84" s="102"/>
      <c r="R84" s="100" t="n">
        <v>45</v>
      </c>
      <c r="S84" s="102" t="n">
        <v>12.5</v>
      </c>
      <c r="T84" s="103" t="n">
        <v>3.71</v>
      </c>
      <c r="U84" s="90" t="n">
        <f aca="false">SUM(H84:T84)</f>
        <v>61.21</v>
      </c>
      <c r="V84" s="104" t="s">
        <v>46</v>
      </c>
      <c r="W84" s="9" t="s">
        <v>70</v>
      </c>
      <c r="X84" s="105" t="s">
        <v>48</v>
      </c>
      <c r="Y84" s="179"/>
      <c r="Z84" s="180"/>
    </row>
    <row r="85" s="9" customFormat="true" ht="14.1" hidden="false" customHeight="true" outlineLevel="0" collapsed="false">
      <c r="A85" s="181" t="s">
        <v>43</v>
      </c>
      <c r="B85" s="182" t="s">
        <v>147</v>
      </c>
      <c r="C85" s="183"/>
      <c r="D85" s="184" t="n">
        <v>12083104</v>
      </c>
      <c r="E85" s="185" t="n">
        <v>45268</v>
      </c>
      <c r="F85" s="186" t="s">
        <v>45</v>
      </c>
      <c r="G85" s="187" t="n">
        <v>45268</v>
      </c>
      <c r="H85" s="188"/>
      <c r="I85" s="189"/>
      <c r="J85" s="189"/>
      <c r="K85" s="189"/>
      <c r="L85" s="189"/>
      <c r="M85" s="188"/>
      <c r="N85" s="189"/>
      <c r="O85" s="188"/>
      <c r="P85" s="190"/>
      <c r="Q85" s="191"/>
      <c r="R85" s="188" t="n">
        <v>65</v>
      </c>
      <c r="S85" s="191" t="n">
        <v>12.5</v>
      </c>
      <c r="T85" s="192" t="n">
        <v>6.09</v>
      </c>
      <c r="U85" s="193" t="n">
        <f aca="false">SUM(H85:T85)</f>
        <v>83.59</v>
      </c>
      <c r="V85" s="194" t="s">
        <v>46</v>
      </c>
      <c r="W85" s="195" t="s">
        <v>70</v>
      </c>
      <c r="X85" s="105" t="s">
        <v>48</v>
      </c>
      <c r="Y85" s="196"/>
      <c r="Z85" s="49"/>
    </row>
    <row r="86" s="9" customFormat="true" ht="14.1" hidden="false" customHeight="true" outlineLevel="0" collapsed="false">
      <c r="A86" s="95" t="s">
        <v>43</v>
      </c>
      <c r="B86" s="2" t="s">
        <v>207</v>
      </c>
      <c r="C86" s="3"/>
      <c r="D86" s="96" t="n">
        <v>3154104</v>
      </c>
      <c r="E86" s="97" t="n">
        <v>45366</v>
      </c>
      <c r="F86" s="98" t="s">
        <v>45</v>
      </c>
      <c r="G86" s="5" t="n">
        <v>45366</v>
      </c>
      <c r="H86" s="100"/>
      <c r="I86" s="101"/>
      <c r="J86" s="101"/>
      <c r="K86" s="101"/>
      <c r="L86" s="101"/>
      <c r="M86" s="100"/>
      <c r="N86" s="101"/>
      <c r="O86" s="100"/>
      <c r="P86" s="6"/>
      <c r="Q86" s="102"/>
      <c r="R86" s="100" t="n">
        <v>433</v>
      </c>
      <c r="S86" s="102" t="n">
        <v>100</v>
      </c>
      <c r="T86" s="103" t="n">
        <v>33.56</v>
      </c>
      <c r="U86" s="90" t="n">
        <f aca="false">SUM(H86:T86)</f>
        <v>566.56</v>
      </c>
      <c r="V86" s="104" t="s">
        <v>46</v>
      </c>
      <c r="W86" s="9" t="s">
        <v>43</v>
      </c>
      <c r="X86" s="105" t="s">
        <v>48</v>
      </c>
      <c r="Y86" s="179"/>
      <c r="Z86" s="180"/>
    </row>
    <row r="87" s="9" customFormat="true" ht="14.1" hidden="false" customHeight="true" outlineLevel="0" collapsed="false">
      <c r="A87" s="198" t="s">
        <v>43</v>
      </c>
      <c r="B87" s="199" t="s">
        <v>208</v>
      </c>
      <c r="C87" s="200"/>
      <c r="D87" s="201" t="n">
        <v>1094103</v>
      </c>
      <c r="E87" s="202" t="n">
        <v>45300</v>
      </c>
      <c r="F87" s="203" t="s">
        <v>45</v>
      </c>
      <c r="G87" s="204" t="n">
        <v>45301</v>
      </c>
      <c r="H87" s="205"/>
      <c r="I87" s="206"/>
      <c r="J87" s="206"/>
      <c r="K87" s="206"/>
      <c r="L87" s="206"/>
      <c r="M87" s="205"/>
      <c r="N87" s="206"/>
      <c r="O87" s="205"/>
      <c r="P87" s="207"/>
      <c r="Q87" s="208"/>
      <c r="R87" s="205" t="n">
        <v>820</v>
      </c>
      <c r="S87" s="208" t="n">
        <v>150</v>
      </c>
      <c r="T87" s="209" t="n">
        <v>70.73</v>
      </c>
      <c r="U87" s="210" t="n">
        <f aca="false">SUM(H87:T87)</f>
        <v>1040.73</v>
      </c>
      <c r="V87" s="211" t="s">
        <v>58</v>
      </c>
      <c r="W87" s="212" t="s">
        <v>150</v>
      </c>
      <c r="X87" s="105" t="s">
        <v>48</v>
      </c>
      <c r="Y87" s="196"/>
      <c r="Z87" s="49"/>
    </row>
    <row r="88" s="9" customFormat="true" ht="14.1" hidden="false" customHeight="true" outlineLevel="0" collapsed="false">
      <c r="A88" s="198" t="s">
        <v>43</v>
      </c>
      <c r="B88" s="199" t="s">
        <v>148</v>
      </c>
      <c r="C88" s="200"/>
      <c r="D88" s="201" t="n">
        <v>1054102</v>
      </c>
      <c r="E88" s="202" t="n">
        <v>45296</v>
      </c>
      <c r="F88" s="203" t="s">
        <v>45</v>
      </c>
      <c r="G88" s="204" t="n">
        <v>45299</v>
      </c>
      <c r="H88" s="205"/>
      <c r="I88" s="206"/>
      <c r="J88" s="206"/>
      <c r="K88" s="206"/>
      <c r="L88" s="206"/>
      <c r="M88" s="205"/>
      <c r="N88" s="206"/>
      <c r="O88" s="205"/>
      <c r="P88" s="207"/>
      <c r="Q88" s="208"/>
      <c r="R88" s="205" t="n">
        <v>65</v>
      </c>
      <c r="S88" s="208" t="n">
        <v>12.5</v>
      </c>
      <c r="T88" s="209" t="n">
        <v>5.61</v>
      </c>
      <c r="U88" s="210" t="n">
        <f aca="false">SUM(H88:T88)</f>
        <v>83.11</v>
      </c>
      <c r="V88" s="211" t="s">
        <v>46</v>
      </c>
      <c r="W88" s="212" t="s">
        <v>43</v>
      </c>
      <c r="X88" s="105" t="s">
        <v>48</v>
      </c>
      <c r="Y88" s="196"/>
      <c r="Z88" s="49"/>
    </row>
    <row r="89" s="9" customFormat="true" ht="14.1" hidden="false" customHeight="true" outlineLevel="0" collapsed="false">
      <c r="A89" s="95" t="s">
        <v>43</v>
      </c>
      <c r="B89" s="2" t="s">
        <v>209</v>
      </c>
      <c r="C89" s="3"/>
      <c r="D89" s="96" t="n">
        <v>3264103</v>
      </c>
      <c r="E89" s="97" t="n">
        <v>45377</v>
      </c>
      <c r="F89" s="98" t="s">
        <v>45</v>
      </c>
      <c r="G89" s="5" t="n">
        <v>45377</v>
      </c>
      <c r="H89" s="100"/>
      <c r="I89" s="101"/>
      <c r="J89" s="101"/>
      <c r="K89" s="101"/>
      <c r="L89" s="101"/>
      <c r="M89" s="100"/>
      <c r="N89" s="101"/>
      <c r="O89" s="100"/>
      <c r="P89" s="6"/>
      <c r="Q89" s="102"/>
      <c r="R89" s="100" t="n">
        <v>234</v>
      </c>
      <c r="S89" s="102" t="n">
        <v>50</v>
      </c>
      <c r="T89" s="103" t="n">
        <v>21.65</v>
      </c>
      <c r="U89" s="90" t="n">
        <f aca="false">SUM(H89:T89)</f>
        <v>305.65</v>
      </c>
      <c r="V89" s="104" t="s">
        <v>46</v>
      </c>
      <c r="W89" s="9" t="s">
        <v>43</v>
      </c>
      <c r="X89" s="105" t="s">
        <v>48</v>
      </c>
      <c r="Y89" s="179"/>
      <c r="Z89" s="180"/>
    </row>
    <row r="90" s="9" customFormat="true" ht="14.1" hidden="false" customHeight="true" outlineLevel="0" collapsed="false">
      <c r="A90" s="198" t="s">
        <v>150</v>
      </c>
      <c r="B90" s="199" t="s">
        <v>49</v>
      </c>
      <c r="C90" s="200"/>
      <c r="D90" s="201" t="n">
        <v>1184071</v>
      </c>
      <c r="E90" s="202" t="n">
        <v>45309</v>
      </c>
      <c r="F90" s="203" t="s">
        <v>151</v>
      </c>
      <c r="G90" s="204" t="n">
        <v>45309</v>
      </c>
      <c r="H90" s="205"/>
      <c r="I90" s="206"/>
      <c r="J90" s="206"/>
      <c r="K90" s="206"/>
      <c r="L90" s="206"/>
      <c r="M90" s="205"/>
      <c r="N90" s="206"/>
      <c r="O90" s="205" t="n">
        <v>380</v>
      </c>
      <c r="P90" s="207" t="n">
        <v>90</v>
      </c>
      <c r="Q90" s="208" t="n">
        <v>90</v>
      </c>
      <c r="R90" s="205"/>
      <c r="S90" s="208"/>
      <c r="T90" s="209" t="n">
        <v>38.95</v>
      </c>
      <c r="U90" s="210" t="n">
        <f aca="false">SUM(H90:T90)</f>
        <v>598.95</v>
      </c>
      <c r="V90" s="211" t="s">
        <v>58</v>
      </c>
      <c r="W90" s="212" t="s">
        <v>150</v>
      </c>
      <c r="X90" s="105" t="s">
        <v>48</v>
      </c>
      <c r="Y90" s="196"/>
      <c r="Z90" s="49"/>
    </row>
    <row r="91" s="9" customFormat="true" ht="14.1" hidden="false" customHeight="true" outlineLevel="0" collapsed="false">
      <c r="A91" s="95" t="s">
        <v>70</v>
      </c>
      <c r="B91" s="2" t="s">
        <v>195</v>
      </c>
      <c r="C91" s="3"/>
      <c r="D91" s="96" t="n">
        <v>3264102</v>
      </c>
      <c r="E91" s="97" t="n">
        <v>45377</v>
      </c>
      <c r="F91" s="98" t="s">
        <v>45</v>
      </c>
      <c r="G91" s="5" t="n">
        <v>45380</v>
      </c>
      <c r="H91" s="100"/>
      <c r="I91" s="101"/>
      <c r="J91" s="101"/>
      <c r="K91" s="101"/>
      <c r="L91" s="101"/>
      <c r="M91" s="100"/>
      <c r="N91" s="101"/>
      <c r="O91" s="100"/>
      <c r="P91" s="6" t="n">
        <v>300</v>
      </c>
      <c r="Q91" s="102"/>
      <c r="R91" s="100"/>
      <c r="S91" s="102"/>
      <c r="T91" s="103"/>
      <c r="U91" s="90" t="n">
        <f aca="false">SUM(H91:T91)</f>
        <v>300</v>
      </c>
      <c r="V91" s="104" t="s">
        <v>53</v>
      </c>
      <c r="W91" s="9" t="s">
        <v>196</v>
      </c>
      <c r="X91" s="105" t="s">
        <v>48</v>
      </c>
      <c r="Y91" s="179"/>
      <c r="Z91" s="180"/>
    </row>
    <row r="92" s="9" customFormat="true" ht="14.1" hidden="false" customHeight="true" outlineLevel="0" collapsed="false">
      <c r="A92" s="95" t="s">
        <v>173</v>
      </c>
      <c r="B92" s="2" t="s">
        <v>174</v>
      </c>
      <c r="C92" s="3"/>
      <c r="D92" s="96" t="n">
        <v>3044051</v>
      </c>
      <c r="E92" s="97" t="n">
        <v>45355</v>
      </c>
      <c r="F92" s="98" t="s">
        <v>45</v>
      </c>
      <c r="G92" s="5" t="n">
        <v>45355</v>
      </c>
      <c r="H92" s="100"/>
      <c r="I92" s="101"/>
      <c r="J92" s="101"/>
      <c r="K92" s="101"/>
      <c r="L92" s="101"/>
      <c r="M92" s="100" t="n">
        <v>900</v>
      </c>
      <c r="N92" s="101" t="n">
        <v>2600</v>
      </c>
      <c r="O92" s="100"/>
      <c r="P92" s="6"/>
      <c r="Q92" s="102"/>
      <c r="R92" s="100"/>
      <c r="S92" s="102"/>
      <c r="T92" s="103"/>
      <c r="U92" s="90" t="n">
        <f aca="false">SUM(H92:T92)</f>
        <v>3500</v>
      </c>
      <c r="V92" s="104" t="s">
        <v>58</v>
      </c>
      <c r="W92" s="9" t="s">
        <v>166</v>
      </c>
      <c r="X92" s="105" t="s">
        <v>48</v>
      </c>
      <c r="Y92" s="179"/>
      <c r="Z92" s="180"/>
    </row>
    <row r="93" s="9" customFormat="true" ht="14.1" hidden="false" customHeight="true" outlineLevel="0" collapsed="false">
      <c r="A93" s="95" t="s">
        <v>166</v>
      </c>
      <c r="B93" s="2" t="s">
        <v>167</v>
      </c>
      <c r="C93" s="3"/>
      <c r="D93" s="96" t="n">
        <v>3014052</v>
      </c>
      <c r="E93" s="97" t="n">
        <v>45352</v>
      </c>
      <c r="F93" s="98" t="s">
        <v>13</v>
      </c>
      <c r="G93" s="5" t="n">
        <v>45352</v>
      </c>
      <c r="H93" s="100"/>
      <c r="I93" s="101"/>
      <c r="J93" s="101"/>
      <c r="K93" s="101"/>
      <c r="L93" s="101"/>
      <c r="M93" s="100" t="n">
        <v>49</v>
      </c>
      <c r="N93" s="101"/>
      <c r="O93" s="100"/>
      <c r="P93" s="6"/>
      <c r="Q93" s="102"/>
      <c r="R93" s="100"/>
      <c r="S93" s="102"/>
      <c r="T93" s="103"/>
      <c r="U93" s="90" t="n">
        <f aca="false">SUM(H93:T93)</f>
        <v>49</v>
      </c>
      <c r="V93" s="104" t="s">
        <v>154</v>
      </c>
      <c r="W93" s="9" t="s">
        <v>166</v>
      </c>
      <c r="X93" s="105" t="s">
        <v>48</v>
      </c>
      <c r="Y93" s="179"/>
      <c r="Z93" s="180"/>
    </row>
    <row r="94" s="9" customFormat="true" ht="14.1" hidden="false" customHeight="true" outlineLevel="0" collapsed="false">
      <c r="A94" s="164" t="s">
        <v>166</v>
      </c>
      <c r="B94" s="165" t="s">
        <v>199</v>
      </c>
      <c r="C94" s="166"/>
      <c r="D94" s="167" t="n">
        <v>2264052</v>
      </c>
      <c r="E94" s="168" t="n">
        <v>45348</v>
      </c>
      <c r="F94" s="169" t="s">
        <v>13</v>
      </c>
      <c r="G94" s="170" t="n">
        <v>45348</v>
      </c>
      <c r="H94" s="171"/>
      <c r="I94" s="172"/>
      <c r="J94" s="172"/>
      <c r="K94" s="172"/>
      <c r="L94" s="172"/>
      <c r="M94" s="171" t="n">
        <v>49</v>
      </c>
      <c r="N94" s="172"/>
      <c r="O94" s="171"/>
      <c r="P94" s="173"/>
      <c r="Q94" s="174"/>
      <c r="R94" s="171"/>
      <c r="S94" s="174"/>
      <c r="T94" s="175"/>
      <c r="U94" s="176" t="n">
        <f aca="false">SUM(H94:T94)</f>
        <v>49</v>
      </c>
      <c r="V94" s="177" t="s">
        <v>154</v>
      </c>
      <c r="W94" s="178" t="s">
        <v>166</v>
      </c>
      <c r="X94" s="105" t="s">
        <v>48</v>
      </c>
      <c r="Y94" s="179"/>
      <c r="Z94" s="180"/>
    </row>
    <row r="95" s="9" customFormat="true" ht="14.1" hidden="false" customHeight="true" outlineLevel="0" collapsed="false">
      <c r="A95" s="95" t="s">
        <v>166</v>
      </c>
      <c r="B95" s="2" t="s">
        <v>199</v>
      </c>
      <c r="C95" s="3"/>
      <c r="D95" s="96" t="n">
        <v>3264051</v>
      </c>
      <c r="E95" s="97" t="n">
        <v>45377</v>
      </c>
      <c r="F95" s="98" t="s">
        <v>13</v>
      </c>
      <c r="G95" s="5" t="n">
        <v>45377</v>
      </c>
      <c r="H95" s="100"/>
      <c r="I95" s="101"/>
      <c r="J95" s="101"/>
      <c r="K95" s="101"/>
      <c r="L95" s="101"/>
      <c r="M95" s="100" t="n">
        <v>49</v>
      </c>
      <c r="N95" s="101"/>
      <c r="O95" s="100"/>
      <c r="P95" s="6"/>
      <c r="Q95" s="102"/>
      <c r="R95" s="100"/>
      <c r="S95" s="102"/>
      <c r="T95" s="103"/>
      <c r="U95" s="90" t="n">
        <f aca="false">SUM(H95:T95)</f>
        <v>49</v>
      </c>
      <c r="V95" s="104" t="s">
        <v>154</v>
      </c>
      <c r="W95" s="9" t="s">
        <v>166</v>
      </c>
      <c r="X95" s="105" t="s">
        <v>48</v>
      </c>
      <c r="Y95" s="179"/>
      <c r="Z95" s="180"/>
    </row>
    <row r="96" s="9" customFormat="true" ht="14.1" hidden="false" customHeight="true" outlineLevel="0" collapsed="false">
      <c r="A96" s="95" t="s">
        <v>166</v>
      </c>
      <c r="B96" s="2" t="s">
        <v>135</v>
      </c>
      <c r="C96" s="3"/>
      <c r="D96" s="96" t="n">
        <v>3264052</v>
      </c>
      <c r="E96" s="97" t="n">
        <v>45377</v>
      </c>
      <c r="F96" s="98" t="s">
        <v>13</v>
      </c>
      <c r="G96" s="5" t="n">
        <v>45377</v>
      </c>
      <c r="H96" s="100"/>
      <c r="I96" s="101"/>
      <c r="J96" s="101"/>
      <c r="K96" s="101"/>
      <c r="L96" s="101"/>
      <c r="M96" s="100" t="n">
        <v>49</v>
      </c>
      <c r="N96" s="101"/>
      <c r="O96" s="100"/>
      <c r="P96" s="6"/>
      <c r="Q96" s="102"/>
      <c r="R96" s="100"/>
      <c r="S96" s="102"/>
      <c r="T96" s="103"/>
      <c r="U96" s="90" t="n">
        <f aca="false">SUM(H96:T96)</f>
        <v>49</v>
      </c>
      <c r="V96" s="104" t="s">
        <v>154</v>
      </c>
      <c r="W96" s="9" t="s">
        <v>166</v>
      </c>
      <c r="X96" s="105" t="s">
        <v>48</v>
      </c>
      <c r="Y96" s="179"/>
      <c r="Z96" s="180"/>
    </row>
    <row r="97" s="9" customFormat="true" ht="14.1" hidden="false" customHeight="true" outlineLevel="0" collapsed="false">
      <c r="A97" s="95" t="s">
        <v>170</v>
      </c>
      <c r="B97" s="2" t="s">
        <v>171</v>
      </c>
      <c r="C97" s="3" t="s">
        <v>96</v>
      </c>
      <c r="D97" s="96" t="n">
        <v>3154052</v>
      </c>
      <c r="E97" s="97" t="n">
        <v>45366</v>
      </c>
      <c r="F97" s="98" t="s">
        <v>13</v>
      </c>
      <c r="G97" s="5" t="n">
        <v>45366</v>
      </c>
      <c r="H97" s="100"/>
      <c r="I97" s="101"/>
      <c r="J97" s="101"/>
      <c r="K97" s="101"/>
      <c r="L97" s="101"/>
      <c r="M97" s="100" t="n">
        <v>69</v>
      </c>
      <c r="N97" s="101" t="n">
        <v>39</v>
      </c>
      <c r="O97" s="100"/>
      <c r="P97" s="6"/>
      <c r="Q97" s="102"/>
      <c r="R97" s="100"/>
      <c r="S97" s="102"/>
      <c r="T97" s="103"/>
      <c r="U97" s="90" t="n">
        <f aca="false">SUM(H97:T97)</f>
        <v>108</v>
      </c>
      <c r="V97" s="104" t="s">
        <v>154</v>
      </c>
      <c r="W97" s="9" t="s">
        <v>166</v>
      </c>
      <c r="X97" s="105" t="s">
        <v>48</v>
      </c>
      <c r="Y97" s="179"/>
      <c r="Z97" s="180"/>
    </row>
    <row r="98" s="9" customFormat="true" ht="14.1" hidden="false" customHeight="true" outlineLevel="0" collapsed="false">
      <c r="A98" s="95" t="s">
        <v>170</v>
      </c>
      <c r="B98" s="2" t="s">
        <v>171</v>
      </c>
      <c r="C98" s="3" t="s">
        <v>172</v>
      </c>
      <c r="D98" s="96" t="n">
        <v>3154052</v>
      </c>
      <c r="E98" s="97" t="n">
        <v>45366</v>
      </c>
      <c r="F98" s="98" t="s">
        <v>13</v>
      </c>
      <c r="G98" s="5" t="n">
        <v>45366</v>
      </c>
      <c r="H98" s="100"/>
      <c r="I98" s="101"/>
      <c r="J98" s="101"/>
      <c r="K98" s="101"/>
      <c r="L98" s="101"/>
      <c r="M98" s="100" t="n">
        <v>69</v>
      </c>
      <c r="N98" s="101" t="n">
        <v>39</v>
      </c>
      <c r="O98" s="100"/>
      <c r="P98" s="6"/>
      <c r="Q98" s="102"/>
      <c r="R98" s="100"/>
      <c r="S98" s="102"/>
      <c r="T98" s="103"/>
      <c r="U98" s="90" t="n">
        <f aca="false">SUM(H98:T98)</f>
        <v>108</v>
      </c>
      <c r="V98" s="104" t="s">
        <v>154</v>
      </c>
      <c r="W98" s="9" t="s">
        <v>166</v>
      </c>
      <c r="X98" s="105" t="s">
        <v>48</v>
      </c>
      <c r="Y98" s="179"/>
      <c r="Z98" s="180"/>
    </row>
    <row r="99" s="9" customFormat="true" ht="14.1" hidden="false" customHeight="true" outlineLevel="0" collapsed="false">
      <c r="A99" s="95" t="s">
        <v>170</v>
      </c>
      <c r="B99" s="2" t="s">
        <v>180</v>
      </c>
      <c r="C99" s="3"/>
      <c r="D99" s="96" t="n">
        <v>3204062</v>
      </c>
      <c r="E99" s="97" t="n">
        <v>45371</v>
      </c>
      <c r="F99" s="98" t="s">
        <v>45</v>
      </c>
      <c r="G99" s="5" t="n">
        <v>45371</v>
      </c>
      <c r="H99" s="100"/>
      <c r="I99" s="101"/>
      <c r="J99" s="101"/>
      <c r="K99" s="101"/>
      <c r="L99" s="101"/>
      <c r="M99" s="100"/>
      <c r="N99" s="101"/>
      <c r="O99" s="100"/>
      <c r="P99" s="6"/>
      <c r="Q99" s="102"/>
      <c r="R99" s="100" t="n">
        <v>165</v>
      </c>
      <c r="S99" s="102" t="n">
        <v>15</v>
      </c>
      <c r="T99" s="103" t="n">
        <v>14.23</v>
      </c>
      <c r="U99" s="90" t="n">
        <f aca="false">SUM(H99:T99)</f>
        <v>194.23</v>
      </c>
      <c r="V99" s="104" t="s">
        <v>77</v>
      </c>
      <c r="W99" s="9" t="s">
        <v>181</v>
      </c>
      <c r="X99" s="105" t="s">
        <v>48</v>
      </c>
      <c r="Y99" s="179"/>
      <c r="Z99" s="180"/>
    </row>
    <row r="100" s="9" customFormat="true" ht="14.1" hidden="false" customHeight="true" outlineLevel="0" collapsed="false">
      <c r="A100" s="164" t="s">
        <v>47</v>
      </c>
      <c r="B100" s="165" t="s">
        <v>168</v>
      </c>
      <c r="C100" s="166"/>
      <c r="D100" s="167" t="n">
        <v>2234062</v>
      </c>
      <c r="E100" s="168" t="n">
        <v>45345</v>
      </c>
      <c r="F100" s="169" t="s">
        <v>45</v>
      </c>
      <c r="G100" s="170" t="n">
        <v>45345</v>
      </c>
      <c r="H100" s="171"/>
      <c r="I100" s="172"/>
      <c r="J100" s="172"/>
      <c r="K100" s="172"/>
      <c r="L100" s="172"/>
      <c r="M100" s="171"/>
      <c r="N100" s="172"/>
      <c r="O100" s="171"/>
      <c r="P100" s="173"/>
      <c r="Q100" s="174"/>
      <c r="R100" s="171" t="n">
        <v>790</v>
      </c>
      <c r="S100" s="174"/>
      <c r="T100" s="175"/>
      <c r="U100" s="176" t="n">
        <f aca="false">SUM(H100:T100)</f>
        <v>790</v>
      </c>
      <c r="V100" s="177" t="s">
        <v>46</v>
      </c>
      <c r="W100" s="178" t="s">
        <v>43</v>
      </c>
      <c r="X100" s="105" t="s">
        <v>48</v>
      </c>
      <c r="Y100" s="179"/>
      <c r="Z100" s="180"/>
    </row>
    <row r="101" s="9" customFormat="true" ht="14.1" hidden="false" customHeight="true" outlineLevel="0" collapsed="false">
      <c r="A101" s="95" t="s">
        <v>47</v>
      </c>
      <c r="B101" s="2" t="s">
        <v>168</v>
      </c>
      <c r="C101" s="3"/>
      <c r="D101" s="96" t="n">
        <v>3204064</v>
      </c>
      <c r="E101" s="97" t="n">
        <v>45371</v>
      </c>
      <c r="F101" s="98" t="s">
        <v>45</v>
      </c>
      <c r="G101" s="5" t="n">
        <v>45371</v>
      </c>
      <c r="H101" s="100"/>
      <c r="I101" s="101"/>
      <c r="J101" s="101"/>
      <c r="K101" s="101"/>
      <c r="L101" s="101"/>
      <c r="M101" s="100"/>
      <c r="N101" s="101"/>
      <c r="O101" s="100"/>
      <c r="P101" s="6"/>
      <c r="Q101" s="102"/>
      <c r="R101" s="100" t="n">
        <v>493</v>
      </c>
      <c r="S101" s="102"/>
      <c r="T101" s="103"/>
      <c r="U101" s="90" t="n">
        <f aca="false">SUM(H101:T101)</f>
        <v>493</v>
      </c>
      <c r="V101" s="104" t="s">
        <v>46</v>
      </c>
      <c r="W101" s="9" t="s">
        <v>43</v>
      </c>
      <c r="X101" s="105" t="s">
        <v>48</v>
      </c>
      <c r="Y101" s="179"/>
      <c r="Z101" s="180"/>
    </row>
    <row r="102" s="9" customFormat="true" ht="14.1" hidden="false" customHeight="true" outlineLevel="0" collapsed="false">
      <c r="A102" s="95" t="s">
        <v>47</v>
      </c>
      <c r="B102" s="2" t="s">
        <v>198</v>
      </c>
      <c r="C102" s="3"/>
      <c r="D102" s="96" t="n">
        <v>3154054</v>
      </c>
      <c r="E102" s="97" t="n">
        <v>45366</v>
      </c>
      <c r="F102" s="98" t="s">
        <v>13</v>
      </c>
      <c r="G102" s="5" t="n">
        <v>45366</v>
      </c>
      <c r="H102" s="100"/>
      <c r="I102" s="101"/>
      <c r="J102" s="101"/>
      <c r="K102" s="101"/>
      <c r="L102" s="101"/>
      <c r="M102" s="100" t="n">
        <v>150</v>
      </c>
      <c r="N102" s="101"/>
      <c r="O102" s="100"/>
      <c r="P102" s="6"/>
      <c r="Q102" s="102"/>
      <c r="R102" s="100"/>
      <c r="S102" s="102"/>
      <c r="T102" s="103"/>
      <c r="U102" s="90" t="n">
        <f aca="false">SUM(H102:T102)</f>
        <v>150</v>
      </c>
      <c r="V102" s="104" t="s">
        <v>154</v>
      </c>
      <c r="W102" s="9" t="s">
        <v>166</v>
      </c>
      <c r="X102" s="105" t="s">
        <v>48</v>
      </c>
      <c r="Y102" s="179"/>
      <c r="Z102" s="180"/>
    </row>
    <row r="103" s="9" customFormat="true" ht="14.1" hidden="false" customHeight="true" outlineLevel="0" collapsed="false">
      <c r="A103" s="214"/>
      <c r="B103" s="215"/>
      <c r="C103" s="216"/>
      <c r="D103" s="216"/>
      <c r="E103" s="217"/>
      <c r="F103" s="218"/>
      <c r="G103" s="219"/>
      <c r="H103" s="220"/>
      <c r="I103" s="220"/>
      <c r="J103" s="221"/>
      <c r="K103" s="221"/>
      <c r="L103" s="221"/>
      <c r="M103" s="220"/>
      <c r="N103" s="220"/>
      <c r="O103" s="220"/>
      <c r="P103" s="121"/>
      <c r="Q103" s="222"/>
      <c r="R103" s="220"/>
      <c r="S103" s="222"/>
      <c r="T103" s="223"/>
      <c r="U103" s="224"/>
      <c r="V103" s="225"/>
      <c r="W103" s="27"/>
      <c r="X103" s="27"/>
      <c r="Y103" s="230" t="n">
        <f aca="false">SUM(U51:U102)</f>
        <v>16732.26</v>
      </c>
      <c r="Z103" s="227" t="n">
        <f aca="false">Y103/V105</f>
        <v>0.575547917781719</v>
      </c>
      <c r="AA103" s="49"/>
    </row>
    <row r="104" s="9" customFormat="true" ht="19.5" hidden="false" customHeight="true" outlineLevel="0" collapsed="false">
      <c r="A104" s="107"/>
      <c r="B104" s="108" t="s">
        <v>21</v>
      </c>
      <c r="C104" s="109"/>
      <c r="D104" s="110"/>
      <c r="E104" s="111"/>
      <c r="F104" s="109"/>
      <c r="G104" s="112"/>
      <c r="H104" s="113" t="n">
        <f aca="false">SUM(H4:H102)</f>
        <v>0</v>
      </c>
      <c r="I104" s="113" t="n">
        <f aca="false">SUM(I4:I102)</f>
        <v>249</v>
      </c>
      <c r="J104" s="113" t="n">
        <f aca="false">SUM(J4:J102)</f>
        <v>0</v>
      </c>
      <c r="K104" s="114" t="n">
        <f aca="false">SUM(K4:K102)</f>
        <v>0</v>
      </c>
      <c r="L104" s="115" t="n">
        <f aca="false">SUM(L4:L102)</f>
        <v>5</v>
      </c>
      <c r="M104" s="231" t="n">
        <f aca="false">SUM(M4:N102)</f>
        <v>4062</v>
      </c>
      <c r="N104" s="232"/>
      <c r="O104" s="117" t="n">
        <f aca="false">SUM(O4:O102)</f>
        <v>475</v>
      </c>
      <c r="P104" s="117" t="n">
        <f aca="false">SUM(P4:P102)</f>
        <v>570</v>
      </c>
      <c r="Q104" s="117" t="n">
        <f aca="false">SUM(Q4:Q102)</f>
        <v>180</v>
      </c>
      <c r="R104" s="118" t="n">
        <f aca="false">SUM(R4:R102)</f>
        <v>18806.5</v>
      </c>
      <c r="S104" s="118" t="n">
        <f aca="false">SUM(S4:S102)</f>
        <v>3259</v>
      </c>
      <c r="T104" s="119" t="n">
        <f aca="false">SUM(T4:T102)</f>
        <v>1465.38</v>
      </c>
      <c r="U104" s="120" t="n">
        <f aca="false">SUM(U4:U102)</f>
        <v>29071.88</v>
      </c>
      <c r="V104" s="121"/>
      <c r="W104" s="233"/>
      <c r="X104" s="233"/>
      <c r="Y104" s="234"/>
    </row>
    <row r="105" s="9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8"/>
      <c r="V105" s="235" t="n">
        <f aca="false">SUM(H104:T104)</f>
        <v>29071.88</v>
      </c>
      <c r="Y105" s="236"/>
      <c r="Z105" s="11"/>
    </row>
    <row r="106" s="9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8"/>
      <c r="V106" s="2"/>
      <c r="Y106" s="236"/>
      <c r="Z106" s="11"/>
    </row>
    <row r="107" s="9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8"/>
      <c r="V107" s="2"/>
      <c r="Y107" s="236"/>
      <c r="Z107" s="11"/>
    </row>
    <row r="108" s="9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8"/>
      <c r="V108" s="2"/>
      <c r="Y108" s="236"/>
      <c r="Z108" s="11"/>
    </row>
    <row r="109" s="9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8"/>
      <c r="V109" s="2"/>
      <c r="Y109" s="236"/>
      <c r="Z109" s="11"/>
    </row>
    <row r="110" s="9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8"/>
      <c r="V110" s="2"/>
      <c r="Y110" s="236"/>
      <c r="Z110" s="11"/>
    </row>
    <row r="111" s="9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8"/>
      <c r="V111" s="2"/>
      <c r="Y111" s="236"/>
      <c r="Z111" s="11"/>
    </row>
    <row r="112" s="9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8"/>
      <c r="V112" s="2"/>
      <c r="Y112" s="236"/>
      <c r="Z112" s="11"/>
    </row>
    <row r="113" s="9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8"/>
      <c r="V113" s="2"/>
      <c r="Y113" s="236"/>
      <c r="Z113" s="11"/>
    </row>
    <row r="114" s="9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8"/>
      <c r="V114" s="2"/>
      <c r="Y114" s="236"/>
      <c r="Z114" s="11"/>
    </row>
    <row r="115" s="9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8"/>
      <c r="V115" s="2"/>
      <c r="Y115" s="236"/>
      <c r="Z115" s="11"/>
    </row>
    <row r="116" s="9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8"/>
      <c r="V116" s="2"/>
      <c r="Y116" s="236"/>
      <c r="Z116" s="11"/>
    </row>
    <row r="117" s="9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8"/>
      <c r="V117" s="2"/>
      <c r="Y117" s="236"/>
      <c r="Z117" s="11"/>
    </row>
    <row r="118" s="9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8"/>
      <c r="V118" s="2"/>
      <c r="Y118" s="236"/>
      <c r="Z118" s="11"/>
    </row>
    <row r="119" s="9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8"/>
      <c r="V119" s="2"/>
      <c r="Y119" s="236"/>
      <c r="Z119" s="11"/>
    </row>
    <row r="120" s="9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8"/>
      <c r="V120" s="2"/>
      <c r="Y120" s="236"/>
      <c r="Z120" s="11"/>
    </row>
    <row r="121" s="9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8"/>
      <c r="V121" s="2"/>
      <c r="Y121" s="236"/>
      <c r="Z121" s="11"/>
    </row>
    <row r="122" s="9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8"/>
      <c r="V122" s="2"/>
      <c r="Y122" s="236"/>
      <c r="Z122" s="11"/>
    </row>
    <row r="123" s="9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8"/>
      <c r="V123" s="2"/>
      <c r="Y123" s="236"/>
      <c r="Z123" s="11"/>
    </row>
    <row r="124" s="9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8"/>
      <c r="V124" s="2"/>
      <c r="Y124" s="236"/>
      <c r="Z124" s="11"/>
    </row>
    <row r="125" s="9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8"/>
      <c r="V125" s="2"/>
      <c r="Y125" s="236"/>
      <c r="Z125" s="11"/>
    </row>
    <row r="126" s="9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8"/>
      <c r="V126" s="2"/>
      <c r="Y126" s="236"/>
      <c r="Z126" s="11"/>
    </row>
    <row r="127" s="9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8"/>
      <c r="V127" s="2"/>
      <c r="Y127" s="236"/>
      <c r="Z127" s="11"/>
    </row>
    <row r="128" s="9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8"/>
      <c r="V128" s="2"/>
      <c r="Y128" s="236"/>
      <c r="Z128" s="11"/>
    </row>
    <row r="129" s="9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8"/>
      <c r="V129" s="2"/>
      <c r="Y129" s="236"/>
      <c r="Z129" s="11"/>
    </row>
    <row r="130" s="9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8"/>
      <c r="V130" s="2"/>
      <c r="Y130" s="236"/>
      <c r="Z130" s="11"/>
    </row>
    <row r="131" s="9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8"/>
      <c r="V131" s="2"/>
      <c r="Y131" s="236"/>
      <c r="Z131" s="11"/>
    </row>
    <row r="132" s="9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8"/>
      <c r="V132" s="2"/>
      <c r="Y132" s="236"/>
      <c r="Z132" s="11"/>
    </row>
    <row r="133" s="9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8"/>
      <c r="V133" s="2"/>
      <c r="Y133" s="236"/>
      <c r="Z133" s="11"/>
    </row>
    <row r="134" s="9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8"/>
      <c r="V134" s="2"/>
      <c r="Y134" s="236"/>
      <c r="Z134" s="11"/>
    </row>
    <row r="135" s="9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8"/>
      <c r="V135" s="2"/>
      <c r="Y135" s="236"/>
      <c r="Z135" s="11"/>
    </row>
    <row r="136" s="9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8"/>
      <c r="V136" s="2"/>
      <c r="Y136" s="236"/>
      <c r="Z136" s="11"/>
    </row>
    <row r="137" s="9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8"/>
      <c r="V137" s="2"/>
      <c r="Y137" s="236"/>
      <c r="Z137" s="11"/>
    </row>
    <row r="138" s="9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8"/>
      <c r="V138" s="2"/>
      <c r="Y138" s="236"/>
      <c r="Z138" s="11"/>
    </row>
    <row r="139" s="9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8"/>
      <c r="V139" s="2"/>
      <c r="Y139" s="236"/>
      <c r="Z139" s="11"/>
    </row>
    <row r="140" s="9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8"/>
      <c r="V140" s="2"/>
      <c r="Y140" s="236"/>
      <c r="Z140" s="11"/>
    </row>
    <row r="141" s="9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8"/>
      <c r="V141" s="2"/>
      <c r="Y141" s="236"/>
      <c r="Z141" s="11"/>
    </row>
    <row r="142" s="9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8"/>
      <c r="V142" s="2"/>
      <c r="Y142" s="236"/>
      <c r="Z142" s="11"/>
    </row>
    <row r="143" s="9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8"/>
      <c r="V143" s="2"/>
      <c r="Y143" s="236"/>
      <c r="Z143" s="11"/>
    </row>
    <row r="144" s="9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8"/>
      <c r="V144" s="2"/>
      <c r="Y144" s="236"/>
      <c r="Z144" s="11"/>
    </row>
    <row r="145" s="9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8"/>
      <c r="V145" s="2"/>
      <c r="Y145" s="236"/>
      <c r="Z145" s="11"/>
    </row>
    <row r="146" s="9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8"/>
      <c r="V146" s="2"/>
      <c r="Y146" s="236"/>
      <c r="Z146" s="11"/>
    </row>
    <row r="147" s="9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8"/>
      <c r="V147" s="2"/>
      <c r="Y147" s="236"/>
      <c r="Z147" s="11"/>
    </row>
    <row r="148" s="9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8"/>
      <c r="V148" s="2"/>
      <c r="Y148" s="236"/>
      <c r="Z148" s="11"/>
    </row>
    <row r="149" s="9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8"/>
      <c r="V149" s="2"/>
      <c r="Y149" s="236"/>
      <c r="Z149" s="11"/>
    </row>
    <row r="150" s="9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8"/>
      <c r="V150" s="2"/>
      <c r="Y150" s="236"/>
      <c r="Z150" s="11"/>
    </row>
    <row r="151" s="9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8"/>
      <c r="V151" s="2"/>
      <c r="Y151" s="236"/>
      <c r="Z151" s="11"/>
    </row>
    <row r="152" s="9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8"/>
      <c r="V152" s="2"/>
      <c r="Y152" s="236"/>
      <c r="Z152" s="11"/>
    </row>
    <row r="153" s="9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8"/>
      <c r="V153" s="2"/>
      <c r="Y153" s="236"/>
      <c r="Z153" s="11"/>
    </row>
    <row r="154" s="9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8"/>
      <c r="V154" s="2"/>
      <c r="Y154" s="236"/>
      <c r="Z154" s="11"/>
    </row>
    <row r="155" s="9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8"/>
      <c r="V155" s="2"/>
      <c r="Y155" s="236"/>
      <c r="Z155" s="11"/>
    </row>
    <row r="156" s="9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8"/>
      <c r="V156" s="2"/>
      <c r="Y156" s="236"/>
      <c r="Z156" s="11"/>
    </row>
    <row r="157" s="9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8"/>
      <c r="V157" s="2"/>
      <c r="Y157" s="236"/>
      <c r="Z157" s="11"/>
    </row>
    <row r="158" s="9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8"/>
      <c r="V158" s="2"/>
      <c r="Y158" s="236"/>
      <c r="Z158" s="11"/>
    </row>
    <row r="159" s="9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8"/>
      <c r="V159" s="2"/>
      <c r="Y159" s="236"/>
      <c r="Z159" s="11"/>
    </row>
    <row r="160" s="9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8"/>
      <c r="V160" s="2"/>
      <c r="Y160" s="236"/>
      <c r="Z160" s="11"/>
    </row>
    <row r="161" s="9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8"/>
      <c r="V161" s="2"/>
      <c r="Y161" s="236"/>
      <c r="Z161" s="11"/>
    </row>
    <row r="162" s="9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8"/>
      <c r="V162" s="2"/>
      <c r="Y162" s="236"/>
      <c r="Z162" s="11"/>
    </row>
    <row r="163" s="9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8"/>
      <c r="V163" s="2"/>
      <c r="Y163" s="236"/>
      <c r="Z163" s="11"/>
    </row>
    <row r="164" s="9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8"/>
      <c r="V164" s="2"/>
      <c r="Y164" s="236"/>
      <c r="Z164" s="11"/>
    </row>
    <row r="165" s="9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8"/>
      <c r="V165" s="2"/>
      <c r="Y165" s="236"/>
      <c r="Z165" s="11"/>
    </row>
    <row r="166" s="9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8"/>
      <c r="V166" s="2"/>
      <c r="Y166" s="236"/>
      <c r="Z166" s="11"/>
    </row>
    <row r="167" s="9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8"/>
      <c r="V167" s="2"/>
      <c r="Y167" s="236"/>
      <c r="Z167" s="11"/>
    </row>
    <row r="168" s="9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8"/>
      <c r="V168" s="2"/>
      <c r="Y168" s="236"/>
      <c r="Z168" s="11"/>
    </row>
    <row r="169" s="9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8"/>
      <c r="V169" s="2"/>
      <c r="Y169" s="236"/>
      <c r="Z169" s="11"/>
    </row>
    <row r="170" s="9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8"/>
      <c r="V170" s="2"/>
      <c r="Y170" s="236"/>
      <c r="Z170" s="11"/>
    </row>
    <row r="171" s="9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8"/>
      <c r="V171" s="2"/>
      <c r="Y171" s="236"/>
      <c r="Z171" s="11"/>
    </row>
    <row r="172" s="9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8"/>
      <c r="V172" s="2"/>
      <c r="Y172" s="236"/>
      <c r="Z172" s="11"/>
    </row>
    <row r="173" s="9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8"/>
      <c r="V173" s="2"/>
      <c r="Y173" s="236"/>
      <c r="Z173" s="11"/>
    </row>
    <row r="174" s="9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8"/>
      <c r="V174" s="2"/>
      <c r="Y174" s="236"/>
      <c r="Z174" s="11"/>
    </row>
    <row r="175" s="9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8"/>
      <c r="V175" s="2"/>
      <c r="Y175" s="236"/>
      <c r="Z175" s="11"/>
    </row>
    <row r="176" s="9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8"/>
      <c r="V176" s="2"/>
      <c r="Y176" s="236"/>
      <c r="Z176" s="11"/>
    </row>
    <row r="177" s="9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8"/>
      <c r="V177" s="2"/>
      <c r="Y177" s="236"/>
      <c r="Z177" s="11"/>
    </row>
    <row r="178" s="9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8"/>
      <c r="V178" s="2"/>
      <c r="Y178" s="236"/>
      <c r="Z178" s="11"/>
    </row>
    <row r="179" s="9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8"/>
      <c r="V179" s="2"/>
      <c r="Y179" s="236"/>
      <c r="Z179" s="11"/>
    </row>
    <row r="180" s="9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8"/>
      <c r="V180" s="2"/>
      <c r="Y180" s="236"/>
      <c r="Z180" s="11"/>
    </row>
    <row r="181" s="9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8"/>
      <c r="V181" s="2"/>
      <c r="Y181" s="236"/>
      <c r="Z181" s="11"/>
    </row>
    <row r="182" s="9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8"/>
      <c r="V182" s="2"/>
      <c r="Y182" s="236"/>
      <c r="Z182" s="11"/>
    </row>
    <row r="183" s="9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8"/>
      <c r="V183" s="2"/>
      <c r="Y183" s="236"/>
      <c r="Z183" s="11"/>
    </row>
    <row r="184" s="9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8"/>
      <c r="V184" s="2"/>
      <c r="Y184" s="236"/>
      <c r="Z184" s="11"/>
    </row>
    <row r="185" s="9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8"/>
      <c r="V185" s="2"/>
      <c r="Y185" s="236"/>
      <c r="Z185" s="11"/>
    </row>
    <row r="186" s="9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8"/>
      <c r="V186" s="2"/>
      <c r="Y186" s="236"/>
      <c r="Z186" s="11"/>
    </row>
    <row r="187" s="9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8"/>
      <c r="V187" s="2"/>
      <c r="Y187" s="236"/>
      <c r="Z187" s="11"/>
    </row>
    <row r="188" s="9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8"/>
      <c r="V188" s="2"/>
      <c r="Y188" s="236"/>
      <c r="Z188" s="11"/>
    </row>
    <row r="189" s="9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8"/>
      <c r="V189" s="2"/>
      <c r="Y189" s="236"/>
      <c r="Z189" s="11"/>
    </row>
    <row r="190" s="9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8"/>
      <c r="V190" s="2"/>
      <c r="Y190" s="236"/>
      <c r="Z190" s="11"/>
    </row>
    <row r="191" s="9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8"/>
      <c r="V191" s="2"/>
      <c r="Y191" s="236"/>
      <c r="Z191" s="11"/>
    </row>
    <row r="192" s="9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8"/>
      <c r="V192" s="2"/>
      <c r="Y192" s="236"/>
      <c r="Z192" s="11"/>
    </row>
    <row r="193" s="9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8"/>
      <c r="V193" s="2"/>
      <c r="Y193" s="236"/>
      <c r="Z193" s="11"/>
    </row>
    <row r="194" s="9" customFormat="true" ht="14.1" hidden="false" customHeight="true" outlineLevel="0" collapsed="false">
      <c r="A194" s="2"/>
      <c r="B194" s="2"/>
      <c r="C194" s="237"/>
      <c r="D194" s="3"/>
      <c r="E194" s="4"/>
      <c r="F194" s="3"/>
      <c r="G194" s="5"/>
      <c r="H194" s="6"/>
      <c r="I194" s="6"/>
      <c r="J194" s="6"/>
      <c r="K194" s="238"/>
      <c r="L194" s="6"/>
      <c r="M194" s="6"/>
      <c r="N194" s="6"/>
      <c r="O194" s="6"/>
      <c r="P194" s="6"/>
      <c r="Q194" s="6"/>
      <c r="R194" s="6"/>
      <c r="S194" s="7"/>
      <c r="T194" s="7"/>
      <c r="V194" s="239"/>
      <c r="W194" s="240"/>
      <c r="X194" s="240"/>
      <c r="Y194" s="241"/>
      <c r="Z194" s="2"/>
    </row>
    <row r="195" s="244" customFormat="true" ht="26.25" hidden="false" customHeight="true" outlineLevel="0" collapsed="false">
      <c r="A195" s="242"/>
      <c r="B195" s="243"/>
      <c r="C195" s="243"/>
      <c r="D195" s="9"/>
      <c r="E195" s="9"/>
      <c r="F195" s="236"/>
      <c r="G195" s="9"/>
      <c r="H195" s="238"/>
      <c r="I195" s="238"/>
      <c r="J195" s="238"/>
      <c r="K195" s="6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132"/>
      <c r="W195" s="10"/>
      <c r="X195" s="10"/>
      <c r="Y195" s="3"/>
      <c r="Z195" s="2"/>
    </row>
    <row r="196" customFormat="false" ht="15" hidden="false" customHeight="true" outlineLevel="0" collapsed="false">
      <c r="V196" s="245"/>
      <c r="W196" s="2"/>
      <c r="X196" s="2"/>
    </row>
    <row r="197" customFormat="false" ht="9.75" hidden="false" customHeight="true" outlineLevel="0" collapsed="false"/>
    <row r="198" customFormat="false" ht="9.75" hidden="false" customHeight="true" outlineLevel="0" collapsed="false"/>
    <row r="199" customFormat="false" ht="9.75" hidden="false" customHeight="true" outlineLevel="0" collapsed="false"/>
    <row r="200" customFormat="false" ht="9.75" hidden="false" customHeight="true" outlineLevel="0" collapsed="false"/>
    <row r="201" customFormat="false" ht="9.75" hidden="false" customHeight="true" outlineLevel="0" collapsed="false"/>
    <row r="202" customFormat="false" ht="9.75" hidden="false" customHeight="true" outlineLevel="0" collapsed="false"/>
    <row r="203" customFormat="false" ht="9.75" hidden="false" customHeight="true" outlineLevel="0" collapsed="false"/>
    <row r="204" s="2" customFormat="true" ht="9.75" hidden="false" customHeight="true" outlineLevel="0" collapsed="false">
      <c r="F204" s="3"/>
    </row>
    <row r="205" s="2" customFormat="true" ht="10.5" hidden="false" customHeight="true" outlineLevel="0" collapsed="false">
      <c r="F205" s="129"/>
    </row>
    <row r="206" s="2" customFormat="true" ht="9.75" hidden="false" customHeight="true" outlineLevel="0" collapsed="false">
      <c r="F206" s="3"/>
    </row>
    <row r="207" customFormat="false" ht="9.75" hidden="false" customHeight="true" outlineLevel="0" collapsed="false"/>
    <row r="208" customFormat="false" ht="9.75" hidden="false" customHeight="true" outlineLevel="0" collapsed="false"/>
    <row r="209" customFormat="false" ht="9.75" hidden="false" customHeight="true" outlineLevel="0" collapsed="false"/>
    <row r="210" customFormat="false" ht="9.75" hidden="false" customHeight="true" outlineLevel="0" collapsed="false"/>
    <row r="211" customFormat="false" ht="9.75" hidden="false" customHeight="true" outlineLevel="0" collapsed="false"/>
    <row r="212" customFormat="false" ht="9.75" hidden="false" customHeight="true" outlineLevel="0" collapsed="false"/>
    <row r="213" customFormat="false" ht="9.75" hidden="false" customHeight="true" outlineLevel="0" collapsed="false"/>
    <row r="214" customFormat="false" ht="9.75" hidden="false" customHeight="true" outlineLevel="0" collapsed="false"/>
    <row r="215" customFormat="false" ht="9.75" hidden="false" customHeight="true" outlineLevel="0" collapsed="false"/>
    <row r="216" customFormat="false" ht="9.75" hidden="false" customHeight="true" outlineLevel="0" collapsed="false"/>
    <row r="217" customFormat="false" ht="9.75" hidden="false" customHeight="true" outlineLevel="0" collapsed="false"/>
    <row r="218" customFormat="false" ht="9.75" hidden="false" customHeight="true" outlineLevel="0" collapsed="false"/>
    <row r="219" s="2" customFormat="true" ht="9.75" hidden="false" customHeight="true" outlineLevel="0" collapsed="false">
      <c r="J219" s="4"/>
    </row>
    <row r="220" customFormat="false" ht="9.75" hidden="false" customHeight="true" outlineLevel="0" collapsed="false"/>
    <row r="221" customFormat="false" ht="9.75" hidden="false" customHeight="true" outlineLevel="0" collapsed="false"/>
    <row r="222" customFormat="false" ht="9.75" hidden="false" customHeight="true" outlineLevel="0" collapsed="false"/>
    <row r="223" customFormat="false" ht="9.75" hidden="false" customHeight="true" outlineLevel="0" collapsed="false"/>
    <row r="224" customFormat="false" ht="9.75" hidden="false" customHeight="true" outlineLevel="0" collapsed="false"/>
    <row r="225" customFormat="false" ht="9.75" hidden="false" customHeight="true" outlineLevel="0" collapsed="false"/>
    <row r="226" customFormat="false" ht="9.75" hidden="false" customHeight="true" outlineLevel="0" collapsed="false"/>
    <row r="227" customFormat="false" ht="9.75" hidden="false" customHeight="true" outlineLevel="0" collapsed="false"/>
    <row r="228" customFormat="false" ht="9.75" hidden="false" customHeight="true" outlineLevel="0" collapsed="false"/>
    <row r="229" customFormat="false" ht="9.75" hidden="false" customHeight="true" outlineLevel="0" collapsed="false"/>
    <row r="230" customFormat="false" ht="9.75" hidden="false" customHeight="true" outlineLevel="0" collapsed="false"/>
    <row r="231" customFormat="false" ht="9.75" hidden="false" customHeight="true" outlineLevel="0" collapsed="false"/>
    <row r="232" customFormat="false" ht="9.75" hidden="false" customHeight="true" outlineLevel="0" collapsed="false"/>
    <row r="233" customFormat="false" ht="9.75" hidden="false" customHeight="true" outlineLevel="0" collapsed="false"/>
    <row r="234" customFormat="false" ht="15" hidden="false" customHeight="true" outlineLevel="0" collapsed="false"/>
    <row r="235" customFormat="false" ht="9.75" hidden="false" customHeight="true" outlineLevel="0" collapsed="false"/>
    <row r="236" customFormat="false" ht="9.75" hidden="false" customHeight="true" outlineLevel="0" collapsed="false"/>
    <row r="237" customFormat="false" ht="9.75" hidden="false" customHeight="true" outlineLevel="0" collapsed="false"/>
    <row r="238" customFormat="false" ht="9.75" hidden="false" customHeight="true" outlineLevel="0" collapsed="false"/>
    <row r="239" customFormat="false" ht="9.75" hidden="false" customHeight="true" outlineLevel="0" collapsed="false"/>
    <row r="240" customFormat="false" ht="9.75" hidden="false" customHeight="true" outlineLevel="0" collapsed="false"/>
    <row r="241" customFormat="false" ht="9.75" hidden="false" customHeight="true" outlineLevel="0" collapsed="false"/>
    <row r="242" customFormat="false" ht="9.75" hidden="false" customHeight="true" outlineLevel="0" collapsed="false"/>
    <row r="243" customFormat="false" ht="10.5" hidden="false" customHeight="true" outlineLevel="0" collapsed="false"/>
    <row r="244" customFormat="false" ht="9.75" hidden="false" customHeight="true" outlineLevel="0" collapsed="false"/>
    <row r="245" customFormat="false" ht="9.75" hidden="false" customHeight="true" outlineLevel="0" collapsed="false"/>
    <row r="246" customFormat="false" ht="9.75" hidden="false" customHeight="true" outlineLevel="0" collapsed="false"/>
    <row r="247" customFormat="false" ht="9.75" hidden="false" customHeight="true" outlineLevel="0" collapsed="false"/>
    <row r="248" customFormat="false" ht="9.75" hidden="false" customHeight="true" outlineLevel="0" collapsed="false"/>
    <row r="249" customFormat="false" ht="9.75" hidden="false" customHeight="true" outlineLevel="0" collapsed="false"/>
    <row r="250" customFormat="false" ht="9.75" hidden="false" customHeight="true" outlineLevel="0" collapsed="false"/>
    <row r="251" customFormat="false" ht="9.75" hidden="false" customHeight="true" outlineLevel="0" collapsed="false"/>
    <row r="252" customFormat="false" ht="9.75" hidden="false" customHeight="true" outlineLevel="0" collapsed="false"/>
    <row r="253" customFormat="false" ht="9.75" hidden="false" customHeight="true" outlineLevel="0" collapsed="false"/>
    <row r="254" customFormat="false" ht="9.75" hidden="false" customHeight="true" outlineLevel="0" collapsed="false"/>
    <row r="255" customFormat="false" ht="9.75" hidden="false" customHeight="true" outlineLevel="0" collapsed="false"/>
    <row r="256" customFormat="false" ht="9.75" hidden="false" customHeight="true" outlineLevel="0" collapsed="false"/>
    <row r="257" customFormat="false" ht="9.75" hidden="false" customHeight="true" outlineLevel="0" collapsed="false"/>
    <row r="258" customFormat="false" ht="9.75" hidden="false" customHeight="true" outlineLevel="0" collapsed="false"/>
    <row r="259" customFormat="false" ht="9.75" hidden="false" customHeight="true" outlineLevel="0" collapsed="false"/>
    <row r="260" customFormat="false" ht="9.75" hidden="false" customHeight="true" outlineLevel="0" collapsed="false"/>
    <row r="261" customFormat="false" ht="9.75" hidden="false" customHeight="true" outlineLevel="0" collapsed="false"/>
    <row r="262" customFormat="false" ht="9.75" hidden="false" customHeight="true" outlineLevel="0" collapsed="false"/>
    <row r="263" customFormat="false" ht="9.75" hidden="false" customHeight="true" outlineLevel="0" collapsed="false"/>
    <row r="264" customFormat="false" ht="9.75" hidden="false" customHeight="true" outlineLevel="0" collapsed="false"/>
    <row r="265" customFormat="false" ht="9.75" hidden="false" customHeight="true" outlineLevel="0" collapsed="false"/>
    <row r="266" customFormat="false" ht="9.75" hidden="false" customHeight="true" outlineLevel="0" collapsed="false"/>
    <row r="267" customFormat="false" ht="9.75" hidden="false" customHeight="true" outlineLevel="0" collapsed="false"/>
    <row r="268" customFormat="false" ht="9.75" hidden="false" customHeight="true" outlineLevel="0" collapsed="false"/>
    <row r="269" customFormat="false" ht="9.75" hidden="false" customHeight="true" outlineLevel="0" collapsed="false"/>
    <row r="270" customFormat="false" ht="9.75" hidden="false" customHeight="true" outlineLevel="0" collapsed="false"/>
    <row r="271" customFormat="false" ht="9.75" hidden="false" customHeight="true" outlineLevel="0" collapsed="false"/>
    <row r="272" customFormat="false" ht="9.75" hidden="false" customHeight="true" outlineLevel="0" collapsed="false"/>
    <row r="273" customFormat="false" ht="9.75" hidden="false" customHeight="true" outlineLevel="0" collapsed="false"/>
    <row r="274" customFormat="false" ht="9.75" hidden="false" customHeight="true" outlineLevel="0" collapsed="false"/>
    <row r="275" customFormat="false" ht="9.75" hidden="false" customHeight="true" outlineLevel="0" collapsed="false"/>
    <row r="276" customFormat="false" ht="9.75" hidden="false" customHeight="true" outlineLevel="0" collapsed="false"/>
    <row r="277" customFormat="false" ht="9.75" hidden="false" customHeight="true" outlineLevel="0" collapsed="false"/>
    <row r="278" customFormat="false" ht="9.75" hidden="false" customHeight="true" outlineLevel="0" collapsed="false"/>
    <row r="279" customFormat="false" ht="9.75" hidden="false" customHeight="true" outlineLevel="0" collapsed="false"/>
    <row r="280" customFormat="false" ht="9.75" hidden="false" customHeight="true" outlineLevel="0" collapsed="false"/>
    <row r="281" customFormat="false" ht="9.75" hidden="false" customHeight="true" outlineLevel="0" collapsed="false"/>
    <row r="282" customFormat="false" ht="9.75" hidden="false" customHeight="true" outlineLevel="0" collapsed="false"/>
    <row r="283" customFormat="false" ht="9.75" hidden="false" customHeight="true" outlineLevel="0" collapsed="false"/>
    <row r="284" customFormat="false" ht="9.75" hidden="false" customHeight="true" outlineLevel="0" collapsed="false"/>
    <row r="285" customFormat="false" ht="9.75" hidden="false" customHeight="true" outlineLevel="0" collapsed="false"/>
    <row r="286" customFormat="false" ht="9.75" hidden="false" customHeight="true" outlineLevel="0" collapsed="false"/>
    <row r="287" customFormat="false" ht="9.75" hidden="false" customHeight="true" outlineLevel="0" collapsed="false"/>
    <row r="288" customFormat="false" ht="9.75" hidden="false" customHeight="true" outlineLevel="0" collapsed="false"/>
    <row r="289" customFormat="false" ht="9.75" hidden="false" customHeight="true" outlineLevel="0" collapsed="false"/>
    <row r="290" customFormat="false" ht="9.75" hidden="false" customHeight="true" outlineLevel="0" collapsed="false"/>
    <row r="291" customFormat="false" ht="9.75" hidden="false" customHeight="true" outlineLevel="0" collapsed="false"/>
    <row r="292" customFormat="false" ht="9.75" hidden="false" customHeight="true" outlineLevel="0" collapsed="false"/>
    <row r="293" customFormat="false" ht="9.75" hidden="false" customHeight="true" outlineLevel="0" collapsed="false"/>
    <row r="294" customFormat="false" ht="9.75" hidden="false" customHeight="true" outlineLevel="0" collapsed="false"/>
    <row r="295" customFormat="false" ht="9.75" hidden="false" customHeight="true" outlineLevel="0" collapsed="false"/>
    <row r="296" customFormat="false" ht="9.75" hidden="false" customHeight="true" outlineLevel="0" collapsed="false"/>
    <row r="297" customFormat="false" ht="9.75" hidden="false" customHeight="true" outlineLevel="0" collapsed="false"/>
    <row r="298" customFormat="false" ht="9.75" hidden="false" customHeight="true" outlineLevel="0" collapsed="false"/>
    <row r="299" customFormat="false" ht="9.75" hidden="false" customHeight="true" outlineLevel="0" collapsed="false"/>
    <row r="300" customFormat="false" ht="9.75" hidden="false" customHeight="true" outlineLevel="0" collapsed="false"/>
    <row r="301" customFormat="false" ht="9.75" hidden="false" customHeight="true" outlineLevel="0" collapsed="false"/>
    <row r="302" customFormat="false" ht="9.75" hidden="false" customHeight="true" outlineLevel="0" collapsed="false"/>
    <row r="303" customFormat="false" ht="9.75" hidden="false" customHeight="true" outlineLevel="0" collapsed="false"/>
    <row r="304" customFormat="false" ht="9.75" hidden="false" customHeight="true" outlineLevel="0" collapsed="false"/>
    <row r="305" customFormat="false" ht="9.75" hidden="false" customHeight="true" outlineLevel="0" collapsed="false"/>
    <row r="306" customFormat="false" ht="9.75" hidden="false" customHeight="true" outlineLevel="0" collapsed="false"/>
    <row r="307" customFormat="false" ht="9.75" hidden="false" customHeight="true" outlineLevel="0" collapsed="false"/>
    <row r="308" customFormat="false" ht="9.75" hidden="false" customHeight="true" outlineLevel="0" collapsed="false"/>
    <row r="309" customFormat="false" ht="9.75" hidden="false" customHeight="true" outlineLevel="0" collapsed="false"/>
    <row r="310" customFormat="false" ht="9.75" hidden="false" customHeight="true" outlineLevel="0" collapsed="false"/>
    <row r="311" customFormat="false" ht="9.75" hidden="false" customHeight="true" outlineLevel="0" collapsed="false"/>
    <row r="312" customFormat="false" ht="9.75" hidden="false" customHeight="true" outlineLevel="0" collapsed="false"/>
    <row r="313" customFormat="false" ht="9.75" hidden="false" customHeight="true" outlineLevel="0" collapsed="false"/>
    <row r="314" customFormat="false" ht="9.75" hidden="false" customHeight="true" outlineLevel="0" collapsed="false"/>
    <row r="315" customFormat="false" ht="9.75" hidden="false" customHeight="true" outlineLevel="0" collapsed="false"/>
    <row r="316" customFormat="false" ht="9.75" hidden="false" customHeight="true" outlineLevel="0" collapsed="false"/>
    <row r="317" customFormat="false" ht="9.75" hidden="false" customHeight="true" outlineLevel="0" collapsed="false"/>
    <row r="318" customFormat="false" ht="9.75" hidden="false" customHeight="true" outlineLevel="0" collapsed="false"/>
    <row r="319" customFormat="false" ht="9.75" hidden="false" customHeight="true" outlineLevel="0" collapsed="false"/>
    <row r="320" customFormat="false" ht="9.75" hidden="false" customHeight="true" outlineLevel="0" collapsed="false"/>
    <row r="321" customFormat="false" ht="9.75" hidden="false" customHeight="true" outlineLevel="0" collapsed="false"/>
    <row r="322" customFormat="false" ht="9.75" hidden="false" customHeight="true" outlineLevel="0" collapsed="false"/>
    <row r="323" customFormat="false" ht="9.75" hidden="false" customHeight="true" outlineLevel="0" collapsed="false"/>
    <row r="324" customFormat="false" ht="9.75" hidden="false" customHeight="true" outlineLevel="0" collapsed="false"/>
    <row r="325" customFormat="false" ht="9.75" hidden="false" customHeight="true" outlineLevel="0" collapsed="false"/>
    <row r="326" customFormat="false" ht="9.75" hidden="false" customHeight="true" outlineLevel="0" collapsed="false"/>
    <row r="327" customFormat="false" ht="9.75" hidden="false" customHeight="true" outlineLevel="0" collapsed="false"/>
    <row r="328" customFormat="false" ht="9.75" hidden="false" customHeight="true" outlineLevel="0" collapsed="false"/>
    <row r="329" customFormat="false" ht="9.75" hidden="false" customHeight="true" outlineLevel="0" collapsed="false"/>
    <row r="330" customFormat="false" ht="9.75" hidden="false" customHeight="true" outlineLevel="0" collapsed="false"/>
    <row r="331" customFormat="false" ht="9.75" hidden="false" customHeight="true" outlineLevel="0" collapsed="false"/>
    <row r="332" customFormat="false" ht="9.75" hidden="false" customHeight="true" outlineLevel="0" collapsed="false"/>
    <row r="333" customFormat="false" ht="9.75" hidden="false" customHeight="true" outlineLevel="0" collapsed="false"/>
    <row r="334" customFormat="false" ht="9.75" hidden="false" customHeight="true" outlineLevel="0" collapsed="false"/>
    <row r="335" customFormat="false" ht="9.75" hidden="false" customHeight="true" outlineLevel="0" collapsed="false"/>
    <row r="336" customFormat="false" ht="9.75" hidden="false" customHeight="true" outlineLevel="0" collapsed="false"/>
    <row r="337" customFormat="false" ht="9.75" hidden="false" customHeight="true" outlineLevel="0" collapsed="false"/>
    <row r="338" customFormat="false" ht="9.75" hidden="false" customHeight="true" outlineLevel="0" collapsed="false"/>
    <row r="339" customFormat="false" ht="9.75" hidden="false" customHeight="true" outlineLevel="0" collapsed="false"/>
    <row r="340" customFormat="false" ht="9.75" hidden="false" customHeight="true" outlineLevel="0" collapsed="false"/>
    <row r="341" customFormat="false" ht="9.75" hidden="false" customHeight="true" outlineLevel="0" collapsed="false"/>
    <row r="342" customFormat="false" ht="9.75" hidden="false" customHeight="true" outlineLevel="0" collapsed="false"/>
    <row r="343" customFormat="false" ht="9.75" hidden="false" customHeight="true" outlineLevel="0" collapsed="false"/>
    <row r="344" customFormat="false" ht="9.75" hidden="false" customHeight="true" outlineLevel="0" collapsed="false"/>
    <row r="345" customFormat="false" ht="9.75" hidden="false" customHeight="true" outlineLevel="0" collapsed="false"/>
    <row r="346" customFormat="false" ht="9.75" hidden="false" customHeight="true" outlineLevel="0" collapsed="false"/>
    <row r="347" customFormat="false" ht="9.75" hidden="false" customHeight="true" outlineLevel="0" collapsed="false"/>
    <row r="348" customFormat="false" ht="9.75" hidden="false" customHeight="true" outlineLevel="0" collapsed="false"/>
    <row r="349" customFormat="false" ht="9.75" hidden="false" customHeight="true" outlineLevel="0" collapsed="false"/>
    <row r="350" customFormat="false" ht="9.75" hidden="false" customHeight="true" outlineLevel="0" collapsed="false"/>
    <row r="351" customFormat="false" ht="9.75" hidden="false" customHeight="true" outlineLevel="0" collapsed="false"/>
    <row r="352" customFormat="false" ht="9.75" hidden="false" customHeight="true" outlineLevel="0" collapsed="false"/>
    <row r="354" customFormat="false" ht="9.75" hidden="false" customHeight="true" outlineLevel="0" collapsed="false"/>
    <row r="357" customFormat="false" ht="9.75" hidden="false" customHeight="true" outlineLevel="0" collapsed="false"/>
    <row r="358" customFormat="false" ht="9.75" hidden="false" customHeight="true" outlineLevel="0" collapsed="false"/>
    <row r="359" customFormat="false" ht="9.75" hidden="false" customHeight="true" outlineLevel="0" collapsed="false"/>
    <row r="365" customFormat="false" ht="9.75" hidden="false" customHeight="true" outlineLevel="0" collapsed="false"/>
    <row r="372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1" sqref="60:60 A2"/>
    </sheetView>
  </sheetViews>
  <sheetFormatPr defaultColWidth="6.72265625" defaultRowHeight="12.8" zeroHeight="false" outlineLevelRow="0" outlineLevelCol="0"/>
  <cols>
    <col collapsed="false" customWidth="true" hidden="false" outlineLevel="0" max="1" min="1" style="290" width="9.42"/>
    <col collapsed="false" customWidth="true" hidden="false" outlineLevel="0" max="2" min="2" style="291" width="7"/>
    <col collapsed="false" customWidth="true" hidden="false" outlineLevel="0" max="3" min="3" style="292" width="10"/>
    <col collapsed="false" customWidth="true" hidden="false" outlineLevel="0" max="4" min="4" style="291" width="3.42"/>
    <col collapsed="false" customWidth="true" hidden="false" outlineLevel="0" max="5" min="5" style="291" width="12.71"/>
    <col collapsed="false" customWidth="true" hidden="false" outlineLevel="0" max="6" min="6" style="293" width="15.29"/>
    <col collapsed="false" customWidth="true" hidden="false" outlineLevel="0" max="7" min="7" style="293" width="1.42"/>
    <col collapsed="false" customWidth="true" hidden="false" outlineLevel="0" max="8" min="8" style="294" width="26.29"/>
    <col collapsed="false" customWidth="true" hidden="false" outlineLevel="0" max="9" min="9" style="295" width="1.29"/>
    <col collapsed="false" customWidth="true" hidden="false" outlineLevel="0" max="10" min="10" style="291" width="1.29"/>
    <col collapsed="false" customWidth="false" hidden="false" outlineLevel="0" max="1024" min="11" style="291" width="6.71"/>
  </cols>
  <sheetData>
    <row r="1" customFormat="false" ht="21" hidden="false" customHeight="true" outlineLevel="0" collapsed="false">
      <c r="A1" s="296" t="n">
        <v>45382</v>
      </c>
      <c r="B1" s="291" t="s">
        <v>0</v>
      </c>
      <c r="C1" s="297" t="s">
        <v>210</v>
      </c>
      <c r="D1" s="297"/>
    </row>
    <row r="2" customFormat="false" ht="13.7" hidden="false" customHeight="true" outlineLevel="0" collapsed="false">
      <c r="A2" s="298"/>
      <c r="B2" s="297"/>
      <c r="C2" s="299"/>
      <c r="D2" s="300"/>
    </row>
    <row r="3" s="302" customFormat="true" ht="12.8" hidden="false" customHeight="false" outlineLevel="0" collapsed="false">
      <c r="A3" s="301"/>
      <c r="C3" s="301"/>
      <c r="E3" s="302" t="s">
        <v>211</v>
      </c>
      <c r="H3" s="303" t="s">
        <v>212</v>
      </c>
      <c r="I3" s="304"/>
    </row>
    <row r="4" s="302" customFormat="true" ht="12" hidden="false" customHeight="true" outlineLevel="0" collapsed="false">
      <c r="C4" s="301"/>
      <c r="D4" s="301"/>
      <c r="E4" s="302" t="s">
        <v>213</v>
      </c>
      <c r="H4" s="294"/>
      <c r="I4" s="304"/>
    </row>
    <row r="7" customFormat="false" ht="15" hidden="false" customHeight="false" outlineLevel="0" collapsed="false">
      <c r="A7" s="305"/>
      <c r="B7" s="290"/>
      <c r="C7" s="306"/>
      <c r="E7" s="307" t="s">
        <v>214</v>
      </c>
      <c r="F7" s="307"/>
      <c r="H7" s="308"/>
      <c r="I7" s="291"/>
    </row>
    <row r="8" customFormat="false" ht="15" hidden="false" customHeight="false" outlineLevel="0" collapsed="false">
      <c r="A8" s="309"/>
      <c r="B8" s="307"/>
      <c r="C8" s="309"/>
    </row>
    <row r="12" customFormat="false" ht="12.8" hidden="false" customHeight="false" outlineLevel="0" collapsed="false">
      <c r="A12" s="306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7923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2024-05-14T09:47:44Z</cp:lastPrinted>
  <dcterms:modified xsi:type="dcterms:W3CDTF">2024-05-23T10:31:07Z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