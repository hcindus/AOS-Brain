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B\Documents\"/>
    </mc:Choice>
  </mc:AlternateContent>
  <xr:revisionPtr revIDLastSave="0" documentId="13_ncr:1_{4768D866-877C-41B0-A684-79ED8FAF5FD3}" xr6:coauthVersionLast="45" xr6:coauthVersionMax="45" xr10:uidLastSave="{00000000-0000-0000-0000-000000000000}"/>
  <bookViews>
    <workbookView xWindow="-120" yWindow="-120" windowWidth="29040" windowHeight="15840" tabRatio="569" xr2:uid="{00000000-000D-0000-FFFF-FFFF00000000}"/>
  </bookViews>
  <sheets>
    <sheet name="SEPT" sheetId="1" r:id="rId1"/>
    <sheet name="UNPAID" sheetId="2" r:id="rId2"/>
    <sheet name="BY ALPHA" sheetId="3" r:id="rId3"/>
    <sheet name="BY SALES" sheetId="4" r:id="rId4"/>
    <sheet name="AFTERHRS" sheetId="5" r:id="rId5"/>
  </sheets>
  <definedNames>
    <definedName name="_xlnm._FilterDatabase" localSheetId="3" hidden="1">'BY SALES'!$A$5:$CQ$54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46" i="4" l="1"/>
  <c r="S146" i="4"/>
  <c r="R146" i="4"/>
  <c r="Q146" i="4"/>
  <c r="P146" i="4"/>
  <c r="O146" i="4"/>
  <c r="N146" i="4"/>
  <c r="M146" i="4"/>
  <c r="L146" i="4"/>
  <c r="K146" i="4"/>
  <c r="J146" i="4"/>
  <c r="I146" i="4"/>
  <c r="H146" i="4"/>
  <c r="U31" i="4"/>
  <c r="U124" i="4"/>
  <c r="U123" i="4"/>
  <c r="U54" i="4"/>
  <c r="U53" i="4"/>
  <c r="U41" i="4"/>
  <c r="U143" i="4"/>
  <c r="U122" i="4"/>
  <c r="U142" i="4"/>
  <c r="U40" i="4"/>
  <c r="U76" i="4"/>
  <c r="U75" i="4"/>
  <c r="U141" i="4"/>
  <c r="U74" i="4"/>
  <c r="U39" i="4"/>
  <c r="U79" i="4"/>
  <c r="U140" i="4"/>
  <c r="U73" i="4"/>
  <c r="U72" i="4"/>
  <c r="U65" i="4"/>
  <c r="U121" i="4"/>
  <c r="U120" i="4"/>
  <c r="U119" i="4"/>
  <c r="U118" i="4"/>
  <c r="U117" i="4"/>
  <c r="U116" i="4"/>
  <c r="U115" i="4"/>
  <c r="U114" i="4"/>
  <c r="U113" i="4"/>
  <c r="U112" i="4"/>
  <c r="U139" i="4"/>
  <c r="U138" i="4"/>
  <c r="U137" i="4"/>
  <c r="U136" i="4"/>
  <c r="U90" i="4"/>
  <c r="U89" i="4"/>
  <c r="U52" i="4"/>
  <c r="U29" i="4"/>
  <c r="U111" i="4"/>
  <c r="U38" i="4"/>
  <c r="U135" i="4"/>
  <c r="U88" i="4"/>
  <c r="U110" i="4"/>
  <c r="U51" i="4"/>
  <c r="U109" i="4"/>
  <c r="U108" i="4"/>
  <c r="U107" i="4"/>
  <c r="U81" i="4"/>
  <c r="U134" i="4"/>
  <c r="U133" i="4"/>
  <c r="U106" i="4"/>
  <c r="U105" i="4"/>
  <c r="U37" i="4"/>
  <c r="U104" i="4"/>
  <c r="U103" i="4"/>
  <c r="U87" i="4"/>
  <c r="U45" i="4"/>
  <c r="U102" i="4"/>
  <c r="U132" i="4"/>
  <c r="U71" i="4"/>
  <c r="U64" i="4"/>
  <c r="U86" i="4"/>
  <c r="U36" i="4"/>
  <c r="U101" i="4"/>
  <c r="U100" i="4"/>
  <c r="U85" i="4"/>
  <c r="U99" i="4"/>
  <c r="U98" i="4"/>
  <c r="U131" i="4"/>
  <c r="U130" i="4"/>
  <c r="U129" i="4"/>
  <c r="U50" i="4"/>
  <c r="U35" i="4"/>
  <c r="U128" i="4"/>
  <c r="U84" i="4"/>
  <c r="U34" i="4"/>
  <c r="U70" i="4"/>
  <c r="U83" i="4"/>
  <c r="U63" i="4"/>
  <c r="U127" i="4"/>
  <c r="U96" i="4"/>
  <c r="U95" i="4"/>
  <c r="U78" i="4"/>
  <c r="U126" i="4"/>
  <c r="U77" i="4"/>
  <c r="U33" i="4"/>
  <c r="U49" i="4"/>
  <c r="U32" i="4"/>
  <c r="U125" i="4"/>
  <c r="U69" i="4"/>
  <c r="U30" i="4"/>
  <c r="U94" i="4"/>
  <c r="U48" i="4"/>
  <c r="U44" i="4"/>
  <c r="U93" i="4"/>
  <c r="U28" i="4"/>
  <c r="U68" i="4"/>
  <c r="U27" i="4"/>
  <c r="U92" i="4"/>
  <c r="U26" i="4"/>
  <c r="U58" i="4"/>
  <c r="U57" i="4"/>
  <c r="U25" i="4"/>
  <c r="U24" i="4"/>
  <c r="U23" i="4"/>
  <c r="U91" i="4"/>
  <c r="U43" i="4"/>
  <c r="U62" i="4"/>
  <c r="U61" i="4"/>
  <c r="U60" i="4"/>
  <c r="U22" i="4"/>
  <c r="U42" i="4"/>
  <c r="U21" i="4"/>
  <c r="U20" i="4"/>
  <c r="U19" i="4"/>
  <c r="U18" i="4"/>
  <c r="U17" i="4"/>
  <c r="U16" i="4"/>
  <c r="U59" i="4"/>
  <c r="U47" i="4"/>
  <c r="U56" i="4"/>
  <c r="U15" i="4"/>
  <c r="U14" i="4"/>
  <c r="U13" i="4"/>
  <c r="U12" i="4"/>
  <c r="U80" i="4"/>
  <c r="U11" i="4"/>
  <c r="U10" i="4"/>
  <c r="U9" i="4"/>
  <c r="U67" i="4"/>
  <c r="U8" i="4"/>
  <c r="U7" i="4"/>
  <c r="U55" i="4"/>
  <c r="U46" i="4"/>
  <c r="U6" i="4"/>
  <c r="U82" i="4"/>
  <c r="U5" i="4"/>
  <c r="U4" i="4"/>
  <c r="U66" i="4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U19" i="3"/>
  <c r="U31" i="3"/>
  <c r="U60" i="3"/>
  <c r="U98" i="3"/>
  <c r="U38" i="3"/>
  <c r="U73" i="3"/>
  <c r="U114" i="3"/>
  <c r="U56" i="3"/>
  <c r="U59" i="3"/>
  <c r="U14" i="3"/>
  <c r="U71" i="3"/>
  <c r="U74" i="3"/>
  <c r="U86" i="3"/>
  <c r="U40" i="3"/>
  <c r="U104" i="3"/>
  <c r="U76" i="3"/>
  <c r="U48" i="3"/>
  <c r="U70" i="3"/>
  <c r="U113" i="3"/>
  <c r="U89" i="3"/>
  <c r="U141" i="3"/>
  <c r="U140" i="3"/>
  <c r="U139" i="3"/>
  <c r="U138" i="3"/>
  <c r="U137" i="3"/>
  <c r="U136" i="3"/>
  <c r="U15" i="3"/>
  <c r="U112" i="3"/>
  <c r="U134" i="3"/>
  <c r="U41" i="3"/>
  <c r="U67" i="3"/>
  <c r="U36" i="3"/>
  <c r="U108" i="3"/>
  <c r="U135" i="3"/>
  <c r="U143" i="3"/>
  <c r="U142" i="3"/>
  <c r="U75" i="3"/>
  <c r="U49" i="3"/>
  <c r="U129" i="3"/>
  <c r="U128" i="3"/>
  <c r="U66" i="3"/>
  <c r="U96" i="3"/>
  <c r="U68" i="3"/>
  <c r="U51" i="3"/>
  <c r="U43" i="3"/>
  <c r="U35" i="3"/>
  <c r="U23" i="3"/>
  <c r="U29" i="3"/>
  <c r="U88" i="3"/>
  <c r="U105" i="3"/>
  <c r="U78" i="3"/>
  <c r="U122" i="3"/>
  <c r="U9" i="3"/>
  <c r="U58" i="3"/>
  <c r="U119" i="3"/>
  <c r="U61" i="3"/>
  <c r="U127" i="3"/>
  <c r="U34" i="3"/>
  <c r="U47" i="3"/>
  <c r="U103" i="3"/>
  <c r="U93" i="3"/>
  <c r="U132" i="3"/>
  <c r="U55" i="3"/>
  <c r="U57" i="3"/>
  <c r="U126" i="3"/>
  <c r="U8" i="3"/>
  <c r="U118" i="3"/>
  <c r="U117" i="3"/>
  <c r="U83" i="3"/>
  <c r="U94" i="3"/>
  <c r="U87" i="3"/>
  <c r="U54" i="3"/>
  <c r="U99" i="3"/>
  <c r="U107" i="3"/>
  <c r="U42" i="3"/>
  <c r="U30" i="3"/>
  <c r="U32" i="3"/>
  <c r="U13" i="3"/>
  <c r="U77" i="3"/>
  <c r="U53" i="3"/>
  <c r="U116" i="3"/>
  <c r="U21" i="3"/>
  <c r="U27" i="3"/>
  <c r="U106" i="3"/>
  <c r="U24" i="3"/>
  <c r="U97" i="3"/>
  <c r="U92" i="3"/>
  <c r="U52" i="3"/>
  <c r="U50" i="3"/>
  <c r="U46" i="3"/>
  <c r="U25" i="3"/>
  <c r="U20" i="3"/>
  <c r="U91" i="3"/>
  <c r="U65" i="3"/>
  <c r="U115" i="3"/>
  <c r="U133" i="3"/>
  <c r="U123" i="3"/>
  <c r="U64" i="3"/>
  <c r="U124" i="3"/>
  <c r="U44" i="3"/>
  <c r="U12" i="3"/>
  <c r="U11" i="3"/>
  <c r="U85" i="3"/>
  <c r="U6" i="3"/>
  <c r="U5" i="3"/>
  <c r="U121" i="3"/>
  <c r="U82" i="3"/>
  <c r="U81" i="3"/>
  <c r="U7" i="3"/>
  <c r="U80" i="3"/>
  <c r="U26" i="3"/>
  <c r="U63" i="3"/>
  <c r="U62" i="3"/>
  <c r="U120" i="3"/>
  <c r="U72" i="3"/>
  <c r="U100" i="3"/>
  <c r="U131" i="3"/>
  <c r="U4" i="3"/>
  <c r="U90" i="3"/>
  <c r="U37" i="3"/>
  <c r="U10" i="3"/>
  <c r="U79" i="3"/>
  <c r="U111" i="3"/>
  <c r="U101" i="3"/>
  <c r="U84" i="3"/>
  <c r="U28" i="3"/>
  <c r="U110" i="3"/>
  <c r="U102" i="3"/>
  <c r="U33" i="3"/>
  <c r="U45" i="3"/>
  <c r="U125" i="3"/>
  <c r="U130" i="3"/>
  <c r="U18" i="3"/>
  <c r="U17" i="3"/>
  <c r="U16" i="3"/>
  <c r="U95" i="3"/>
  <c r="U109" i="3"/>
  <c r="U39" i="3"/>
  <c r="U69" i="3"/>
  <c r="V147" i="3" s="1"/>
  <c r="W145" i="3" l="1"/>
  <c r="X145" i="3" s="1"/>
  <c r="V147" i="4"/>
  <c r="W145" i="4"/>
  <c r="X145" i="4" s="1"/>
  <c r="U146" i="4"/>
  <c r="U146" i="3"/>
  <c r="V72" i="1"/>
  <c r="V71" i="1"/>
  <c r="V70" i="1"/>
  <c r="V69" i="1"/>
  <c r="V68" i="1"/>
  <c r="V67" i="1"/>
  <c r="V66" i="1"/>
  <c r="V65" i="1"/>
  <c r="V82" i="1" l="1"/>
  <c r="V81" i="1"/>
  <c r="V80" i="1"/>
  <c r="V79" i="1"/>
  <c r="V78" i="1"/>
  <c r="V77" i="1"/>
  <c r="V76" i="1"/>
  <c r="V75" i="1"/>
  <c r="V74" i="1"/>
  <c r="V73" i="1"/>
  <c r="V64" i="1"/>
  <c r="V63" i="1"/>
  <c r="V62" i="1"/>
  <c r="V61" i="1"/>
  <c r="V60" i="1"/>
  <c r="V59" i="1"/>
  <c r="V58" i="1"/>
  <c r="V57" i="1"/>
  <c r="V56" i="1"/>
  <c r="V52" i="1" l="1"/>
  <c r="V51" i="1"/>
  <c r="V50" i="1"/>
  <c r="V49" i="1"/>
  <c r="V48" i="1"/>
  <c r="V47" i="1"/>
  <c r="V46" i="1"/>
  <c r="V45" i="1"/>
  <c r="V44" i="1"/>
  <c r="V42" i="1"/>
  <c r="V41" i="1"/>
  <c r="V40" i="1"/>
  <c r="V39" i="1"/>
  <c r="V43" i="1"/>
  <c r="V38" i="1"/>
  <c r="V53" i="1" l="1"/>
  <c r="V37" i="1"/>
  <c r="V26" i="1" l="1"/>
  <c r="V25" i="1"/>
  <c r="V24" i="1"/>
  <c r="V23" i="1"/>
  <c r="V22" i="1"/>
  <c r="V21" i="1"/>
  <c r="V27" i="1" l="1"/>
  <c r="V20" i="1"/>
  <c r="V19" i="1"/>
  <c r="V18" i="1"/>
  <c r="V17" i="1"/>
  <c r="V15" i="1" l="1"/>
  <c r="V14" i="1"/>
  <c r="V13" i="1"/>
  <c r="V12" i="1"/>
  <c r="V11" i="1"/>
  <c r="V10" i="1"/>
  <c r="V9" i="1"/>
  <c r="V55" i="1"/>
  <c r="V54" i="1"/>
  <c r="V36" i="1"/>
  <c r="V35" i="1"/>
  <c r="V34" i="1"/>
  <c r="V33" i="1"/>
  <c r="V32" i="1"/>
  <c r="V31" i="1"/>
  <c r="V30" i="1"/>
  <c r="V29" i="1"/>
  <c r="V28" i="1"/>
  <c r="V16" i="1"/>
  <c r="V8" i="1"/>
  <c r="V7" i="1"/>
  <c r="V6" i="1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W153" i="2" l="1"/>
  <c r="U86" i="2"/>
  <c r="U87" i="2" l="1"/>
  <c r="U73" i="2" l="1"/>
  <c r="U74" i="2" l="1"/>
  <c r="U85" i="2"/>
  <c r="U72" i="2"/>
  <c r="U71" i="2"/>
  <c r="U70" i="2"/>
  <c r="U84" i="2"/>
  <c r="U83" i="2"/>
  <c r="U82" i="2"/>
  <c r="U81" i="2"/>
  <c r="U80" i="2"/>
  <c r="U78" i="2"/>
  <c r="U77" i="2"/>
  <c r="U75" i="2"/>
  <c r="U69" i="2"/>
  <c r="U68" i="2"/>
  <c r="U67" i="2"/>
  <c r="U66" i="2"/>
  <c r="U65" i="2"/>
  <c r="U64" i="2"/>
  <c r="U63" i="2"/>
  <c r="U62" i="2"/>
  <c r="U61" i="2"/>
  <c r="U60" i="2"/>
  <c r="U58" i="2"/>
  <c r="U57" i="2"/>
  <c r="U56" i="2"/>
  <c r="U55" i="2"/>
  <c r="U53" i="2"/>
  <c r="U52" i="2"/>
  <c r="U50" i="2"/>
  <c r="U49" i="2"/>
  <c r="U48" i="2"/>
  <c r="U46" i="2"/>
  <c r="U45" i="2"/>
  <c r="U44" i="2"/>
  <c r="U43" i="2"/>
  <c r="U42" i="2"/>
  <c r="U41" i="2"/>
  <c r="U40" i="2"/>
  <c r="U39" i="2"/>
  <c r="U38" i="2"/>
  <c r="U36" i="2"/>
  <c r="U35" i="2"/>
  <c r="U34" i="2"/>
  <c r="U33" i="2"/>
  <c r="U32" i="2"/>
  <c r="U31" i="2"/>
  <c r="U30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85" i="1"/>
  <c r="S85" i="1"/>
  <c r="P85" i="1"/>
  <c r="N85" i="1"/>
  <c r="M85" i="1"/>
  <c r="L85" i="1"/>
  <c r="K85" i="1"/>
  <c r="J85" i="1"/>
  <c r="I85" i="1"/>
  <c r="R84" i="1"/>
  <c r="Q84" i="1"/>
  <c r="P84" i="1"/>
  <c r="V83" i="1"/>
  <c r="W88" i="2" l="1"/>
  <c r="X88" i="2" s="1"/>
  <c r="U154" i="2"/>
  <c r="V155" i="2"/>
  <c r="W47" i="2"/>
  <c r="X47" i="2" s="1"/>
  <c r="W37" i="2"/>
  <c r="X37" i="2" s="1"/>
  <c r="W51" i="2"/>
  <c r="X51" i="2" s="1"/>
  <c r="W54" i="2"/>
  <c r="X54" i="2" s="1"/>
  <c r="W59" i="2"/>
  <c r="X59" i="2" s="1"/>
  <c r="X153" i="2"/>
  <c r="W76" i="2"/>
  <c r="X76" i="2" s="1"/>
  <c r="W29" i="2"/>
  <c r="V85" i="1"/>
</calcChain>
</file>

<file path=xl/sharedStrings.xml><?xml version="1.0" encoding="utf-8"?>
<sst xmlns="http://schemas.openxmlformats.org/spreadsheetml/2006/main" count="3359" uniqueCount="411">
  <si>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</si>
  <si>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</si>
  <si>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</si>
  <si>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</si>
  <si>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</si>
  <si>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</si>
  <si>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</si>
  <si>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</si>
  <si>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</si>
  <si>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</si>
  <si>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</si>
  <si>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</si>
  <si>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</si>
  <si>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</si>
  <si>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JS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</si>
  <si>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</si>
  <si>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</si>
  <si>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</si>
  <si>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</si>
  <si>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</si>
  <si>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</si>
  <si>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</si>
  <si>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</si>
  <si>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</si>
  <si>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</si>
  <si>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MON</t>
  </si>
  <si>
    <t>THRU</t>
  </si>
  <si>
    <t>SUN</t>
  </si>
  <si>
    <t>INST</t>
  </si>
  <si>
    <t>PH</t>
  </si>
  <si>
    <t>&gt;30</t>
  </si>
  <si>
    <t xml:space="preserve"> </t>
  </si>
  <si>
    <t>MB</t>
  </si>
  <si>
    <t>LOCATION</t>
  </si>
  <si>
    <t>TRAV</t>
  </si>
  <si>
    <t>DF</t>
  </si>
  <si>
    <t>FED</t>
  </si>
  <si>
    <t>MERCH</t>
  </si>
  <si>
    <t>VACATION REMINDER</t>
  </si>
  <si>
    <t>PU</t>
  </si>
  <si>
    <t>COASTAL PACIFIC</t>
  </si>
  <si>
    <t>INV DATE</t>
  </si>
  <si>
    <t>POST DATE</t>
  </si>
  <si>
    <t>OT</t>
  </si>
  <si>
    <t>LG</t>
  </si>
  <si>
    <t>ONSITE SVC</t>
  </si>
  <si>
    <t>********</t>
  </si>
  <si>
    <t>POSTED TRANSACTIONS-CURRENT MONTH **</t>
  </si>
  <si>
    <t>DD</t>
  </si>
  <si>
    <t>AH</t>
  </si>
  <si>
    <t>ARBY'S</t>
  </si>
  <si>
    <t>HELP DESK</t>
  </si>
  <si>
    <t>REPAIR ECR</t>
  </si>
  <si>
    <t>TARTINE MANUFACTORY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</si>
  <si>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</si>
  <si>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</si>
  <si>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</si>
  <si>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</si>
  <si>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</si>
  <si>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</si>
  <si>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</si>
  <si>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</si>
  <si>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FRT</t>
  </si>
  <si>
    <t>SUPP TX</t>
  </si>
  <si>
    <t>DROP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</si>
  <si>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</si>
  <si>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</si>
  <si>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</si>
  <si>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</si>
  <si>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</si>
  <si>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</si>
  <si>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</si>
  <si>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</si>
  <si>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</si>
  <si>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AS</t>
  </si>
  <si>
    <t>SF</t>
  </si>
  <si>
    <t>POQUITO MAS</t>
  </si>
  <si>
    <t>CHERYL'S DINER</t>
  </si>
  <si>
    <t>NK</t>
  </si>
  <si>
    <t>BAL</t>
  </si>
  <si>
    <t>EL</t>
  </si>
  <si>
    <t>ACM</t>
  </si>
  <si>
    <t>X3</t>
  </si>
  <si>
    <t>EDDIE PAPA'S</t>
  </si>
  <si>
    <t>OLD CHICAGO PIZZA</t>
  </si>
  <si>
    <t>CM</t>
  </si>
  <si>
    <t>BOH-SUPER</t>
  </si>
  <si>
    <t>IN SHOP SVC</t>
  </si>
  <si>
    <t>A SWEET AFFAIR</t>
  </si>
  <si>
    <t>RESALE</t>
  </si>
  <si>
    <t>VILLA CORONA</t>
  </si>
  <si>
    <t>FIRST ST CAFÉ</t>
  </si>
  <si>
    <t>BOH-STARBELLY</t>
  </si>
  <si>
    <t>SG</t>
  </si>
  <si>
    <t>PRINTER</t>
  </si>
  <si>
    <t>TACO JANE'S</t>
  </si>
  <si>
    <t>CASH DWR</t>
  </si>
  <si>
    <t>INSHOP SVC</t>
  </si>
  <si>
    <t>FX</t>
  </si>
  <si>
    <t>LA BURRITA</t>
  </si>
  <si>
    <t>DURANT</t>
  </si>
  <si>
    <t>BAJA FRESH</t>
  </si>
  <si>
    <t>BRITANNIA ARMS</t>
  </si>
  <si>
    <t>CALISTOGA INN</t>
  </si>
  <si>
    <t>SAN RAFAEL JOE'S</t>
  </si>
  <si>
    <t>GRAZIE</t>
  </si>
  <si>
    <t>CHUBBY'S DINER</t>
  </si>
  <si>
    <t>OSCAR'S GRILL</t>
  </si>
  <si>
    <t>ROUTER</t>
  </si>
  <si>
    <t>LOS GATOS</t>
  </si>
  <si>
    <t>Q BAR</t>
  </si>
  <si>
    <t>PUB REPUBLIC</t>
  </si>
  <si>
    <t>415-432-0630</t>
  </si>
  <si>
    <t>BOH-DELA</t>
  </si>
  <si>
    <t>CAPITOLA</t>
  </si>
  <si>
    <t>BARREL HOUSE TAVERN</t>
  </si>
  <si>
    <t>MARINA</t>
  </si>
  <si>
    <t>TARTINE BAKERY</t>
  </si>
  <si>
    <t>BOH-UNO DOS</t>
  </si>
  <si>
    <t>CORP</t>
  </si>
  <si>
    <t>THE GROTTO</t>
  </si>
  <si>
    <t>EL CABALLO WRAPS</t>
  </si>
  <si>
    <t>LA CABANA</t>
  </si>
  <si>
    <t>MUSASHI</t>
  </si>
  <si>
    <t>INSALATA'S</t>
  </si>
  <si>
    <t>KELLS</t>
  </si>
  <si>
    <t>ALANA'S</t>
  </si>
  <si>
    <t>CC</t>
  </si>
  <si>
    <t>PD</t>
  </si>
  <si>
    <t>TACOS SINALOA</t>
  </si>
  <si>
    <t>TONY'S CABLE CAR</t>
  </si>
  <si>
    <t>IS</t>
  </si>
  <si>
    <t>BUSTER'S CHEESESTEAK</t>
  </si>
  <si>
    <t>MD</t>
  </si>
  <si>
    <t>PRINTERS</t>
  </si>
  <si>
    <t>DIST</t>
  </si>
  <si>
    <t>RESID-UAL</t>
  </si>
  <si>
    <t>CHURCH STREET PRODUCE</t>
  </si>
  <si>
    <t>HARMONY</t>
  </si>
  <si>
    <t>MGR</t>
  </si>
  <si>
    <t>BURL</t>
  </si>
  <si>
    <t>HW MAINT</t>
  </si>
  <si>
    <t>SG- emailed invoice 6/24</t>
  </si>
  <si>
    <t>SG- emailed John invoice 6/18</t>
  </si>
  <si>
    <t>SG- emailed Elaine invoice 6/25</t>
  </si>
  <si>
    <t>SG- emailed Oscar invoice 6/24</t>
  </si>
  <si>
    <t>SG- will work on it 7/17</t>
  </si>
  <si>
    <t>SHAKAS</t>
  </si>
  <si>
    <t>MP</t>
  </si>
  <si>
    <t>SG- called but no answer and emailed invoice 6/23</t>
  </si>
  <si>
    <t>SF BADLANDS</t>
  </si>
  <si>
    <t>MATEO</t>
  </si>
  <si>
    <t xml:space="preserve">MOSAIC 4 PTS </t>
  </si>
  <si>
    <t>SG- emailed Les invoice 5/13</t>
  </si>
  <si>
    <t>ALIOTO'S</t>
  </si>
  <si>
    <t>CD+PRINTER</t>
  </si>
  <si>
    <t>SG- emailed Cheryl invoice 5/21</t>
  </si>
  <si>
    <t>SWEET THINGS</t>
  </si>
  <si>
    <t>BURBANK</t>
  </si>
  <si>
    <t>POWER CON</t>
  </si>
  <si>
    <t>420 SMOKE PALACE</t>
  </si>
  <si>
    <t>AF</t>
  </si>
  <si>
    <t>TOMMY'S JOYNT</t>
  </si>
  <si>
    <t>SD-18</t>
  </si>
  <si>
    <t>SG- 6/25 AH tried calling David, no answer</t>
  </si>
  <si>
    <t>LAKE MERRITT SUPER</t>
  </si>
  <si>
    <t>MEMORY CARD</t>
  </si>
  <si>
    <t>SG- called 6/23 but got wrong number</t>
  </si>
  <si>
    <t>PORTER</t>
  </si>
  <si>
    <t>CBLS/ADAPT</t>
  </si>
  <si>
    <t>CALIFORNIA</t>
  </si>
  <si>
    <t>176842</t>
  </si>
  <si>
    <t>NORMAN'S GRILL</t>
  </si>
  <si>
    <t>SG- called Erfan, no answer left vm 6/26</t>
  </si>
  <si>
    <t>BERKELEY</t>
  </si>
  <si>
    <t>THE ESCONDITE</t>
  </si>
  <si>
    <t xml:space="preserve">SG- 6/29 Erin is asking for time to get business, then will send check </t>
  </si>
  <si>
    <t>160000</t>
  </si>
  <si>
    <t>TENDERLOIN LIQUOR</t>
  </si>
  <si>
    <t>SG- will work on this 7/17</t>
  </si>
  <si>
    <t>TOWNHOUSE</t>
  </si>
  <si>
    <t>JT</t>
  </si>
  <si>
    <t>SG- emailed Jeffrey invoice 6/18</t>
  </si>
  <si>
    <t>109000</t>
  </si>
  <si>
    <t>9TH AVE</t>
  </si>
  <si>
    <t>KELL'S</t>
  </si>
  <si>
    <t>PRONTO</t>
  </si>
  <si>
    <t>39024</t>
  </si>
  <si>
    <t>EL HUARACHE LOCO</t>
  </si>
  <si>
    <t>BOH-CORP</t>
  </si>
  <si>
    <t>BOH-DELAROSA</t>
  </si>
  <si>
    <t>ONSITE</t>
  </si>
  <si>
    <t>BOH-SUPER DUPER</t>
  </si>
  <si>
    <t>EL CHARRO MERCADO</t>
  </si>
  <si>
    <t>49758</t>
  </si>
  <si>
    <t>GKP MARKET</t>
  </si>
  <si>
    <t>PHONE SUPP</t>
  </si>
  <si>
    <t>S&amp;S LIQUOR STORE</t>
  </si>
  <si>
    <t>LCD MONITOR</t>
  </si>
  <si>
    <t>SWEET PEA'S CAFÉ</t>
  </si>
  <si>
    <t>59987</t>
  </si>
  <si>
    <t>GUESTHOUSE</t>
  </si>
  <si>
    <t>LAS MONTANAS</t>
  </si>
  <si>
    <t>SAN JOSE</t>
  </si>
  <si>
    <t>PEACOCK GAP GOLF CLUB</t>
  </si>
  <si>
    <t>GUERRERO</t>
  </si>
  <si>
    <t>FARMSTEAD</t>
  </si>
  <si>
    <t>NCC-2</t>
  </si>
  <si>
    <t>MARIO'S MEXICAN RESTAURANT</t>
  </si>
  <si>
    <t>AMERICAN BULL</t>
  </si>
  <si>
    <t>BUSTERS CHEESESTEAK</t>
  </si>
  <si>
    <t>BURLINGAME</t>
  </si>
  <si>
    <t>THREE BROTHERS GRILL</t>
  </si>
  <si>
    <t>DEANZA COLLEGE</t>
  </si>
  <si>
    <t>71518</t>
  </si>
  <si>
    <t>SG- Francis AP reached out, SG emailed invoices 8/3</t>
  </si>
  <si>
    <t>SG- Eddie replied to follow up email, provided EFT info 8/3</t>
  </si>
  <si>
    <t>YANK SING</t>
  </si>
  <si>
    <t>SOULTRANS</t>
  </si>
  <si>
    <t>TOMATINA</t>
  </si>
  <si>
    <t>SG- followed up w/ Mark 8/4</t>
  </si>
  <si>
    <t>EL AGAVE AZUL</t>
  </si>
  <si>
    <t>EQUIPMENT</t>
  </si>
  <si>
    <t>DR</t>
  </si>
  <si>
    <t>CREDIT</t>
  </si>
  <si>
    <t>EMERYVILLE</t>
  </si>
  <si>
    <t>GASPARE'S</t>
  </si>
  <si>
    <t>JOE'S TACO LOUNGE</t>
  </si>
  <si>
    <t>SG- resent Alex invoice 8/11</t>
  </si>
  <si>
    <t>HOMESTEAD OAKLAND</t>
  </si>
  <si>
    <t>MONTI'S ROTISSERIE</t>
  </si>
  <si>
    <t xml:space="preserve">SWEENEY'S </t>
  </si>
  <si>
    <t>PEPITO'S</t>
  </si>
  <si>
    <t>CANYON</t>
  </si>
  <si>
    <t>PTR CREDIT</t>
  </si>
  <si>
    <t>IN</t>
  </si>
  <si>
    <t>DATACAP</t>
  </si>
  <si>
    <t>NCC POS</t>
  </si>
  <si>
    <t>M090120</t>
  </si>
  <si>
    <t>DUBOCE PARK CAFÉ</t>
  </si>
  <si>
    <t>SG- resent Mark an email, asking to at least pay Tommy's, since they are open 8/19</t>
  </si>
  <si>
    <t>SG- emailed Sal invoice 8/19</t>
  </si>
  <si>
    <t>M.O.O.S</t>
  </si>
  <si>
    <t>KITCHEN DOOR</t>
  </si>
  <si>
    <t>HI DIVE</t>
  </si>
  <si>
    <t>HAYWARD</t>
  </si>
  <si>
    <t>RICHMOND PARK B&amp;G</t>
  </si>
  <si>
    <t>KIMONO</t>
  </si>
  <si>
    <t>BENICIA</t>
  </si>
  <si>
    <t>ALAMEDA</t>
  </si>
  <si>
    <t>SANTA CLARA</t>
  </si>
  <si>
    <t>SUSHI KO</t>
  </si>
  <si>
    <t>MARIN BREW CO</t>
  </si>
  <si>
    <t>RA/MB</t>
  </si>
  <si>
    <t>RINCON</t>
  </si>
  <si>
    <t>MB/RA</t>
  </si>
  <si>
    <t>STEVENSON</t>
  </si>
  <si>
    <t>WEST WIND</t>
  </si>
  <si>
    <t>SAC</t>
  </si>
  <si>
    <t>EG</t>
  </si>
  <si>
    <t>TIBURON</t>
  </si>
  <si>
    <t>IRON SPRINGS P&amp;B</t>
  </si>
  <si>
    <t>CELIA'S/XALISCO</t>
  </si>
  <si>
    <t>VILLA SPORT BEAVERTON</t>
  </si>
  <si>
    <t>ATWATER TAVERN</t>
  </si>
  <si>
    <t>SOLANO</t>
  </si>
  <si>
    <t>220B  WIFI</t>
  </si>
  <si>
    <t>ABDULLAH</t>
  </si>
  <si>
    <t>GLENDALE</t>
  </si>
  <si>
    <t>LAS VEGAS</t>
  </si>
  <si>
    <t>RENO</t>
  </si>
  <si>
    <t>SJ</t>
  </si>
  <si>
    <t xml:space="preserve">POPEYE'S </t>
  </si>
  <si>
    <t>VICTOR</t>
  </si>
  <si>
    <t>LA ESTRELLITA</t>
  </si>
  <si>
    <t>RWC</t>
  </si>
  <si>
    <t>EL TORO TAQUERIA</t>
  </si>
  <si>
    <t>FR</t>
  </si>
  <si>
    <t>MERCURY</t>
  </si>
  <si>
    <t>PEACOCK GAP GC</t>
  </si>
  <si>
    <t>LA PINATA</t>
  </si>
  <si>
    <t>TAQUERIA LOS POTRILLOS</t>
  </si>
  <si>
    <t>LARES MEDICAL CLINIC</t>
  </si>
  <si>
    <t>SAN ANSELMO SWIRL</t>
  </si>
  <si>
    <t>BUNGALOW 44</t>
  </si>
  <si>
    <t>BOH-BERETTA</t>
  </si>
  <si>
    <t>REVERSE- MONTHLY</t>
  </si>
  <si>
    <t>93307</t>
  </si>
  <si>
    <t>MARIN</t>
  </si>
  <si>
    <t>CHECK</t>
  </si>
  <si>
    <t>SG- emailed Javier UPDATED recap 9/1</t>
  </si>
  <si>
    <t>SR</t>
  </si>
  <si>
    <t>FILE SERVER</t>
  </si>
  <si>
    <t>LA</t>
  </si>
  <si>
    <t>ROOKIES SPORTS BAR</t>
  </si>
  <si>
    <t>SOL</t>
  </si>
  <si>
    <t>BAL $51.31</t>
  </si>
  <si>
    <t>SG- texted Abe invoice 9/2</t>
  </si>
  <si>
    <t>SG- emailed Alfonso invoice 9/2</t>
  </si>
  <si>
    <t>ALBERTO'S MEXICAN FOOD</t>
  </si>
  <si>
    <t>OAK HILLS</t>
  </si>
  <si>
    <t>MAITRE'S UPGRD</t>
  </si>
  <si>
    <t>STATE BIRD PRO</t>
  </si>
  <si>
    <t>MOUNTAIN MIKE'S</t>
  </si>
  <si>
    <t>NEWARK</t>
  </si>
  <si>
    <t>SM</t>
  </si>
  <si>
    <t>ALA</t>
  </si>
  <si>
    <t>CONSUMER'S LIQUORS</t>
  </si>
  <si>
    <t>SG- emailed Mehdi invoice 9/3</t>
  </si>
  <si>
    <t>SG- claims he did not get help, SG will talk to LG 9/3</t>
  </si>
  <si>
    <t>SG- called but no answer, will try again 9/4</t>
  </si>
  <si>
    <t>SG- called Saji again, left vm again &amp; emailed recap again 8/20</t>
  </si>
  <si>
    <t>SG- emailed AP &amp; ANYONE else who can help recap 9/3</t>
  </si>
  <si>
    <t>GLENEAGLES GC</t>
  </si>
  <si>
    <t>S.ROSA</t>
  </si>
  <si>
    <t>SON</t>
  </si>
  <si>
    <t>TAQUERIA EL GORDO</t>
  </si>
  <si>
    <t>CL</t>
  </si>
  <si>
    <t>SG- emailed John invoice 9/3</t>
  </si>
  <si>
    <t>SG- emailed Gary invoice 9/3</t>
  </si>
  <si>
    <t>SG- emailed AP invoice 9/3</t>
  </si>
  <si>
    <t>SG- emailed Marco invoice 9/3</t>
  </si>
  <si>
    <t>SG- emailed invoice 9/4</t>
  </si>
  <si>
    <t>SG- emailed Teresa invoice 9/1, working on it</t>
  </si>
  <si>
    <t>SG- emailed Oneida &amp; Antonio (managers/owners) recap/invoices 9/4</t>
  </si>
  <si>
    <t xml:space="preserve">SG- spoke to DK 9/4 he emailed Ty invoice </t>
  </si>
  <si>
    <t>RF- handles BOH</t>
  </si>
  <si>
    <t>SG- RF handles BOH</t>
  </si>
  <si>
    <t>SG- emailed Ruth recap 9/4</t>
  </si>
  <si>
    <t>SG- texted Matteo invoices 9/4</t>
  </si>
  <si>
    <t>SG-  called left vm &amp; emailed invoices as well 9/4</t>
  </si>
  <si>
    <t>BURLING</t>
  </si>
  <si>
    <t>CHESTNUT</t>
  </si>
  <si>
    <t>BOH-WILDSEED</t>
  </si>
  <si>
    <t>TARTINE</t>
  </si>
  <si>
    <t>SILVER LAKE</t>
  </si>
  <si>
    <t>MI RANCHO MKT</t>
  </si>
  <si>
    <t>MAX</t>
  </si>
  <si>
    <t>CASH</t>
  </si>
  <si>
    <t>SILVA SHELDON INN</t>
  </si>
  <si>
    <t>MARIN BREWING</t>
  </si>
  <si>
    <t>PTR 880 SWAP</t>
  </si>
  <si>
    <t>TOM</t>
  </si>
  <si>
    <t>LA ESPERANZA TRI COLOR</t>
  </si>
  <si>
    <t>SCANNER</t>
  </si>
  <si>
    <t>HAY</t>
  </si>
  <si>
    <t>WEBSITES 999</t>
  </si>
  <si>
    <t>ONLINE ORDER</t>
  </si>
  <si>
    <t>EFT</t>
  </si>
  <si>
    <t>O/S</t>
  </si>
  <si>
    <t>SG- resent Michael invoices 9/9</t>
  </si>
  <si>
    <t>SG- emailed Oscar invoice 9/9</t>
  </si>
  <si>
    <t>SG- resent Mark/others invoice 9/9</t>
  </si>
  <si>
    <t>GUERRA QUALITY MEATS</t>
  </si>
  <si>
    <t>BELLAM PRODUCE</t>
  </si>
  <si>
    <t>S/L</t>
  </si>
  <si>
    <t>SUPER MERCADO MT</t>
  </si>
  <si>
    <t>PRECITA PARK CAFÉ</t>
  </si>
  <si>
    <t>SG- followed up/emailed Loretta invoice 9/9</t>
  </si>
  <si>
    <t>SG- resent Kimm/Audrey invoice 9/9</t>
  </si>
  <si>
    <t>BOH-A MANO</t>
  </si>
  <si>
    <t>HARLEY</t>
  </si>
  <si>
    <t>SG- followed up/resent Sarah invoice 9/10</t>
  </si>
  <si>
    <t>SG- called Mark, left vm. Emailed Barrel invoices, hoping to get these paid 9/10</t>
  </si>
  <si>
    <t>EL VALLE CARNICERIA</t>
  </si>
  <si>
    <t>PH SUPPORT</t>
  </si>
  <si>
    <t>DD/SG</t>
  </si>
  <si>
    <t>SG- they will reissue and resend check 9/10</t>
  </si>
  <si>
    <t>SG- called left vm &amp; texted Hector 9/11</t>
  </si>
  <si>
    <t>EVO PAYMENTS</t>
  </si>
  <si>
    <t>COFFEE ROASTERY</t>
  </si>
  <si>
    <t>SA</t>
  </si>
  <si>
    <t>LA AZTECA MARKET #2</t>
  </si>
  <si>
    <t>ZAYTOON</t>
  </si>
  <si>
    <t>LS</t>
  </si>
  <si>
    <t>HI WAY BURGER &amp; FRY</t>
  </si>
  <si>
    <t xml:space="preserve">PLAYA </t>
  </si>
  <si>
    <t>ESTRELLA'S MARKET</t>
  </si>
  <si>
    <t>J.K BAY AREA (ROUND TABLE)</t>
  </si>
  <si>
    <t>NAPA</t>
  </si>
  <si>
    <t>SG- spoke to George, he will talk to Diana to get invoice paid 9/14</t>
  </si>
  <si>
    <t>NCC</t>
  </si>
  <si>
    <t>SUBSCRIPT</t>
  </si>
  <si>
    <t>CILANTRO SF</t>
  </si>
  <si>
    <t>JAVA HUT</t>
  </si>
  <si>
    <t>TERIYAKI MADNESS</t>
  </si>
  <si>
    <t>FAIRFIELD</t>
  </si>
  <si>
    <t>W/V</t>
  </si>
  <si>
    <t>SC</t>
  </si>
  <si>
    <t>721 MT</t>
  </si>
  <si>
    <t>REVEL &amp; ROOST</t>
  </si>
  <si>
    <t>SG- spoke to Daniel 9/14, RA will explain HD and get invoice paid 9/15</t>
  </si>
  <si>
    <t>M100120</t>
  </si>
  <si>
    <t>MADISON</t>
  </si>
  <si>
    <t xml:space="preserve">A&amp;W </t>
  </si>
  <si>
    <t>BRINK POS</t>
  </si>
  <si>
    <t>PIER 39 ICS</t>
  </si>
  <si>
    <t>WAFFLE CONE SHOP</t>
  </si>
  <si>
    <t>QUE ONDA TACO BAR</t>
  </si>
  <si>
    <t>PAYMENT #8</t>
  </si>
  <si>
    <t>GLEN ELLEN MARKET</t>
  </si>
  <si>
    <t>#7</t>
  </si>
  <si>
    <t>SY</t>
  </si>
  <si>
    <t>NO SVC</t>
  </si>
  <si>
    <t>TOWN &amp; COUNTRY MKT</t>
  </si>
  <si>
    <t>CAFÉ LA HAYE</t>
  </si>
  <si>
    <t>REG/SUPPLY</t>
  </si>
  <si>
    <t>BOH-FLORES</t>
  </si>
  <si>
    <t>NIC</t>
  </si>
  <si>
    <t>LAYLA AT MACATHUR</t>
  </si>
  <si>
    <t>UNCLE YU'S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</si>
</sst>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1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10"/>
      <name val="Comic Sans MS"/>
      <family val="4"/>
    </font>
    <font>
      <b/>
      <sz val="8"/>
      <color theme="0"/>
      <name val="Comic Sans MS"/>
      <family val="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9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2" fillId="0" borderId="6" xfId="0" quotePrefix="1" applyFont="1" applyBorder="1"/>
    <xf numFmtId="0" fontId="9" fillId="3" borderId="8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7" xfId="0" applyNumberFormat="1" applyFont="1" applyBorder="1"/>
    <xf numFmtId="0" fontId="3" fillId="7" borderId="10" xfId="0" applyFont="1" applyFill="1" applyBorder="1" applyAlignment="1">
      <alignment horizontal="right"/>
    </xf>
    <xf numFmtId="0" fontId="3" fillId="9" borderId="10" xfId="0" applyFont="1" applyFill="1" applyBorder="1" applyAlignment="1">
      <alignment horizontal="right"/>
    </xf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3" fillId="9" borderId="11" xfId="0" applyNumberFormat="1" applyFont="1" applyFill="1" applyBorder="1"/>
    <xf numFmtId="1" fontId="3" fillId="9" borderId="12" xfId="0" applyNumberFormat="1" applyFont="1" applyFill="1" applyBorder="1"/>
    <xf numFmtId="2" fontId="3" fillId="9" borderId="10" xfId="0" applyNumberFormat="1" applyFont="1" applyFill="1" applyBorder="1"/>
    <xf numFmtId="1" fontId="3" fillId="9" borderId="10" xfId="0" applyNumberFormat="1" applyFont="1" applyFill="1" applyBorder="1"/>
    <xf numFmtId="1" fontId="3" fillId="8" borderId="11" xfId="0" applyNumberFormat="1" applyFont="1" applyFill="1" applyBorder="1"/>
    <xf numFmtId="1" fontId="3" fillId="8" borderId="12" xfId="0" applyNumberFormat="1" applyFont="1" applyFill="1" applyBorder="1"/>
    <xf numFmtId="2" fontId="3" fillId="8" borderId="10" xfId="0" applyNumberFormat="1" applyFont="1" applyFill="1" applyBorder="1"/>
    <xf numFmtId="1" fontId="3" fillId="8" borderId="10" xfId="0" applyNumberFormat="1" applyFont="1" applyFill="1" applyBorder="1"/>
    <xf numFmtId="1" fontId="3" fillId="7" borderId="11" xfId="0" applyNumberFormat="1" applyFont="1" applyFill="1" applyBorder="1"/>
    <xf numFmtId="1" fontId="3" fillId="7" borderId="12" xfId="0" applyNumberFormat="1" applyFont="1" applyFill="1" applyBorder="1"/>
    <xf numFmtId="2" fontId="3" fillId="7" borderId="10" xfId="0" applyNumberFormat="1" applyFont="1" applyFill="1" applyBorder="1"/>
    <xf numFmtId="1" fontId="3" fillId="7" borderId="10" xfId="0" applyNumberFormat="1" applyFont="1" applyFill="1" applyBorder="1"/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0" fontId="2" fillId="9" borderId="0" xfId="0" applyFont="1" applyFill="1"/>
    <xf numFmtId="0" fontId="2" fillId="7" borderId="0" xfId="0" applyFont="1" applyFill="1"/>
    <xf numFmtId="1" fontId="3" fillId="0" borderId="7" xfId="0" applyNumberFormat="1" applyFont="1" applyBorder="1"/>
    <xf numFmtId="0" fontId="2" fillId="0" borderId="16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20" xfId="0" applyFont="1" applyBorder="1"/>
    <xf numFmtId="0" fontId="9" fillId="0" borderId="23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4" xfId="0" applyFont="1" applyBorder="1"/>
    <xf numFmtId="0" fontId="2" fillId="0" borderId="23" xfId="0" applyFont="1" applyBorder="1"/>
    <xf numFmtId="0" fontId="2" fillId="0" borderId="20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164" fontId="4" fillId="0" borderId="20" xfId="0" applyNumberFormat="1" applyFont="1" applyBorder="1" applyAlignment="1">
      <alignment horizontal="right"/>
    </xf>
    <xf numFmtId="1" fontId="2" fillId="0" borderId="21" xfId="0" applyNumberFormat="1" applyFont="1" applyBorder="1"/>
    <xf numFmtId="1" fontId="2" fillId="0" borderId="22" xfId="0" applyNumberFormat="1" applyFont="1" applyBorder="1"/>
    <xf numFmtId="1" fontId="2" fillId="0" borderId="25" xfId="0" applyNumberFormat="1" applyFont="1" applyBorder="1"/>
    <xf numFmtId="1" fontId="2" fillId="0" borderId="20" xfId="0" applyNumberFormat="1" applyFont="1" applyBorder="1"/>
    <xf numFmtId="2" fontId="2" fillId="0" borderId="25" xfId="0" applyNumberFormat="1" applyFont="1" applyBorder="1"/>
    <xf numFmtId="0" fontId="3" fillId="0" borderId="21" xfId="0" applyFont="1" applyBorder="1"/>
    <xf numFmtId="0" fontId="2" fillId="0" borderId="17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5" xfId="0" applyFont="1" applyBorder="1"/>
    <xf numFmtId="0" fontId="3" fillId="0" borderId="3" xfId="0" applyFont="1" applyBorder="1"/>
    <xf numFmtId="0" fontId="3" fillId="8" borderId="10" xfId="0" applyFont="1" applyFill="1" applyBorder="1" applyAlignment="1">
      <alignment horizontal="right"/>
    </xf>
    <xf numFmtId="0" fontId="3" fillId="9" borderId="3" xfId="0" applyFont="1" applyFill="1" applyBorder="1"/>
    <xf numFmtId="0" fontId="3" fillId="8" borderId="3" xfId="0" applyFont="1" applyFill="1" applyBorder="1"/>
    <xf numFmtId="0" fontId="3" fillId="7" borderId="3" xfId="0" applyFont="1" applyFill="1" applyBorder="1"/>
    <xf numFmtId="0" fontId="3" fillId="8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9" borderId="0" xfId="0" applyFont="1" applyFill="1"/>
    <xf numFmtId="2" fontId="2" fillId="8" borderId="7" xfId="0" applyNumberFormat="1" applyFont="1" applyFill="1" applyBorder="1"/>
    <xf numFmtId="2" fontId="2" fillId="0" borderId="0" xfId="0" applyNumberFormat="1" applyFont="1"/>
    <xf numFmtId="164" fontId="26" fillId="9" borderId="0" xfId="0" applyNumberFormat="1" applyFont="1" applyFill="1" applyAlignment="1">
      <alignment horizontal="right"/>
    </xf>
    <xf numFmtId="168" fontId="2" fillId="0" borderId="0" xfId="0" applyNumberFormat="1" applyFont="1"/>
    <xf numFmtId="0" fontId="2" fillId="0" borderId="1" xfId="0" applyFont="1" applyBorder="1"/>
    <xf numFmtId="0" fontId="3" fillId="8" borderId="12" xfId="0" applyFont="1" applyFill="1" applyBorder="1"/>
    <xf numFmtId="0" fontId="3" fillId="9" borderId="12" xfId="0" applyFont="1" applyFill="1" applyBorder="1"/>
    <xf numFmtId="0" fontId="3" fillId="7" borderId="12" xfId="0" applyFont="1" applyFill="1" applyBorder="1"/>
    <xf numFmtId="0" fontId="2" fillId="0" borderId="9" xfId="0" applyFont="1" applyBorder="1"/>
    <xf numFmtId="2" fontId="9" fillId="0" borderId="17" xfId="0" applyNumberFormat="1" applyFont="1" applyBorder="1" applyAlignment="1">
      <alignment horizontal="center" wrapText="1"/>
    </xf>
    <xf numFmtId="2" fontId="9" fillId="6" borderId="17" xfId="0" applyNumberFormat="1" applyFont="1" applyFill="1" applyBorder="1" applyAlignment="1">
      <alignment horizontal="center" wrapText="1"/>
    </xf>
    <xf numFmtId="1" fontId="9" fillId="10" borderId="15" xfId="0" applyNumberFormat="1" applyFont="1" applyFill="1" applyBorder="1" applyAlignment="1">
      <alignment horizontal="left" wrapText="1"/>
    </xf>
    <xf numFmtId="2" fontId="9" fillId="10" borderId="17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1" fontId="12" fillId="0" borderId="13" xfId="0" applyNumberFormat="1" applyFont="1" applyBorder="1" applyAlignment="1">
      <alignment horizontal="center"/>
    </xf>
    <xf numFmtId="2" fontId="9" fillId="12" borderId="17" xfId="0" applyNumberFormat="1" applyFont="1" applyFill="1" applyBorder="1" applyAlignment="1">
      <alignment horizontal="center" wrapText="1"/>
    </xf>
    <xf numFmtId="2" fontId="9" fillId="3" borderId="15" xfId="0" applyNumberFormat="1" applyFont="1" applyFill="1" applyBorder="1" applyAlignment="1">
      <alignment horizontal="center" wrapText="1"/>
    </xf>
    <xf numFmtId="0" fontId="20" fillId="11" borderId="15" xfId="0" applyFont="1" applyFill="1" applyBorder="1" applyAlignment="1">
      <alignment horizontal="center" wrapText="1"/>
    </xf>
    <xf numFmtId="1" fontId="9" fillId="4" borderId="14" xfId="0" applyNumberFormat="1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3" fillId="0" borderId="10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1" fontId="2" fillId="0" borderId="17" xfId="0" applyNumberFormat="1" applyFont="1" applyBorder="1" applyAlignment="1">
      <alignment horizontal="right"/>
    </xf>
    <xf numFmtId="1" fontId="2" fillId="0" borderId="25" xfId="0" applyNumberFormat="1" applyFont="1" applyBorder="1" applyAlignment="1">
      <alignment horizontal="right"/>
    </xf>
    <xf numFmtId="1" fontId="9" fillId="3" borderId="7" xfId="0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2" fillId="7" borderId="10" xfId="0" applyNumberFormat="1" applyFont="1" applyFill="1" applyBorder="1"/>
    <xf numFmtId="2" fontId="2" fillId="9" borderId="10" xfId="0" applyNumberFormat="1" applyFont="1" applyFill="1" applyBorder="1"/>
    <xf numFmtId="0" fontId="3" fillId="9" borderId="0" xfId="0" applyFont="1" applyFill="1" applyAlignment="1">
      <alignment horizontal="right"/>
    </xf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164" fontId="3" fillId="9" borderId="10" xfId="0" applyNumberFormat="1" applyFont="1" applyFill="1" applyBorder="1"/>
    <xf numFmtId="0" fontId="3" fillId="9" borderId="12" xfId="0" applyFont="1" applyFill="1" applyBorder="1" applyAlignment="1">
      <alignment horizontal="right"/>
    </xf>
    <xf numFmtId="2" fontId="2" fillId="8" borderId="10" xfId="0" applyNumberFormat="1" applyFont="1" applyFill="1" applyBorder="1"/>
    <xf numFmtId="2" fontId="9" fillId="3" borderId="17" xfId="0" applyNumberFormat="1" applyFont="1" applyFill="1" applyBorder="1" applyAlignment="1">
      <alignment horizontal="center" wrapText="1"/>
    </xf>
    <xf numFmtId="1" fontId="9" fillId="3" borderId="15" xfId="0" applyNumberFormat="1" applyFont="1" applyFill="1" applyBorder="1"/>
    <xf numFmtId="1" fontId="3" fillId="0" borderId="25" xfId="0" applyNumberFormat="1" applyFont="1" applyBorder="1"/>
    <xf numFmtId="1" fontId="9" fillId="15" borderId="15" xfId="0" applyNumberFormat="1" applyFont="1" applyFill="1" applyBorder="1" applyAlignment="1">
      <alignment horizontal="center" wrapText="1"/>
    </xf>
    <xf numFmtId="0" fontId="3" fillId="7" borderId="0" xfId="0" applyFont="1" applyFill="1" applyBorder="1"/>
    <xf numFmtId="0" fontId="3" fillId="8" borderId="0" xfId="0" applyFont="1" applyFill="1" applyBorder="1"/>
    <xf numFmtId="0" fontId="3" fillId="9" borderId="0" xfId="0" applyFont="1" applyFill="1" applyBorder="1"/>
    <xf numFmtId="0" fontId="3" fillId="7" borderId="0" xfId="0" applyFont="1" applyFill="1" applyBorder="1" applyAlignment="1">
      <alignment horizontal="right"/>
    </xf>
    <xf numFmtId="164" fontId="26" fillId="7" borderId="0" xfId="0" applyNumberFormat="1" applyFont="1" applyFill="1" applyBorder="1" applyAlignment="1">
      <alignment horizontal="right"/>
    </xf>
    <xf numFmtId="1" fontId="3" fillId="7" borderId="0" xfId="0" applyNumberFormat="1" applyFont="1" applyFill="1" applyBorder="1"/>
    <xf numFmtId="1" fontId="3" fillId="8" borderId="0" xfId="0" applyNumberFormat="1" applyFont="1" applyFill="1" applyBorder="1"/>
    <xf numFmtId="1" fontId="3" fillId="9" borderId="0" xfId="0" applyNumberFormat="1" applyFont="1" applyFill="1" applyBorder="1"/>
    <xf numFmtId="0" fontId="2" fillId="7" borderId="0" xfId="0" applyFont="1" applyFill="1" applyBorder="1"/>
    <xf numFmtId="164" fontId="3" fillId="9" borderId="0" xfId="0" applyNumberFormat="1" applyFont="1" applyFill="1" applyBorder="1"/>
    <xf numFmtId="2" fontId="3" fillId="9" borderId="0" xfId="0" applyNumberFormat="1" applyFont="1" applyFill="1" applyBorder="1"/>
    <xf numFmtId="0" fontId="2" fillId="0" borderId="0" xfId="0" applyFont="1" applyFill="1" applyBorder="1"/>
    <xf numFmtId="164" fontId="3" fillId="7" borderId="0" xfId="0" applyNumberFormat="1" applyFont="1" applyFill="1" applyBorder="1"/>
    <xf numFmtId="2" fontId="3" fillId="7" borderId="0" xfId="0" applyNumberFormat="1" applyFont="1" applyFill="1" applyBorder="1"/>
    <xf numFmtId="164" fontId="3" fillId="8" borderId="0" xfId="0" applyNumberFormat="1" applyFont="1" applyFill="1" applyBorder="1"/>
    <xf numFmtId="2" fontId="3" fillId="8" borderId="0" xfId="0" applyNumberFormat="1" applyFont="1" applyFill="1" applyBorder="1"/>
    <xf numFmtId="1" fontId="3" fillId="9" borderId="0" xfId="0" applyNumberFormat="1" applyFont="1" applyFill="1"/>
    <xf numFmtId="164" fontId="3" fillId="0" borderId="27" xfId="0" applyNumberFormat="1" applyFont="1" applyBorder="1"/>
    <xf numFmtId="16" fontId="17" fillId="0" borderId="0" xfId="0" applyNumberFormat="1" applyFont="1" applyAlignment="1">
      <alignment horizontal="center"/>
    </xf>
    <xf numFmtId="0" fontId="3" fillId="8" borderId="0" xfId="0" applyFont="1" applyFill="1"/>
    <xf numFmtId="0" fontId="3" fillId="8" borderId="0" xfId="0" applyFont="1" applyFill="1" applyAlignment="1">
      <alignment horizontal="right"/>
    </xf>
    <xf numFmtId="164" fontId="26" fillId="8" borderId="0" xfId="0" applyNumberFormat="1" applyFont="1" applyFill="1" applyAlignment="1">
      <alignment horizontal="right"/>
    </xf>
    <xf numFmtId="0" fontId="2" fillId="8" borderId="0" xfId="0" applyFont="1" applyFill="1"/>
    <xf numFmtId="1" fontId="3" fillId="8" borderId="0" xfId="0" applyNumberFormat="1" applyFont="1" applyFill="1"/>
    <xf numFmtId="0" fontId="3" fillId="7" borderId="8" xfId="0" applyFont="1" applyFill="1" applyBorder="1"/>
    <xf numFmtId="0" fontId="3" fillId="7" borderId="7" xfId="0" applyFont="1" applyFill="1" applyBorder="1"/>
    <xf numFmtId="0" fontId="3" fillId="7" borderId="7" xfId="0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" fontId="3" fillId="7" borderId="7" xfId="0" applyNumberFormat="1" applyFont="1" applyFill="1" applyBorder="1"/>
    <xf numFmtId="0" fontId="2" fillId="7" borderId="7" xfId="0" applyFont="1" applyFill="1" applyBorder="1"/>
    <xf numFmtId="169" fontId="9" fillId="0" borderId="0" xfId="0" applyNumberFormat="1" applyFont="1" applyBorder="1"/>
    <xf numFmtId="0" fontId="2" fillId="0" borderId="0" xfId="0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3" fillId="0" borderId="7" xfId="0" applyNumberFormat="1" applyFont="1" applyBorder="1"/>
    <xf numFmtId="164" fontId="26" fillId="0" borderId="7" xfId="0" applyNumberFormat="1" applyFont="1" applyBorder="1" applyAlignment="1">
      <alignment horizontal="right"/>
    </xf>
    <xf numFmtId="2" fontId="3" fillId="0" borderId="7" xfId="0" applyNumberFormat="1" applyFont="1" applyBorder="1"/>
    <xf numFmtId="0" fontId="2" fillId="0" borderId="2" xfId="0" applyFont="1" applyBorder="1"/>
    <xf numFmtId="0" fontId="3" fillId="7" borderId="0" xfId="0" applyFont="1" applyFill="1"/>
    <xf numFmtId="0" fontId="3" fillId="7" borderId="0" xfId="0" applyFont="1" applyFill="1" applyAlignment="1">
      <alignment horizontal="right"/>
    </xf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1" fontId="28" fillId="2" borderId="20" xfId="0" applyNumberFormat="1" applyFont="1" applyFill="1" applyBorder="1"/>
    <xf numFmtId="2" fontId="21" fillId="2" borderId="0" xfId="0" applyNumberFormat="1" applyFont="1" applyFill="1"/>
    <xf numFmtId="164" fontId="2" fillId="0" borderId="17" xfId="0" applyNumberFormat="1" applyFont="1" applyBorder="1" applyAlignment="1">
      <alignment wrapText="1"/>
    </xf>
    <xf numFmtId="1" fontId="9" fillId="10" borderId="25" xfId="0" applyNumberFormat="1" applyFont="1" applyFill="1" applyBorder="1" applyAlignment="1">
      <alignment horizontal="left" wrapText="1"/>
    </xf>
    <xf numFmtId="1" fontId="9" fillId="5" borderId="17" xfId="0" applyNumberFormat="1" applyFont="1" applyFill="1" applyBorder="1" applyAlignment="1">
      <alignment horizontal="center" vertical="center" wrapText="1"/>
    </xf>
    <xf numFmtId="2" fontId="3" fillId="0" borderId="25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28" xfId="0" applyFont="1" applyBorder="1"/>
    <xf numFmtId="0" fontId="3" fillId="0" borderId="1" xfId="0" applyFont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 applyAlignment="1">
      <alignment horizontal="right"/>
    </xf>
    <xf numFmtId="1" fontId="3" fillId="0" borderId="29" xfId="0" applyNumberFormat="1" applyFont="1" applyBorder="1"/>
    <xf numFmtId="1" fontId="3" fillId="0" borderId="27" xfId="0" applyNumberFormat="1" applyFont="1" applyBorder="1"/>
    <xf numFmtId="1" fontId="3" fillId="0" borderId="1" xfId="0" applyNumberFormat="1" applyFont="1" applyBorder="1"/>
    <xf numFmtId="1" fontId="3" fillId="0" borderId="30" xfId="0" applyNumberFormat="1" applyFont="1" applyBorder="1"/>
    <xf numFmtId="2" fontId="3" fillId="0" borderId="27" xfId="0" applyNumberFormat="1" applyFont="1" applyBorder="1"/>
    <xf numFmtId="2" fontId="2" fillId="0" borderId="27" xfId="0" applyNumberFormat="1" applyFont="1" applyBorder="1"/>
    <xf numFmtId="0" fontId="3" fillId="0" borderId="29" xfId="0" applyFont="1" applyBorder="1"/>
    <xf numFmtId="0" fontId="2" fillId="0" borderId="18" xfId="0" applyFont="1" applyBorder="1"/>
    <xf numFmtId="0" fontId="9" fillId="0" borderId="19" xfId="0" applyFont="1" applyBorder="1"/>
    <xf numFmtId="169" fontId="9" fillId="0" borderId="11" xfId="0" applyNumberFormat="1" applyFont="1" applyBorder="1"/>
    <xf numFmtId="164" fontId="26" fillId="0" borderId="10" xfId="0" applyNumberFormat="1" applyFont="1" applyBorder="1" applyAlignment="1">
      <alignment horizontal="right"/>
    </xf>
    <xf numFmtId="164" fontId="3" fillId="0" borderId="25" xfId="0" applyNumberFormat="1" applyFont="1" applyBorder="1" applyAlignment="1">
      <alignment horizontal="right"/>
    </xf>
    <xf numFmtId="1" fontId="9" fillId="0" borderId="23" xfId="0" applyNumberFormat="1" applyFont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1" fontId="3" fillId="0" borderId="0" xfId="0" applyNumberFormat="1" applyFont="1" applyFill="1" applyBorder="1"/>
    <xf numFmtId="2" fontId="3" fillId="0" borderId="0" xfId="0" applyNumberFormat="1" applyFont="1" applyFill="1" applyBorder="1"/>
    <xf numFmtId="1" fontId="9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164" fontId="26" fillId="0" borderId="0" xfId="0" applyNumberFormat="1" applyFont="1" applyFill="1" applyBorder="1" applyAlignment="1">
      <alignment horizontal="right"/>
    </xf>
    <xf numFmtId="169" fontId="9" fillId="0" borderId="0" xfId="0" applyNumberFormat="1" applyFont="1" applyFill="1" applyBorder="1"/>
    <xf numFmtId="0" fontId="3" fillId="0" borderId="0" xfId="0" applyFont="1" applyFill="1" applyBorder="1" applyAlignment="1">
      <alignment horizontal="right"/>
    </xf>
    <xf numFmtId="168" fontId="2" fillId="0" borderId="0" xfId="0" applyNumberFormat="1" applyFont="1" applyFill="1" applyBorder="1"/>
    <xf numFmtId="49" fontId="9" fillId="0" borderId="0" xfId="0" applyNumberFormat="1" applyFont="1" applyFill="1" applyBorder="1"/>
    <xf numFmtId="0" fontId="9" fillId="0" borderId="0" xfId="0" applyFont="1" applyFill="1" applyBorder="1"/>
    <xf numFmtId="2" fontId="2" fillId="0" borderId="0" xfId="0" applyNumberFormat="1" applyFont="1" applyFill="1" applyBorder="1"/>
    <xf numFmtId="49" fontId="25" fillId="0" borderId="0" xfId="0" applyNumberFormat="1" applyFont="1" applyFill="1" applyBorder="1"/>
    <xf numFmtId="166" fontId="9" fillId="0" borderId="0" xfId="0" applyNumberFormat="1" applyFont="1" applyFill="1" applyBorder="1"/>
    <xf numFmtId="165" fontId="7" fillId="0" borderId="0" xfId="0" applyNumberFormat="1" applyFont="1" applyFill="1" applyBorder="1"/>
    <xf numFmtId="165" fontId="8" fillId="0" borderId="0" xfId="0" applyNumberFormat="1" applyFont="1" applyFill="1" applyBorder="1"/>
    <xf numFmtId="1" fontId="7" fillId="0" borderId="0" xfId="0" applyNumberFormat="1" applyFont="1" applyFill="1" applyBorder="1"/>
    <xf numFmtId="0" fontId="21" fillId="0" borderId="0" xfId="0" applyFont="1" applyFill="1" applyBorder="1"/>
    <xf numFmtId="0" fontId="3" fillId="0" borderId="0" xfId="0" applyFont="1" applyFill="1" applyBorder="1" applyAlignment="1">
      <alignment horizontal="center"/>
    </xf>
    <xf numFmtId="164" fontId="5" fillId="0" borderId="0" xfId="0" applyNumberFormat="1" applyFont="1" applyFill="1" applyBorder="1"/>
    <xf numFmtId="1" fontId="1" fillId="0" borderId="0" xfId="0" applyNumberFormat="1" applyFont="1" applyFill="1" applyBorder="1"/>
    <xf numFmtId="167" fontId="19" fillId="0" borderId="24" xfId="0" applyNumberFormat="1" applyFont="1" applyBorder="1" applyAlignment="1">
      <alignment horizontal="center"/>
    </xf>
    <xf numFmtId="16" fontId="2" fillId="0" borderId="20" xfId="0" quotePrefix="1" applyNumberFormat="1" applyFont="1" applyBorder="1" applyAlignment="1">
      <alignment horizontal="center"/>
    </xf>
    <xf numFmtId="1" fontId="2" fillId="0" borderId="33" xfId="0" applyNumberFormat="1" applyFont="1" applyBorder="1"/>
    <xf numFmtId="1" fontId="3" fillId="0" borderId="24" xfId="0" applyNumberFormat="1" applyFont="1" applyBorder="1"/>
    <xf numFmtId="1" fontId="4" fillId="0" borderId="33" xfId="0" applyNumberFormat="1" applyFont="1" applyBorder="1"/>
    <xf numFmtId="1" fontId="4" fillId="0" borderId="34" xfId="0" applyNumberFormat="1" applyFont="1" applyBorder="1"/>
    <xf numFmtId="1" fontId="6" fillId="0" borderId="33" xfId="0" applyNumberFormat="1" applyFont="1" applyBorder="1"/>
    <xf numFmtId="1" fontId="6" fillId="0" borderId="24" xfId="0" applyNumberFormat="1" applyFont="1" applyBorder="1"/>
    <xf numFmtId="1" fontId="6" fillId="0" borderId="20" xfId="0" applyNumberFormat="1" applyFont="1" applyBorder="1"/>
    <xf numFmtId="2" fontId="6" fillId="0" borderId="33" xfId="0" applyNumberFormat="1" applyFont="1" applyBorder="1"/>
    <xf numFmtId="0" fontId="3" fillId="0" borderId="24" xfId="0" applyFont="1" applyBorder="1"/>
    <xf numFmtId="168" fontId="2" fillId="0" borderId="20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166" fontId="12" fillId="0" borderId="0" xfId="0" applyNumberFormat="1" applyFont="1"/>
    <xf numFmtId="49" fontId="2" fillId="0" borderId="0" xfId="0" applyNumberFormat="1" applyFont="1"/>
    <xf numFmtId="49" fontId="25" fillId="0" borderId="0" xfId="0" applyNumberFormat="1" applyFont="1"/>
    <xf numFmtId="1" fontId="9" fillId="0" borderId="0" xfId="0" applyNumberFormat="1" applyFont="1" applyAlignment="1">
      <alignment horizontal="right"/>
    </xf>
    <xf numFmtId="164" fontId="3" fillId="7" borderId="0" xfId="0" applyNumberFormat="1" applyFont="1" applyFill="1"/>
    <xf numFmtId="164" fontId="26" fillId="7" borderId="11" xfId="0" applyNumberFormat="1" applyFont="1" applyFill="1" applyBorder="1" applyAlignment="1">
      <alignment horizontal="right"/>
    </xf>
    <xf numFmtId="2" fontId="3" fillId="7" borderId="0" xfId="0" applyNumberFormat="1" applyFont="1" applyFill="1"/>
    <xf numFmtId="2" fontId="2" fillId="7" borderId="35" xfId="0" applyNumberFormat="1" applyFont="1" applyFill="1" applyBorder="1"/>
    <xf numFmtId="0" fontId="2" fillId="7" borderId="11" xfId="0" applyFont="1" applyFill="1" applyBorder="1"/>
    <xf numFmtId="169" fontId="9" fillId="0" borderId="0" xfId="0" applyNumberFormat="1" applyFont="1"/>
    <xf numFmtId="0" fontId="3" fillId="7" borderId="21" xfId="0" applyFont="1" applyFill="1" applyBorder="1"/>
    <xf numFmtId="0" fontId="3" fillId="7" borderId="20" xfId="0" applyFont="1" applyFill="1" applyBorder="1"/>
    <xf numFmtId="0" fontId="3" fillId="7" borderId="20" xfId="0" applyFont="1" applyFill="1" applyBorder="1" applyAlignment="1">
      <alignment horizontal="right"/>
    </xf>
    <xf numFmtId="164" fontId="3" fillId="7" borderId="20" xfId="0" applyNumberFormat="1" applyFont="1" applyFill="1" applyBorder="1"/>
    <xf numFmtId="164" fontId="26" fillId="7" borderId="22" xfId="0" applyNumberFormat="1" applyFont="1" applyFill="1" applyBorder="1" applyAlignment="1">
      <alignment horizontal="right"/>
    </xf>
    <xf numFmtId="1" fontId="3" fillId="7" borderId="21" xfId="0" applyNumberFormat="1" applyFont="1" applyFill="1" applyBorder="1"/>
    <xf numFmtId="1" fontId="3" fillId="7" borderId="20" xfId="0" applyNumberFormat="1" applyFont="1" applyFill="1" applyBorder="1"/>
    <xf numFmtId="1" fontId="3" fillId="7" borderId="22" xfId="0" applyNumberFormat="1" applyFont="1" applyFill="1" applyBorder="1"/>
    <xf numFmtId="2" fontId="3" fillId="7" borderId="20" xfId="0" applyNumberFormat="1" applyFont="1" applyFill="1" applyBorder="1"/>
    <xf numFmtId="2" fontId="2" fillId="7" borderId="24" xfId="0" applyNumberFormat="1" applyFont="1" applyFill="1" applyBorder="1"/>
    <xf numFmtId="0" fontId="3" fillId="7" borderId="33" xfId="0" applyFont="1" applyFill="1" applyBorder="1"/>
    <xf numFmtId="0" fontId="2" fillId="7" borderId="22" xfId="0" applyFont="1" applyFill="1" applyBorder="1"/>
    <xf numFmtId="0" fontId="3" fillId="0" borderId="20" xfId="0" applyFont="1" applyBorder="1"/>
    <xf numFmtId="0" fontId="3" fillId="0" borderId="20" xfId="0" applyFont="1" applyBorder="1" applyAlignment="1">
      <alignment horizontal="left"/>
    </xf>
    <xf numFmtId="164" fontId="3" fillId="0" borderId="20" xfId="0" applyNumberFormat="1" applyFont="1" applyBorder="1"/>
    <xf numFmtId="164" fontId="26" fillId="0" borderId="20" xfId="0" applyNumberFormat="1" applyFont="1" applyBorder="1" applyAlignment="1">
      <alignment horizontal="right"/>
    </xf>
    <xf numFmtId="1" fontId="3" fillId="0" borderId="20" xfId="0" applyNumberFormat="1" applyFont="1" applyBorder="1"/>
    <xf numFmtId="2" fontId="3" fillId="0" borderId="20" xfId="0" applyNumberFormat="1" applyFont="1" applyBorder="1"/>
    <xf numFmtId="49" fontId="30" fillId="0" borderId="33" xfId="0" applyNumberFormat="1" applyFont="1" applyBorder="1"/>
    <xf numFmtId="1" fontId="9" fillId="0" borderId="20" xfId="0" applyNumberFormat="1" applyFont="1" applyBorder="1" applyAlignment="1">
      <alignment horizontal="right"/>
    </xf>
    <xf numFmtId="166" fontId="9" fillId="0" borderId="1" xfId="0" applyNumberFormat="1" applyFont="1" applyBorder="1"/>
    <xf numFmtId="0" fontId="2" fillId="0" borderId="3" xfId="0" applyFont="1" applyBorder="1"/>
    <xf numFmtId="0" fontId="2" fillId="7" borderId="30" xfId="0" applyFont="1" applyFill="1" applyBorder="1"/>
    <xf numFmtId="0" fontId="3" fillId="0" borderId="20" xfId="0" applyFont="1" applyBorder="1" applyAlignment="1">
      <alignment horizontal="right"/>
    </xf>
    <xf numFmtId="166" fontId="9" fillId="0" borderId="9" xfId="0" applyNumberFormat="1" applyFont="1" applyBorder="1"/>
    <xf numFmtId="2" fontId="2" fillId="7" borderId="36" xfId="0" applyNumberFormat="1" applyFont="1" applyFill="1" applyBorder="1"/>
    <xf numFmtId="0" fontId="3" fillId="0" borderId="7" xfId="0" applyFont="1" applyBorder="1" applyAlignment="1">
      <alignment horizontal="left"/>
    </xf>
    <xf numFmtId="49" fontId="30" fillId="0" borderId="8" xfId="0" applyNumberFormat="1" applyFont="1" applyBorder="1"/>
    <xf numFmtId="0" fontId="3" fillId="0" borderId="15" xfId="0" applyFont="1" applyBorder="1" applyAlignment="1">
      <alignment horizontal="right"/>
    </xf>
    <xf numFmtId="164" fontId="3" fillId="0" borderId="17" xfId="0" applyNumberFormat="1" applyFont="1" applyBorder="1"/>
    <xf numFmtId="0" fontId="3" fillId="0" borderId="17" xfId="0" applyFont="1" applyBorder="1" applyAlignment="1">
      <alignment horizontal="right"/>
    </xf>
    <xf numFmtId="1" fontId="3" fillId="0" borderId="15" xfId="0" applyNumberFormat="1" applyFont="1" applyBorder="1"/>
    <xf numFmtId="1" fontId="3" fillId="0" borderId="17" xfId="0" applyNumberFormat="1" applyFont="1" applyBorder="1"/>
    <xf numFmtId="1" fontId="3" fillId="0" borderId="14" xfId="0" applyNumberFormat="1" applyFont="1" applyBorder="1"/>
    <xf numFmtId="2" fontId="3" fillId="0" borderId="17" xfId="0" applyNumberFormat="1" applyFont="1" applyBorder="1"/>
    <xf numFmtId="2" fontId="2" fillId="0" borderId="37" xfId="0" applyNumberFormat="1" applyFont="1" applyBorder="1"/>
    <xf numFmtId="49" fontId="30" fillId="0" borderId="7" xfId="0" applyNumberFormat="1" applyFont="1" applyBorder="1"/>
    <xf numFmtId="2" fontId="2" fillId="8" borderId="36" xfId="0" applyNumberFormat="1" applyFont="1" applyFill="1" applyBorder="1"/>
    <xf numFmtId="0" fontId="2" fillId="16" borderId="2" xfId="0" applyFont="1" applyFill="1" applyBorder="1"/>
    <xf numFmtId="169" fontId="9" fillId="0" borderId="0" xfId="0" applyNumberFormat="1" applyFont="1" applyAlignment="1">
      <alignment horizontal="left"/>
    </xf>
    <xf numFmtId="166" fontId="9" fillId="0" borderId="7" xfId="0" applyNumberFormat="1" applyFont="1" applyBorder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6" xfId="0" applyNumberFormat="1" applyFont="1" applyBorder="1"/>
    <xf numFmtId="49" fontId="9" fillId="0" borderId="8" xfId="0" applyNumberFormat="1" applyFont="1" applyBorder="1"/>
    <xf numFmtId="0" fontId="21" fillId="0" borderId="0" xfId="0" applyFont="1"/>
    <xf numFmtId="1" fontId="1" fillId="15" borderId="2" xfId="0" applyNumberFormat="1" applyFont="1" applyFill="1" applyBorder="1"/>
    <xf numFmtId="0" fontId="3" fillId="9" borderId="0" xfId="0" applyFont="1" applyFill="1" applyBorder="1" applyAlignment="1">
      <alignment horizontal="right"/>
    </xf>
    <xf numFmtId="0" fontId="3" fillId="8" borderId="0" xfId="0" applyFont="1" applyFill="1" applyBorder="1" applyAlignment="1">
      <alignment horizontal="right"/>
    </xf>
    <xf numFmtId="164" fontId="26" fillId="8" borderId="11" xfId="0" applyNumberFormat="1" applyFont="1" applyFill="1" applyBorder="1" applyAlignment="1">
      <alignment horizontal="right"/>
    </xf>
    <xf numFmtId="164" fontId="26" fillId="9" borderId="11" xfId="0" applyNumberFormat="1" applyFont="1" applyFill="1" applyBorder="1" applyAlignment="1">
      <alignment horizontal="right"/>
    </xf>
    <xf numFmtId="164" fontId="26" fillId="7" borderId="20" xfId="0" applyNumberFormat="1" applyFont="1" applyFill="1" applyBorder="1" applyAlignment="1">
      <alignment horizontal="right"/>
    </xf>
    <xf numFmtId="164" fontId="3" fillId="7" borderId="12" xfId="0" applyNumberFormat="1" applyFont="1" applyFill="1" applyBorder="1" applyAlignment="1">
      <alignment horizontal="right"/>
    </xf>
    <xf numFmtId="2" fontId="2" fillId="8" borderId="35" xfId="0" applyNumberFormat="1" applyFont="1" applyFill="1" applyBorder="1"/>
    <xf numFmtId="2" fontId="2" fillId="9" borderId="35" xfId="0" applyNumberFormat="1" applyFont="1" applyFill="1" applyBorder="1"/>
    <xf numFmtId="2" fontId="2" fillId="7" borderId="20" xfId="0" applyNumberFormat="1" applyFont="1" applyFill="1" applyBorder="1"/>
    <xf numFmtId="0" fontId="2" fillId="8" borderId="11" xfId="0" applyFont="1" applyFill="1" applyBorder="1"/>
    <xf numFmtId="0" fontId="2" fillId="7" borderId="20" xfId="0" applyFont="1" applyFill="1" applyBorder="1"/>
    <xf numFmtId="0" fontId="2" fillId="9" borderId="11" xfId="0" applyFont="1" applyFill="1" applyBorder="1"/>
    <xf numFmtId="0" fontId="3" fillId="7" borderId="11" xfId="0" applyFont="1" applyFill="1" applyBorder="1"/>
    <xf numFmtId="0" fontId="2" fillId="16" borderId="12" xfId="0" applyFont="1" applyFill="1" applyBorder="1"/>
    <xf numFmtId="169" fontId="9" fillId="0" borderId="3" xfId="0" applyNumberFormat="1" applyFont="1" applyBorder="1"/>
    <xf numFmtId="2" fontId="2" fillId="7" borderId="12" xfId="0" applyNumberFormat="1" applyFont="1" applyFill="1" applyBorder="1"/>
    <xf numFmtId="1" fontId="3" fillId="7" borderId="36" xfId="0" applyNumberFormat="1" applyFont="1" applyFill="1" applyBorder="1"/>
    <xf numFmtId="2" fontId="3" fillId="7" borderId="36" xfId="0" applyNumberFormat="1" applyFont="1" applyFill="1" applyBorder="1"/>
    <xf numFmtId="0" fontId="2" fillId="0" borderId="21" xfId="0" applyFont="1" applyBorder="1"/>
    <xf numFmtId="0" fontId="9" fillId="0" borderId="22" xfId="0" applyFont="1" applyBorder="1"/>
    <xf numFmtId="1" fontId="3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29" fillId="0" borderId="8" xfId="0" applyNumberFormat="1" applyFont="1" applyBorder="1" applyAlignment="1">
      <alignment horizontal="center" vertical="center"/>
    </xf>
    <xf numFmtId="1" fontId="8" fillId="9" borderId="26" xfId="0" applyNumberFormat="1" applyFont="1" applyFill="1" applyBorder="1" applyAlignment="1">
      <alignment horizontal="center" vertical="center"/>
    </xf>
    <xf numFmtId="0" fontId="3" fillId="0" borderId="21" xfId="0" applyFont="1" applyFill="1" applyBorder="1"/>
    <xf numFmtId="0" fontId="3" fillId="0" borderId="20" xfId="0" applyFont="1" applyFill="1" applyBorder="1"/>
    <xf numFmtId="164" fontId="3" fillId="0" borderId="21" xfId="0" applyNumberFormat="1" applyFont="1" applyFill="1" applyBorder="1"/>
    <xf numFmtId="164" fontId="5" fillId="0" borderId="21" xfId="0" applyNumberFormat="1" applyFont="1" applyFill="1" applyBorder="1"/>
    <xf numFmtId="1" fontId="3" fillId="0" borderId="21" xfId="0" applyNumberFormat="1" applyFont="1" applyFill="1" applyBorder="1"/>
    <xf numFmtId="1" fontId="3" fillId="0" borderId="20" xfId="0" applyNumberFormat="1" applyFont="1" applyFill="1" applyBorder="1"/>
    <xf numFmtId="2" fontId="3" fillId="0" borderId="20" xfId="0" applyNumberFormat="1" applyFont="1" applyFill="1" applyBorder="1"/>
    <xf numFmtId="0" fontId="2" fillId="0" borderId="20" xfId="0" applyFont="1" applyFill="1" applyBorder="1"/>
    <xf numFmtId="0" fontId="3" fillId="0" borderId="21" xfId="0" applyFont="1" applyFill="1" applyBorder="1" applyAlignment="1">
      <alignment horizontal="right" vertical="center"/>
    </xf>
    <xf numFmtId="164" fontId="3" fillId="0" borderId="21" xfId="0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49" fontId="3" fillId="0" borderId="21" xfId="0" applyNumberFormat="1" applyFont="1" applyFill="1" applyBorder="1" applyAlignment="1">
      <alignment horizontal="right"/>
    </xf>
    <xf numFmtId="1" fontId="2" fillId="0" borderId="15" xfId="0" applyNumberFormat="1" applyFont="1" applyBorder="1"/>
    <xf numFmtId="166" fontId="9" fillId="0" borderId="23" xfId="0" applyNumberFormat="1" applyFont="1" applyBorder="1"/>
    <xf numFmtId="164" fontId="3" fillId="7" borderId="7" xfId="0" applyNumberFormat="1" applyFont="1" applyFill="1" applyBorder="1"/>
    <xf numFmtId="2" fontId="3" fillId="7" borderId="7" xfId="0" applyNumberFormat="1" applyFont="1" applyFill="1" applyBorder="1"/>
    <xf numFmtId="0" fontId="2" fillId="8" borderId="0" xfId="0" applyFont="1" applyFill="1" applyBorder="1"/>
    <xf numFmtId="0" fontId="3" fillId="8" borderId="10" xfId="0" applyFont="1" applyFill="1" applyBorder="1" applyAlignment="1">
      <alignment horizontal="right" vertical="center"/>
    </xf>
    <xf numFmtId="164" fontId="3" fillId="8" borderId="10" xfId="0" applyNumberFormat="1" applyFont="1" applyFill="1" applyBorder="1" applyAlignment="1">
      <alignment horizontal="right"/>
    </xf>
    <xf numFmtId="164" fontId="5" fillId="8" borderId="10" xfId="0" applyNumberFormat="1" applyFont="1" applyFill="1" applyBorder="1"/>
    <xf numFmtId="49" fontId="3" fillId="8" borderId="12" xfId="0" applyNumberFormat="1" applyFont="1" applyFill="1" applyBorder="1" applyAlignment="1">
      <alignment horizontal="right"/>
    </xf>
    <xf numFmtId="0" fontId="2" fillId="0" borderId="0" xfId="0" applyFont="1" applyFill="1"/>
    <xf numFmtId="0" fontId="2" fillId="0" borderId="12" xfId="0" applyFont="1" applyFill="1" applyBorder="1"/>
    <xf numFmtId="169" fontId="9" fillId="0" borderId="0" xfId="0" applyNumberFormat="1" applyFont="1" applyFill="1"/>
    <xf numFmtId="0" fontId="3" fillId="8" borderId="0" xfId="0" applyFont="1" applyFill="1" applyBorder="1" applyAlignment="1">
      <alignment horizontal="right" vertical="center"/>
    </xf>
    <xf numFmtId="164" fontId="3" fillId="8" borderId="0" xfId="0" applyNumberFormat="1" applyFont="1" applyFill="1" applyBorder="1" applyAlignment="1">
      <alignment horizontal="right"/>
    </xf>
    <xf numFmtId="2" fontId="3" fillId="8" borderId="11" xfId="0" applyNumberFormat="1" applyFont="1" applyFill="1" applyBorder="1"/>
    <xf numFmtId="2" fontId="2" fillId="7" borderId="9" xfId="0" applyNumberFormat="1" applyFont="1" applyFill="1" applyBorder="1"/>
    <xf numFmtId="0" fontId="2" fillId="16" borderId="0" xfId="0" applyFont="1" applyFill="1" applyBorder="1"/>
    <xf numFmtId="2" fontId="3" fillId="9" borderId="12" xfId="0" applyNumberFormat="1" applyFont="1" applyFill="1" applyBorder="1"/>
    <xf numFmtId="0" fontId="2" fillId="9" borderId="12" xfId="0" applyFont="1" applyFill="1" applyBorder="1"/>
    <xf numFmtId="0" fontId="2" fillId="9" borderId="2" xfId="0" applyFont="1" applyFill="1" applyBorder="1"/>
    <xf numFmtId="0" fontId="3" fillId="0" borderId="0" xfId="0" applyFont="1" applyBorder="1"/>
    <xf numFmtId="0" fontId="3" fillId="0" borderId="11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64" fontId="3" fillId="0" borderId="0" xfId="0" applyNumberFormat="1" applyFont="1" applyBorder="1"/>
    <xf numFmtId="164" fontId="26" fillId="0" borderId="11" xfId="0" applyNumberFormat="1" applyFont="1" applyBorder="1" applyAlignment="1">
      <alignment horizontal="right"/>
    </xf>
    <xf numFmtId="1" fontId="3" fillId="0" borderId="0" xfId="0" applyNumberFormat="1" applyFont="1" applyBorder="1"/>
    <xf numFmtId="2" fontId="3" fillId="0" borderId="0" xfId="0" applyNumberFormat="1" applyFont="1" applyBorder="1"/>
    <xf numFmtId="2" fontId="3" fillId="0" borderId="12" xfId="0" applyNumberFormat="1" applyFont="1" applyBorder="1"/>
    <xf numFmtId="2" fontId="2" fillId="0" borderId="35" xfId="0" applyNumberFormat="1" applyFont="1" applyBorder="1"/>
    <xf numFmtId="2" fontId="2" fillId="0" borderId="36" xfId="0" applyNumberFormat="1" applyFont="1" applyBorder="1"/>
    <xf numFmtId="2" fontId="2" fillId="0" borderId="7" xfId="0" applyNumberFormat="1" applyFont="1" applyBorder="1"/>
    <xf numFmtId="2" fontId="2" fillId="0" borderId="9" xfId="0" applyNumberFormat="1" applyFont="1" applyBorder="1"/>
    <xf numFmtId="2" fontId="2" fillId="0" borderId="20" xfId="0" applyNumberFormat="1" applyFont="1" applyBorder="1"/>
    <xf numFmtId="0" fontId="3" fillId="0" borderId="33" xfId="0" applyFont="1" applyBorder="1"/>
    <xf numFmtId="0" fontId="2" fillId="0" borderId="11" xfId="0" applyFont="1" applyBorder="1"/>
    <xf numFmtId="0" fontId="2" fillId="9" borderId="0" xfId="0" applyFont="1" applyFill="1" applyBorder="1"/>
    <xf numFmtId="2" fontId="2" fillId="7" borderId="7" xfId="0" applyNumberFormat="1" applyFont="1" applyFill="1" applyBorder="1"/>
    <xf numFmtId="0" fontId="3" fillId="9" borderId="21" xfId="0" applyFont="1" applyFill="1" applyBorder="1"/>
    <xf numFmtId="0" fontId="3" fillId="9" borderId="20" xfId="0" applyFont="1" applyFill="1" applyBorder="1"/>
    <xf numFmtId="0" fontId="3" fillId="9" borderId="20" xfId="0" applyFont="1" applyFill="1" applyBorder="1" applyAlignment="1">
      <alignment horizontal="right"/>
    </xf>
    <xf numFmtId="164" fontId="3" fillId="9" borderId="20" xfId="0" applyNumberFormat="1" applyFont="1" applyFill="1" applyBorder="1"/>
    <xf numFmtId="164" fontId="5" fillId="8" borderId="11" xfId="0" applyNumberFormat="1" applyFont="1" applyFill="1" applyBorder="1"/>
    <xf numFmtId="1" fontId="3" fillId="9" borderId="20" xfId="0" applyNumberFormat="1" applyFont="1" applyFill="1" applyBorder="1"/>
    <xf numFmtId="2" fontId="3" fillId="9" borderId="20" xfId="0" applyNumberFormat="1" applyFont="1" applyFill="1" applyBorder="1"/>
    <xf numFmtId="49" fontId="3" fillId="8" borderId="0" xfId="0" applyNumberFormat="1" applyFont="1" applyFill="1" applyBorder="1" applyAlignment="1">
      <alignment horizontal="right"/>
    </xf>
    <xf numFmtId="0" fontId="3" fillId="9" borderId="33" xfId="0" applyFont="1" applyFill="1" applyBorder="1"/>
    <xf numFmtId="0" fontId="2" fillId="8" borderId="30" xfId="0" applyFont="1" applyFill="1" applyBorder="1"/>
    <xf numFmtId="2" fontId="2" fillId="9" borderId="36" xfId="0" applyNumberFormat="1" applyFont="1" applyFill="1" applyBorder="1"/>
    <xf numFmtId="164" fontId="26" fillId="9" borderId="22" xfId="0" applyNumberFormat="1" applyFont="1" applyFill="1" applyBorder="1" applyAlignment="1">
      <alignment horizontal="right"/>
    </xf>
    <xf numFmtId="1" fontId="3" fillId="9" borderId="21" xfId="0" applyNumberFormat="1" applyFont="1" applyFill="1" applyBorder="1"/>
    <xf numFmtId="1" fontId="3" fillId="9" borderId="22" xfId="0" applyNumberFormat="1" applyFont="1" applyFill="1" applyBorder="1"/>
    <xf numFmtId="2" fontId="2" fillId="9" borderId="24" xfId="0" applyNumberFormat="1" applyFont="1" applyFill="1" applyBorder="1"/>
    <xf numFmtId="0" fontId="2" fillId="9" borderId="22" xfId="0" applyFont="1" applyFill="1" applyBorder="1"/>
    <xf numFmtId="0" fontId="3" fillId="8" borderId="8" xfId="0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7" xfId="0" applyNumberFormat="1" applyFont="1" applyFill="1" applyBorder="1"/>
    <xf numFmtId="0" fontId="2" fillId="8" borderId="7" xfId="0" applyFont="1" applyFill="1" applyBorder="1"/>
    <xf numFmtId="0" fontId="3" fillId="9" borderId="8" xfId="0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7" xfId="0" applyNumberFormat="1" applyFont="1" applyFill="1" applyBorder="1"/>
    <xf numFmtId="164" fontId="26" fillId="9" borderId="7" xfId="0" applyNumberFormat="1" applyFont="1" applyFill="1" applyBorder="1" applyAlignment="1">
      <alignment horizontal="right"/>
    </xf>
    <xf numFmtId="1" fontId="3" fillId="9" borderId="7" xfId="0" applyNumberFormat="1" applyFont="1" applyFill="1" applyBorder="1"/>
    <xf numFmtId="2" fontId="3" fillId="9" borderId="7" xfId="0" applyNumberFormat="1" applyFont="1" applyFill="1" applyBorder="1"/>
    <xf numFmtId="0" fontId="2" fillId="9" borderId="7" xfId="0" applyFont="1" applyFill="1" applyBorder="1"/>
    <xf numFmtId="0" fontId="3" fillId="7" borderId="11" xfId="0" applyFont="1" applyFill="1" applyBorder="1" applyAlignment="1">
      <alignment horizontal="right"/>
    </xf>
    <xf numFmtId="2" fontId="2" fillId="9" borderId="7" xfId="0" applyNumberFormat="1" applyFont="1" applyFill="1" applyBorder="1"/>
    <xf numFmtId="0" fontId="2" fillId="16" borderId="9" xfId="0" applyFont="1" applyFill="1" applyBorder="1"/>
    <xf numFmtId="0" fontId="2" fillId="7" borderId="2" xfId="0" applyFont="1" applyFill="1" applyBorder="1"/>
    <xf numFmtId="169" fontId="9" fillId="7" borderId="0" xfId="0" applyNumberFormat="1" applyFont="1" applyFill="1"/>
    <xf numFmtId="164" fontId="26" fillId="9" borderId="20" xfId="0" applyNumberFormat="1" applyFont="1" applyFill="1" applyBorder="1" applyAlignment="1">
      <alignment horizontal="right"/>
    </xf>
    <xf numFmtId="2" fontId="2" fillId="9" borderId="20" xfId="0" applyNumberFormat="1" applyFont="1" applyFill="1" applyBorder="1"/>
    <xf numFmtId="0" fontId="2" fillId="9" borderId="20" xfId="0" applyFont="1" applyFill="1" applyBorder="1"/>
    <xf numFmtId="0" fontId="2" fillId="7" borderId="12" xfId="0" applyFont="1" applyFill="1" applyBorder="1"/>
    <xf numFmtId="0" fontId="3" fillId="8" borderId="15" xfId="0" applyFont="1" applyFill="1" applyBorder="1" applyAlignment="1">
      <alignment horizontal="right"/>
    </xf>
    <xf numFmtId="164" fontId="3" fillId="8" borderId="17" xfId="0" applyNumberFormat="1" applyFont="1" applyFill="1" applyBorder="1"/>
    <xf numFmtId="0" fontId="3" fillId="8" borderId="17" xfId="0" applyFont="1" applyFill="1" applyBorder="1" applyAlignment="1">
      <alignment horizontal="right"/>
    </xf>
    <xf numFmtId="164" fontId="26" fillId="0" borderId="22" xfId="0" applyNumberFormat="1" applyFont="1" applyBorder="1" applyAlignment="1">
      <alignment horizontal="right"/>
    </xf>
    <xf numFmtId="1" fontId="3" fillId="0" borderId="21" xfId="0" applyNumberFormat="1" applyFont="1" applyBorder="1"/>
    <xf numFmtId="1" fontId="3" fillId="8" borderId="15" xfId="0" applyNumberFormat="1" applyFont="1" applyFill="1" applyBorder="1"/>
    <xf numFmtId="164" fontId="3" fillId="7" borderId="21" xfId="0" applyNumberFormat="1" applyFont="1" applyFill="1" applyBorder="1" applyAlignment="1">
      <alignment horizontal="right"/>
    </xf>
    <xf numFmtId="1" fontId="3" fillId="8" borderId="17" xfId="0" applyNumberFormat="1" applyFont="1" applyFill="1" applyBorder="1"/>
    <xf numFmtId="1" fontId="3" fillId="0" borderId="22" xfId="0" applyNumberFormat="1" applyFont="1" applyBorder="1"/>
    <xf numFmtId="1" fontId="3" fillId="8" borderId="14" xfId="0" applyNumberFormat="1" applyFont="1" applyFill="1" applyBorder="1"/>
    <xf numFmtId="2" fontId="3" fillId="8" borderId="17" xfId="0" applyNumberFormat="1" applyFont="1" applyFill="1" applyBorder="1"/>
    <xf numFmtId="2" fontId="2" fillId="0" borderId="24" xfId="0" applyNumberFormat="1" applyFont="1" applyBorder="1"/>
    <xf numFmtId="2" fontId="2" fillId="8" borderId="37" xfId="0" applyNumberFormat="1" applyFont="1" applyFill="1" applyBorder="1"/>
    <xf numFmtId="2" fontId="2" fillId="9" borderId="9" xfId="0" applyNumberFormat="1" applyFont="1" applyFill="1" applyBorder="1"/>
    <xf numFmtId="2" fontId="2" fillId="7" borderId="33" xfId="0" applyNumberFormat="1" applyFont="1" applyFill="1" applyBorder="1"/>
    <xf numFmtId="0" fontId="2" fillId="0" borderId="22" xfId="0" applyFont="1" applyBorder="1"/>
    <xf numFmtId="0" fontId="3" fillId="7" borderId="22" xfId="0" applyFont="1" applyFill="1" applyBorder="1"/>
    <xf numFmtId="0" fontId="2" fillId="0" borderId="1" xfId="0" applyFont="1" applyFill="1" applyBorder="1"/>
    <xf numFmtId="167" fontId="15" fillId="3" borderId="18" xfId="0" applyNumberFormat="1" applyFont="1" applyFill="1" applyBorder="1" applyAlignment="1">
      <alignment horizontal="center"/>
    </xf>
    <xf numFmtId="167" fontId="15" fillId="3" borderId="19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" fontId="8" fillId="11" borderId="7" xfId="0" applyNumberFormat="1" applyFont="1" applyFill="1" applyBorder="1" applyAlignment="1">
      <alignment horizontal="center" vertical="center"/>
    </xf>
    <xf numFmtId="1" fontId="8" fillId="11" borderId="9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8" fillId="15" borderId="9" xfId="0" applyNumberFormat="1" applyFont="1" applyFill="1" applyBorder="1" applyAlignment="1">
      <alignment horizontal="center" vertical="center"/>
    </xf>
    <xf numFmtId="167" fontId="15" fillId="8" borderId="31" xfId="0" applyNumberFormat="1" applyFont="1" applyFill="1" applyBorder="1" applyAlignment="1">
      <alignment horizontal="center"/>
    </xf>
    <xf numFmtId="167" fontId="15" fillId="8" borderId="32" xfId="0" applyNumberFormat="1" applyFont="1" applyFill="1" applyBorder="1" applyAlignment="1">
      <alignment horizontal="center"/>
    </xf>
    <xf numFmtId="164" fontId="2" fillId="0" borderId="33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CC"/>
      <color rgb="FFFFFF99"/>
      <color rgb="FFCCFFCC"/>
      <color rgb="FF66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85"/>
  <sheetViews>
    <sheetView tabSelected="1" zoomScale="120" zoomScaleNormal="120" workbookViewId="0">
      <pane ySplit="3" topLeftCell="A55" activePane="bottomLeft" state="frozen"/>
      <selection pane="bottomLeft" activeCell="A81" sqref="A81"/>
    </sheetView>
  </sheetViews>
  <sheetFormatPr defaultRowHeight="9" customHeight="1" x14ac:dyDescent="0.3"/>
  <cols>
    <col min="1" max="1" width="4" style="3" customWidth="1"/>
    <col min="2" max="2" width="19.42578125" style="3" customWidth="1"/>
    <col min="3" max="3" width="10.85546875" style="4" customWidth="1"/>
    <col min="4" max="4" width="8.42578125" style="4" customWidth="1"/>
    <col min="5" max="5" width="5" style="5" customWidth="1"/>
    <col min="6" max="6" width="10.7109375" style="4" customWidth="1"/>
    <col min="7" max="7" width="5.28515625" style="8" customWidth="1"/>
    <col min="8" max="8" width="6.42578125" style="135" customWidth="1"/>
    <col min="9" max="9" width="7.28515625" style="7" customWidth="1"/>
    <col min="10" max="10" width="6.140625" style="7" customWidth="1"/>
    <col min="11" max="11" width="8.140625" style="7" customWidth="1"/>
    <col min="12" max="12" width="7" style="7" customWidth="1"/>
    <col min="13" max="13" width="7.5703125" style="7" customWidth="1"/>
    <col min="14" max="14" width="5.28515625" style="7" customWidth="1"/>
    <col min="15" max="15" width="5.5703125" style="7" customWidth="1"/>
    <col min="16" max="16" width="6.28515625" style="7" customWidth="1"/>
    <col min="17" max="17" width="6.42578125" style="7" customWidth="1"/>
    <col min="18" max="18" width="6.5703125" style="7" customWidth="1"/>
    <col min="19" max="19" width="5.42578125" style="7" customWidth="1"/>
    <col min="20" max="20" width="5.140625" style="7" customWidth="1"/>
    <col min="21" max="21" width="7" style="6" customWidth="1"/>
    <col min="22" max="22" width="12.5703125" style="107" customWidth="1"/>
    <col min="23" max="23" width="4" style="3" customWidth="1"/>
    <col min="24" max="24" width="3.140625" style="2" customWidth="1"/>
    <col min="25" max="25" width="4.140625" style="2" customWidth="1"/>
    <col min="26" max="26" width="10.85546875" style="26" customWidth="1"/>
    <col min="27" max="16384" width="9.140625" style="3"/>
  </cols>
  <sheetData>
    <row r="1" spans="1:27" s="10" customFormat="1" ht="18.75" customHeight="1" thickBot="1" x14ac:dyDescent="0.3">
      <c r="A1" s="456">
        <v>44089</v>
      </c>
      <c r="B1" s="457"/>
      <c r="C1" s="137" t="s">
        <v>31</v>
      </c>
      <c r="D1" s="1"/>
      <c r="E1" s="72"/>
      <c r="F1" s="73"/>
      <c r="G1" s="74"/>
      <c r="H1" s="131"/>
      <c r="I1" s="75"/>
      <c r="J1" s="193"/>
      <c r="K1" s="75"/>
      <c r="L1" s="75"/>
      <c r="M1" s="75"/>
      <c r="N1" s="75"/>
      <c r="P1" s="75"/>
      <c r="Q1" s="75"/>
      <c r="R1" s="75"/>
      <c r="S1" s="75"/>
      <c r="T1" s="75"/>
      <c r="U1" s="194"/>
      <c r="V1" s="76"/>
      <c r="W1" s="77"/>
      <c r="Z1" s="78"/>
    </row>
    <row r="2" spans="1:27" s="2" customFormat="1" ht="31.5" customHeight="1" thickBot="1" x14ac:dyDescent="0.35">
      <c r="A2" s="35"/>
      <c r="B2" s="9" t="s">
        <v>1</v>
      </c>
      <c r="C2" s="128" t="s">
        <v>33</v>
      </c>
      <c r="D2" s="69" t="s">
        <v>20</v>
      </c>
      <c r="E2" s="195" t="s">
        <v>41</v>
      </c>
      <c r="F2" s="95" t="s">
        <v>3</v>
      </c>
      <c r="G2" s="96" t="s">
        <v>42</v>
      </c>
      <c r="H2" s="132" t="s">
        <v>135</v>
      </c>
      <c r="I2" s="117" t="s">
        <v>57</v>
      </c>
      <c r="J2" s="196" t="s">
        <v>55</v>
      </c>
      <c r="K2" s="118" t="s">
        <v>56</v>
      </c>
      <c r="L2" s="124" t="s">
        <v>136</v>
      </c>
      <c r="M2" s="197" t="s">
        <v>37</v>
      </c>
      <c r="N2" s="125" t="s">
        <v>51</v>
      </c>
      <c r="O2" s="146" t="s">
        <v>61</v>
      </c>
      <c r="P2" s="126" t="s">
        <v>58</v>
      </c>
      <c r="Q2" s="126" t="s">
        <v>59</v>
      </c>
      <c r="R2" s="126" t="s">
        <v>60</v>
      </c>
      <c r="S2" s="149" t="s">
        <v>63</v>
      </c>
      <c r="T2" s="127" t="s">
        <v>62</v>
      </c>
      <c r="U2" s="115" t="s">
        <v>17</v>
      </c>
      <c r="V2" s="116" t="s">
        <v>10</v>
      </c>
      <c r="W2" s="97" t="s">
        <v>15</v>
      </c>
      <c r="X2" s="45" t="s">
        <v>16</v>
      </c>
      <c r="Y2" s="45" t="s">
        <v>19</v>
      </c>
      <c r="Z2" s="27"/>
    </row>
    <row r="3" spans="1:27" s="2" customFormat="1" ht="6.75" customHeight="1" thickBot="1" x14ac:dyDescent="0.35">
      <c r="A3" s="84"/>
      <c r="B3" s="85"/>
      <c r="C3" s="129"/>
      <c r="D3" s="86"/>
      <c r="E3" s="42"/>
      <c r="F3" s="87"/>
      <c r="G3" s="88"/>
      <c r="H3" s="133"/>
      <c r="I3" s="89"/>
      <c r="J3" s="91"/>
      <c r="K3" s="91"/>
      <c r="L3" s="91"/>
      <c r="M3" s="91"/>
      <c r="N3" s="89"/>
      <c r="O3" s="91"/>
      <c r="P3" s="89"/>
      <c r="Q3" s="92"/>
      <c r="R3" s="90"/>
      <c r="S3" s="89"/>
      <c r="T3" s="90"/>
      <c r="U3" s="198"/>
      <c r="V3" s="93"/>
      <c r="W3" s="94"/>
      <c r="X3" s="80"/>
      <c r="Y3" s="80"/>
      <c r="Z3" s="81"/>
    </row>
    <row r="4" spans="1:27" ht="15.75" customHeight="1" thickBot="1" x14ac:dyDescent="0.35">
      <c r="A4" s="36" t="s">
        <v>9</v>
      </c>
      <c r="B4" s="34" t="s">
        <v>47</v>
      </c>
      <c r="C4" s="37"/>
      <c r="D4" s="37"/>
      <c r="E4" s="62"/>
      <c r="F4" s="37"/>
      <c r="G4" s="38"/>
      <c r="H4" s="134"/>
      <c r="I4" s="33"/>
      <c r="J4" s="147"/>
      <c r="K4" s="33"/>
      <c r="L4" s="33"/>
      <c r="M4" s="33"/>
      <c r="N4" s="33"/>
      <c r="O4" s="147"/>
      <c r="P4" s="33"/>
      <c r="Q4" s="33"/>
      <c r="R4" s="33"/>
      <c r="S4" s="33"/>
      <c r="T4" s="33"/>
      <c r="U4" s="199"/>
      <c r="V4" s="106"/>
      <c r="W4" s="63"/>
      <c r="X4" s="34"/>
      <c r="Y4" s="200"/>
      <c r="Z4" s="201"/>
    </row>
    <row r="5" spans="1:27" ht="9" customHeight="1" x14ac:dyDescent="0.3">
      <c r="A5" s="202"/>
      <c r="B5" s="25"/>
      <c r="C5" s="203"/>
      <c r="D5" s="204"/>
      <c r="E5" s="167"/>
      <c r="F5" s="205"/>
      <c r="G5" s="206"/>
      <c r="H5" s="207"/>
      <c r="I5" s="208"/>
      <c r="J5" s="209"/>
      <c r="K5" s="209"/>
      <c r="L5" s="209"/>
      <c r="M5" s="209"/>
      <c r="N5" s="208"/>
      <c r="O5" s="209"/>
      <c r="P5" s="208"/>
      <c r="Q5" s="210"/>
      <c r="R5" s="211"/>
      <c r="S5" s="208"/>
      <c r="T5" s="211"/>
      <c r="U5" s="212"/>
      <c r="V5" s="213"/>
      <c r="W5" s="214"/>
      <c r="X5" s="110"/>
      <c r="Y5" s="215"/>
      <c r="Z5" s="216"/>
    </row>
    <row r="6" spans="1:27" s="2" customFormat="1" ht="14.1" customHeight="1" x14ac:dyDescent="0.3">
      <c r="A6" s="98" t="s">
        <v>44</v>
      </c>
      <c r="B6" s="3" t="s">
        <v>221</v>
      </c>
      <c r="C6" s="4"/>
      <c r="D6" s="70">
        <v>6250261</v>
      </c>
      <c r="E6" s="136">
        <v>44007</v>
      </c>
      <c r="F6" s="48" t="s">
        <v>222</v>
      </c>
      <c r="G6" s="79">
        <v>44075</v>
      </c>
      <c r="H6" s="130" t="s">
        <v>127</v>
      </c>
      <c r="I6" s="46">
        <v>14090</v>
      </c>
      <c r="J6" s="28"/>
      <c r="K6" s="28">
        <v>1980</v>
      </c>
      <c r="L6" s="28"/>
      <c r="M6" s="28"/>
      <c r="N6" s="46"/>
      <c r="O6" s="28"/>
      <c r="P6" s="46"/>
      <c r="Q6" s="7"/>
      <c r="R6" s="47"/>
      <c r="S6" s="46"/>
      <c r="T6" s="47"/>
      <c r="U6" s="32">
        <v>1303.33</v>
      </c>
      <c r="V6" s="71">
        <f>SUM(I6:U6)</f>
        <v>17373.330000000002</v>
      </c>
      <c r="W6" s="82" t="s">
        <v>7</v>
      </c>
      <c r="X6" s="2" t="s">
        <v>44</v>
      </c>
      <c r="Y6" s="83" t="s">
        <v>128</v>
      </c>
      <c r="Z6" s="180" t="s">
        <v>289</v>
      </c>
      <c r="AA6" s="83"/>
    </row>
    <row r="7" spans="1:27" s="2" customFormat="1" ht="12.75" customHeight="1" x14ac:dyDescent="0.3">
      <c r="A7" s="98" t="s">
        <v>35</v>
      </c>
      <c r="B7" s="3" t="s">
        <v>124</v>
      </c>
      <c r="C7" s="4"/>
      <c r="D7" s="70">
        <v>8220221</v>
      </c>
      <c r="E7" s="136">
        <v>44065</v>
      </c>
      <c r="F7" s="48" t="s">
        <v>45</v>
      </c>
      <c r="G7" s="79">
        <v>44065</v>
      </c>
      <c r="H7" s="130" t="s">
        <v>288</v>
      </c>
      <c r="I7" s="46"/>
      <c r="J7" s="28"/>
      <c r="K7" s="28"/>
      <c r="L7" s="28"/>
      <c r="M7" s="28"/>
      <c r="N7" s="46"/>
      <c r="O7" s="28"/>
      <c r="P7" s="46"/>
      <c r="Q7" s="7">
        <v>180</v>
      </c>
      <c r="R7" s="47">
        <v>90</v>
      </c>
      <c r="S7" s="46"/>
      <c r="T7" s="47"/>
      <c r="U7" s="32"/>
      <c r="V7" s="71">
        <f t="shared" ref="V7:V54" si="0">SUM(I7:U7)</f>
        <v>270</v>
      </c>
      <c r="W7" s="82" t="s">
        <v>7</v>
      </c>
      <c r="X7" s="2" t="s">
        <v>35</v>
      </c>
      <c r="Y7" s="83" t="s">
        <v>18</v>
      </c>
      <c r="Z7" s="217"/>
    </row>
    <row r="8" spans="1:27" ht="13.5" customHeight="1" x14ac:dyDescent="0.3">
      <c r="A8" s="98" t="s">
        <v>8</v>
      </c>
      <c r="B8" s="3" t="s">
        <v>126</v>
      </c>
      <c r="D8" s="70">
        <v>9010051</v>
      </c>
      <c r="E8" s="136">
        <v>44075</v>
      </c>
      <c r="F8" s="48" t="s">
        <v>51</v>
      </c>
      <c r="G8" s="79">
        <v>44075</v>
      </c>
      <c r="H8" s="130" t="s">
        <v>291</v>
      </c>
      <c r="I8" s="46"/>
      <c r="J8" s="28"/>
      <c r="K8" s="28"/>
      <c r="L8" s="28"/>
      <c r="M8" s="28"/>
      <c r="N8" s="46">
        <v>49</v>
      </c>
      <c r="O8" s="28">
        <v>39</v>
      </c>
      <c r="P8" s="46"/>
      <c r="R8" s="47"/>
      <c r="S8" s="46"/>
      <c r="T8" s="47"/>
      <c r="U8" s="32"/>
      <c r="V8" s="71">
        <f t="shared" si="0"/>
        <v>88</v>
      </c>
      <c r="W8" s="82" t="s">
        <v>29</v>
      </c>
      <c r="X8" s="2" t="s">
        <v>48</v>
      </c>
      <c r="Y8" s="83" t="s">
        <v>18</v>
      </c>
      <c r="Z8" s="217"/>
    </row>
    <row r="9" spans="1:27" ht="13.5" customHeight="1" x14ac:dyDescent="0.3">
      <c r="A9" s="98" t="s">
        <v>14</v>
      </c>
      <c r="B9" s="3" t="s">
        <v>76</v>
      </c>
      <c r="C9" s="4" t="s">
        <v>82</v>
      </c>
      <c r="D9" s="70">
        <v>9010052</v>
      </c>
      <c r="E9" s="136">
        <v>44075</v>
      </c>
      <c r="F9" s="48" t="s">
        <v>51</v>
      </c>
      <c r="G9" s="79">
        <v>44075</v>
      </c>
      <c r="H9" s="130" t="s">
        <v>291</v>
      </c>
      <c r="I9" s="46"/>
      <c r="J9" s="28"/>
      <c r="K9" s="28"/>
      <c r="L9" s="28"/>
      <c r="M9" s="28"/>
      <c r="N9" s="46">
        <v>237</v>
      </c>
      <c r="O9" s="28"/>
      <c r="P9" s="46"/>
      <c r="R9" s="47"/>
      <c r="S9" s="46"/>
      <c r="T9" s="47"/>
      <c r="U9" s="32"/>
      <c r="V9" s="71">
        <f t="shared" si="0"/>
        <v>237</v>
      </c>
      <c r="W9" s="82" t="s">
        <v>29</v>
      </c>
      <c r="X9" s="2" t="s">
        <v>14</v>
      </c>
      <c r="Y9" s="83" t="s">
        <v>18</v>
      </c>
      <c r="Z9" s="217"/>
    </row>
    <row r="10" spans="1:27" ht="13.5" customHeight="1" x14ac:dyDescent="0.3">
      <c r="A10" s="98" t="s">
        <v>14</v>
      </c>
      <c r="B10" s="3" t="s">
        <v>122</v>
      </c>
      <c r="D10" s="70">
        <v>7220041</v>
      </c>
      <c r="E10" s="136">
        <v>44034</v>
      </c>
      <c r="F10" s="48" t="s">
        <v>292</v>
      </c>
      <c r="G10" s="79">
        <v>44075</v>
      </c>
      <c r="H10" s="130" t="s">
        <v>293</v>
      </c>
      <c r="I10" s="46">
        <v>1865</v>
      </c>
      <c r="J10" s="28"/>
      <c r="K10" s="28">
        <v>540</v>
      </c>
      <c r="L10" s="28"/>
      <c r="M10" s="28"/>
      <c r="N10" s="46"/>
      <c r="O10" s="28"/>
      <c r="P10" s="46"/>
      <c r="R10" s="47">
        <v>450</v>
      </c>
      <c r="S10" s="46"/>
      <c r="T10" s="47"/>
      <c r="U10" s="32">
        <v>177.18</v>
      </c>
      <c r="V10" s="71">
        <f t="shared" si="0"/>
        <v>3032.18</v>
      </c>
      <c r="W10" s="82" t="s">
        <v>7</v>
      </c>
      <c r="X10" s="2" t="s">
        <v>35</v>
      </c>
      <c r="Y10" s="83" t="s">
        <v>128</v>
      </c>
      <c r="Z10" s="217" t="s">
        <v>127</v>
      </c>
    </row>
    <row r="11" spans="1:27" ht="13.5" customHeight="1" x14ac:dyDescent="0.3">
      <c r="A11" s="98" t="s">
        <v>93</v>
      </c>
      <c r="B11" s="3" t="s">
        <v>294</v>
      </c>
      <c r="D11" s="70">
        <v>8310106</v>
      </c>
      <c r="E11" s="136">
        <v>44074</v>
      </c>
      <c r="F11" s="48" t="s">
        <v>21</v>
      </c>
      <c r="G11" s="79">
        <v>44075</v>
      </c>
      <c r="H11" s="130" t="s">
        <v>295</v>
      </c>
      <c r="I11" s="46"/>
      <c r="J11" s="28"/>
      <c r="K11" s="28"/>
      <c r="L11" s="28"/>
      <c r="M11" s="28"/>
      <c r="N11" s="46"/>
      <c r="O11" s="28"/>
      <c r="P11" s="46"/>
      <c r="R11" s="47"/>
      <c r="S11" s="46">
        <v>53</v>
      </c>
      <c r="T11" s="47"/>
      <c r="U11" s="32">
        <v>4.4400000000000004</v>
      </c>
      <c r="V11" s="71">
        <f t="shared" si="0"/>
        <v>57.44</v>
      </c>
      <c r="W11" s="82" t="s">
        <v>36</v>
      </c>
      <c r="X11" s="2" t="s">
        <v>5</v>
      </c>
      <c r="Y11" s="83" t="s">
        <v>18</v>
      </c>
      <c r="Z11" s="217"/>
    </row>
    <row r="12" spans="1:27" ht="13.5" customHeight="1" x14ac:dyDescent="0.3">
      <c r="A12" s="98" t="s">
        <v>93</v>
      </c>
      <c r="B12" s="3" t="s">
        <v>244</v>
      </c>
      <c r="D12" s="70">
        <v>9010291</v>
      </c>
      <c r="E12" s="136">
        <v>44075</v>
      </c>
      <c r="F12" s="48" t="s">
        <v>21</v>
      </c>
      <c r="G12" s="79">
        <v>44075</v>
      </c>
      <c r="H12" s="130" t="s">
        <v>75</v>
      </c>
      <c r="I12" s="46"/>
      <c r="J12" s="28"/>
      <c r="K12" s="28"/>
      <c r="L12" s="28"/>
      <c r="M12" s="28"/>
      <c r="N12" s="46"/>
      <c r="O12" s="28"/>
      <c r="P12" s="46"/>
      <c r="R12" s="47"/>
      <c r="S12" s="46">
        <v>88</v>
      </c>
      <c r="T12" s="47">
        <v>18</v>
      </c>
      <c r="U12" s="32">
        <v>7.48</v>
      </c>
      <c r="V12" s="71">
        <f t="shared" si="0"/>
        <v>113.48</v>
      </c>
      <c r="W12" s="82" t="s">
        <v>36</v>
      </c>
      <c r="X12" s="2" t="s">
        <v>5</v>
      </c>
      <c r="Y12" s="83" t="s">
        <v>18</v>
      </c>
      <c r="Z12" s="217" t="s">
        <v>296</v>
      </c>
    </row>
    <row r="13" spans="1:27" ht="13.5" customHeight="1" x14ac:dyDescent="0.3">
      <c r="A13" s="98" t="s">
        <v>14</v>
      </c>
      <c r="B13" s="3" t="s">
        <v>299</v>
      </c>
      <c r="C13" s="4" t="s">
        <v>300</v>
      </c>
      <c r="D13" s="70">
        <v>1120042</v>
      </c>
      <c r="E13" s="136">
        <v>43842</v>
      </c>
      <c r="F13" s="48" t="s">
        <v>301</v>
      </c>
      <c r="G13" s="79">
        <v>44076</v>
      </c>
      <c r="H13" s="130" t="s">
        <v>293</v>
      </c>
      <c r="I13" s="46">
        <v>3310</v>
      </c>
      <c r="J13" s="28"/>
      <c r="K13" s="28">
        <v>900</v>
      </c>
      <c r="L13" s="28"/>
      <c r="M13" s="28"/>
      <c r="N13" s="46"/>
      <c r="O13" s="28"/>
      <c r="P13" s="46"/>
      <c r="R13" s="47">
        <v>495</v>
      </c>
      <c r="S13" s="46"/>
      <c r="T13" s="47"/>
      <c r="U13" s="32">
        <v>264.8</v>
      </c>
      <c r="V13" s="71">
        <f t="shared" si="0"/>
        <v>4969.8</v>
      </c>
      <c r="W13" s="82" t="s">
        <v>7</v>
      </c>
      <c r="X13" s="2" t="s">
        <v>35</v>
      </c>
      <c r="Y13" s="83" t="s">
        <v>128</v>
      </c>
      <c r="Z13" s="217" t="s">
        <v>127</v>
      </c>
    </row>
    <row r="14" spans="1:27" ht="13.5" customHeight="1" x14ac:dyDescent="0.3">
      <c r="A14" s="98" t="s">
        <v>93</v>
      </c>
      <c r="B14" s="3" t="s">
        <v>302</v>
      </c>
      <c r="D14" s="70">
        <v>9029292</v>
      </c>
      <c r="E14" s="136">
        <v>44076</v>
      </c>
      <c r="F14" s="48" t="s">
        <v>21</v>
      </c>
      <c r="G14" s="79">
        <v>44076</v>
      </c>
      <c r="H14" s="130" t="s">
        <v>75</v>
      </c>
      <c r="I14" s="46"/>
      <c r="J14" s="28"/>
      <c r="K14" s="28"/>
      <c r="L14" s="28"/>
      <c r="M14" s="28"/>
      <c r="N14" s="46"/>
      <c r="O14" s="28"/>
      <c r="P14" s="46"/>
      <c r="R14" s="47"/>
      <c r="S14" s="46">
        <v>119</v>
      </c>
      <c r="T14" s="47"/>
      <c r="U14" s="32">
        <v>10.119999999999999</v>
      </c>
      <c r="V14" s="71">
        <f t="shared" si="0"/>
        <v>129.12</v>
      </c>
      <c r="W14" s="82" t="s">
        <v>36</v>
      </c>
      <c r="X14" s="2" t="s">
        <v>93</v>
      </c>
      <c r="Y14" s="83" t="s">
        <v>18</v>
      </c>
      <c r="Z14" s="217"/>
    </row>
    <row r="15" spans="1:27" ht="13.5" customHeight="1" x14ac:dyDescent="0.3">
      <c r="A15" s="98" t="s">
        <v>93</v>
      </c>
      <c r="B15" s="3" t="s">
        <v>303</v>
      </c>
      <c r="C15" s="4" t="s">
        <v>304</v>
      </c>
      <c r="D15" s="70">
        <v>9020291</v>
      </c>
      <c r="E15" s="136">
        <v>44076</v>
      </c>
      <c r="F15" s="48" t="s">
        <v>21</v>
      </c>
      <c r="G15" s="79">
        <v>44076</v>
      </c>
      <c r="H15" s="130" t="s">
        <v>306</v>
      </c>
      <c r="I15" s="46"/>
      <c r="J15" s="28"/>
      <c r="K15" s="28"/>
      <c r="L15" s="28"/>
      <c r="M15" s="28"/>
      <c r="N15" s="46"/>
      <c r="O15" s="28"/>
      <c r="P15" s="46"/>
      <c r="R15" s="47"/>
      <c r="S15" s="46">
        <v>153</v>
      </c>
      <c r="T15" s="47"/>
      <c r="U15" s="32">
        <v>14.92</v>
      </c>
      <c r="V15" s="71">
        <f t="shared" si="0"/>
        <v>167.92</v>
      </c>
      <c r="W15" s="82" t="s">
        <v>36</v>
      </c>
      <c r="X15" s="2" t="s">
        <v>5</v>
      </c>
      <c r="Y15" s="83" t="s">
        <v>128</v>
      </c>
      <c r="Z15" s="217" t="s">
        <v>289</v>
      </c>
    </row>
    <row r="16" spans="1:27" ht="14.25" customHeight="1" x14ac:dyDescent="0.3">
      <c r="A16" s="98" t="s">
        <v>48</v>
      </c>
      <c r="B16" s="3" t="s">
        <v>307</v>
      </c>
      <c r="D16" s="70">
        <v>9020251</v>
      </c>
      <c r="E16" s="136">
        <v>44076</v>
      </c>
      <c r="F16" s="48" t="s">
        <v>21</v>
      </c>
      <c r="G16" s="79">
        <v>44076</v>
      </c>
      <c r="H16" s="130" t="s">
        <v>305</v>
      </c>
      <c r="I16" s="46"/>
      <c r="J16" s="28"/>
      <c r="K16" s="28"/>
      <c r="L16" s="28"/>
      <c r="M16" s="28"/>
      <c r="N16" s="46"/>
      <c r="O16" s="28"/>
      <c r="P16" s="46"/>
      <c r="R16" s="47"/>
      <c r="S16" s="46">
        <v>50</v>
      </c>
      <c r="T16" s="47">
        <v>18</v>
      </c>
      <c r="U16" s="32">
        <v>4.5</v>
      </c>
      <c r="V16" s="71">
        <f t="shared" si="0"/>
        <v>72.5</v>
      </c>
      <c r="W16" s="82" t="s">
        <v>36</v>
      </c>
      <c r="X16" s="2" t="s">
        <v>93</v>
      </c>
      <c r="Y16" s="83" t="s">
        <v>128</v>
      </c>
      <c r="Z16" s="217" t="s">
        <v>289</v>
      </c>
    </row>
    <row r="17" spans="1:26" ht="14.25" customHeight="1" x14ac:dyDescent="0.3">
      <c r="A17" s="98" t="s">
        <v>93</v>
      </c>
      <c r="B17" s="3" t="s">
        <v>313</v>
      </c>
      <c r="D17" s="70">
        <v>9030291</v>
      </c>
      <c r="E17" s="136">
        <v>44077</v>
      </c>
      <c r="F17" s="48" t="s">
        <v>21</v>
      </c>
      <c r="G17" s="79">
        <v>44077</v>
      </c>
      <c r="H17" s="130" t="s">
        <v>75</v>
      </c>
      <c r="I17" s="46"/>
      <c r="J17" s="28"/>
      <c r="K17" s="28"/>
      <c r="L17" s="28"/>
      <c r="M17" s="28"/>
      <c r="N17" s="46"/>
      <c r="O17" s="28"/>
      <c r="P17" s="46"/>
      <c r="R17" s="47"/>
      <c r="S17" s="46">
        <v>116</v>
      </c>
      <c r="T17" s="47"/>
      <c r="U17" s="32">
        <v>9.86</v>
      </c>
      <c r="V17" s="71">
        <f t="shared" si="0"/>
        <v>125.86</v>
      </c>
      <c r="W17" s="82" t="s">
        <v>36</v>
      </c>
      <c r="X17" s="2" t="s">
        <v>80</v>
      </c>
      <c r="Y17" s="83" t="s">
        <v>128</v>
      </c>
      <c r="Z17" s="217" t="s">
        <v>127</v>
      </c>
    </row>
    <row r="18" spans="1:26" ht="14.25" customHeight="1" x14ac:dyDescent="0.3">
      <c r="A18" s="98" t="s">
        <v>93</v>
      </c>
      <c r="B18" s="3" t="s">
        <v>219</v>
      </c>
      <c r="C18" s="4" t="s">
        <v>305</v>
      </c>
      <c r="D18" s="70">
        <v>9030294</v>
      </c>
      <c r="E18" s="136">
        <v>44077</v>
      </c>
      <c r="F18" s="48" t="s">
        <v>21</v>
      </c>
      <c r="G18" s="79">
        <v>44077</v>
      </c>
      <c r="H18" s="130" t="s">
        <v>305</v>
      </c>
      <c r="I18" s="46"/>
      <c r="J18" s="28"/>
      <c r="K18" s="28"/>
      <c r="L18" s="28"/>
      <c r="M18" s="28"/>
      <c r="N18" s="46"/>
      <c r="O18" s="28"/>
      <c r="P18" s="46"/>
      <c r="R18" s="47"/>
      <c r="S18" s="46">
        <v>80</v>
      </c>
      <c r="T18" s="47"/>
      <c r="U18" s="32">
        <v>7.2</v>
      </c>
      <c r="V18" s="71">
        <f t="shared" si="0"/>
        <v>87.2</v>
      </c>
      <c r="W18" s="82" t="s">
        <v>36</v>
      </c>
      <c r="X18" s="2" t="s">
        <v>5</v>
      </c>
      <c r="Y18" s="83" t="s">
        <v>18</v>
      </c>
      <c r="Z18" s="217"/>
    </row>
    <row r="19" spans="1:26" ht="14.25" customHeight="1" x14ac:dyDescent="0.3">
      <c r="A19" s="98" t="s">
        <v>93</v>
      </c>
      <c r="B19" s="3" t="s">
        <v>219</v>
      </c>
      <c r="C19" s="4" t="s">
        <v>314</v>
      </c>
      <c r="D19" s="70">
        <v>9030295</v>
      </c>
      <c r="E19" s="136">
        <v>44077</v>
      </c>
      <c r="F19" s="48" t="s">
        <v>21</v>
      </c>
      <c r="G19" s="79">
        <v>44077</v>
      </c>
      <c r="H19" s="130" t="s">
        <v>315</v>
      </c>
      <c r="I19" s="46"/>
      <c r="J19" s="28"/>
      <c r="K19" s="28"/>
      <c r="L19" s="28"/>
      <c r="M19" s="28"/>
      <c r="N19" s="46"/>
      <c r="O19" s="28"/>
      <c r="P19" s="46"/>
      <c r="R19" s="47"/>
      <c r="S19" s="46">
        <v>55</v>
      </c>
      <c r="T19" s="47"/>
      <c r="U19" s="32">
        <v>4.95</v>
      </c>
      <c r="V19" s="71">
        <f t="shared" si="0"/>
        <v>59.95</v>
      </c>
      <c r="W19" s="82" t="s">
        <v>36</v>
      </c>
      <c r="X19" s="2" t="s">
        <v>5</v>
      </c>
      <c r="Y19" s="83" t="s">
        <v>18</v>
      </c>
      <c r="Z19" s="217"/>
    </row>
    <row r="20" spans="1:26" ht="14.25" customHeight="1" x14ac:dyDescent="0.3">
      <c r="A20" s="98" t="s">
        <v>93</v>
      </c>
      <c r="B20" s="3" t="s">
        <v>316</v>
      </c>
      <c r="D20" s="70">
        <v>9030292</v>
      </c>
      <c r="E20" s="136">
        <v>44077</v>
      </c>
      <c r="F20" s="48" t="s">
        <v>21</v>
      </c>
      <c r="G20" s="79">
        <v>44077</v>
      </c>
      <c r="H20" s="130" t="s">
        <v>291</v>
      </c>
      <c r="I20" s="46"/>
      <c r="J20" s="28"/>
      <c r="K20" s="28"/>
      <c r="L20" s="28"/>
      <c r="M20" s="28"/>
      <c r="N20" s="46"/>
      <c r="O20" s="28"/>
      <c r="P20" s="46"/>
      <c r="R20" s="47"/>
      <c r="S20" s="46">
        <v>919</v>
      </c>
      <c r="T20" s="47"/>
      <c r="U20" s="32">
        <v>89.6</v>
      </c>
      <c r="V20" s="71">
        <f t="shared" si="0"/>
        <v>1008.6</v>
      </c>
      <c r="W20" s="82" t="s">
        <v>39</v>
      </c>
      <c r="X20" s="2" t="s">
        <v>317</v>
      </c>
      <c r="Y20" s="83" t="s">
        <v>128</v>
      </c>
      <c r="Z20" s="217" t="s">
        <v>127</v>
      </c>
    </row>
    <row r="21" spans="1:26" ht="14.25" customHeight="1" x14ac:dyDescent="0.3">
      <c r="A21" s="98" t="s">
        <v>6</v>
      </c>
      <c r="B21" s="3" t="s">
        <v>126</v>
      </c>
      <c r="C21" s="4" t="s">
        <v>211</v>
      </c>
      <c r="D21" s="70">
        <v>9030071</v>
      </c>
      <c r="E21" s="136">
        <v>44077</v>
      </c>
      <c r="F21" s="48" t="s">
        <v>45</v>
      </c>
      <c r="G21" s="79">
        <v>44077</v>
      </c>
      <c r="H21" s="130" t="s">
        <v>331</v>
      </c>
      <c r="I21" s="46"/>
      <c r="J21" s="28"/>
      <c r="K21" s="28"/>
      <c r="L21" s="28"/>
      <c r="M21" s="28"/>
      <c r="N21" s="46"/>
      <c r="O21" s="28"/>
      <c r="P21" s="46"/>
      <c r="Q21" s="7">
        <v>180</v>
      </c>
      <c r="R21" s="47">
        <v>90</v>
      </c>
      <c r="S21" s="46"/>
      <c r="T21" s="47"/>
      <c r="U21" s="32"/>
      <c r="V21" s="71">
        <f t="shared" si="0"/>
        <v>270</v>
      </c>
      <c r="W21" s="82" t="s">
        <v>7</v>
      </c>
      <c r="X21" s="2" t="s">
        <v>6</v>
      </c>
      <c r="Y21" s="83" t="s">
        <v>18</v>
      </c>
      <c r="Z21" s="217"/>
    </row>
    <row r="22" spans="1:26" ht="14.25" customHeight="1" x14ac:dyDescent="0.3">
      <c r="A22" s="98" t="s">
        <v>78</v>
      </c>
      <c r="B22" s="3" t="s">
        <v>86</v>
      </c>
      <c r="C22" s="4">
        <v>2304</v>
      </c>
      <c r="D22" s="70">
        <v>9040301</v>
      </c>
      <c r="E22" s="136">
        <v>44078</v>
      </c>
      <c r="F22" s="48" t="s">
        <v>45</v>
      </c>
      <c r="G22" s="79">
        <v>44078</v>
      </c>
      <c r="H22" s="130" t="s">
        <v>75</v>
      </c>
      <c r="I22" s="46"/>
      <c r="J22" s="28"/>
      <c r="K22" s="28"/>
      <c r="L22" s="28"/>
      <c r="M22" s="28"/>
      <c r="N22" s="46"/>
      <c r="O22" s="28"/>
      <c r="P22" s="46"/>
      <c r="Q22" s="7">
        <v>180</v>
      </c>
      <c r="R22" s="47"/>
      <c r="S22" s="46"/>
      <c r="T22" s="47"/>
      <c r="U22" s="32"/>
      <c r="V22" s="71">
        <f t="shared" si="0"/>
        <v>180</v>
      </c>
      <c r="W22" s="82" t="s">
        <v>7</v>
      </c>
      <c r="X22" s="2" t="s">
        <v>74</v>
      </c>
      <c r="Y22" s="83" t="s">
        <v>18</v>
      </c>
      <c r="Z22" s="217"/>
    </row>
    <row r="23" spans="1:26" ht="14.25" customHeight="1" x14ac:dyDescent="0.3">
      <c r="A23" s="98" t="s">
        <v>78</v>
      </c>
      <c r="B23" s="3" t="s">
        <v>86</v>
      </c>
      <c r="C23" s="4" t="s">
        <v>332</v>
      </c>
      <c r="D23" s="70">
        <v>9030301</v>
      </c>
      <c r="E23" s="136">
        <v>44077</v>
      </c>
      <c r="F23" s="48" t="s">
        <v>45</v>
      </c>
      <c r="G23" s="79">
        <v>44077</v>
      </c>
      <c r="H23" s="130" t="s">
        <v>75</v>
      </c>
      <c r="I23" s="46"/>
      <c r="J23" s="28"/>
      <c r="K23" s="28"/>
      <c r="L23" s="28"/>
      <c r="M23" s="28"/>
      <c r="N23" s="46"/>
      <c r="O23" s="28"/>
      <c r="P23" s="46"/>
      <c r="Q23" s="7">
        <v>180</v>
      </c>
      <c r="R23" s="47"/>
      <c r="S23" s="46"/>
      <c r="T23" s="47"/>
      <c r="U23" s="32"/>
      <c r="V23" s="71">
        <f t="shared" si="0"/>
        <v>180</v>
      </c>
      <c r="W23" s="82" t="s">
        <v>7</v>
      </c>
      <c r="X23" s="2" t="s">
        <v>74</v>
      </c>
      <c r="Y23" s="83" t="s">
        <v>18</v>
      </c>
      <c r="Z23" s="217"/>
    </row>
    <row r="24" spans="1:26" ht="14.25" customHeight="1" x14ac:dyDescent="0.3">
      <c r="A24" s="98" t="s">
        <v>78</v>
      </c>
      <c r="B24" s="3" t="s">
        <v>118</v>
      </c>
      <c r="D24" s="70">
        <v>9040302</v>
      </c>
      <c r="E24" s="136">
        <v>44078</v>
      </c>
      <c r="F24" s="48" t="s">
        <v>45</v>
      </c>
      <c r="G24" s="79">
        <v>44075</v>
      </c>
      <c r="H24" s="130" t="s">
        <v>75</v>
      </c>
      <c r="I24" s="46"/>
      <c r="J24" s="28"/>
      <c r="K24" s="28"/>
      <c r="L24" s="28"/>
      <c r="M24" s="28"/>
      <c r="N24" s="46"/>
      <c r="O24" s="28"/>
      <c r="P24" s="46"/>
      <c r="Q24" s="7">
        <v>190</v>
      </c>
      <c r="R24" s="47">
        <v>90</v>
      </c>
      <c r="S24" s="46"/>
      <c r="T24" s="47"/>
      <c r="U24" s="32"/>
      <c r="V24" s="71">
        <f t="shared" si="0"/>
        <v>280</v>
      </c>
      <c r="W24" s="82" t="s">
        <v>7</v>
      </c>
      <c r="X24" s="2" t="s">
        <v>74</v>
      </c>
      <c r="Y24" s="83" t="s">
        <v>18</v>
      </c>
      <c r="Z24" s="217"/>
    </row>
    <row r="25" spans="1:26" ht="14.25" customHeight="1" x14ac:dyDescent="0.3">
      <c r="A25" s="98" t="s">
        <v>78</v>
      </c>
      <c r="B25" s="3" t="s">
        <v>333</v>
      </c>
      <c r="D25" s="70">
        <v>9030302</v>
      </c>
      <c r="E25" s="136">
        <v>44077</v>
      </c>
      <c r="F25" s="48" t="s">
        <v>45</v>
      </c>
      <c r="G25" s="79">
        <v>44077</v>
      </c>
      <c r="H25" s="130" t="s">
        <v>75</v>
      </c>
      <c r="I25" s="46"/>
      <c r="J25" s="28"/>
      <c r="K25" s="28"/>
      <c r="L25" s="28"/>
      <c r="M25" s="28"/>
      <c r="N25" s="46"/>
      <c r="O25" s="28"/>
      <c r="P25" s="46"/>
      <c r="Q25" s="7">
        <v>180</v>
      </c>
      <c r="R25" s="47"/>
      <c r="S25" s="46"/>
      <c r="T25" s="47"/>
      <c r="U25" s="32"/>
      <c r="V25" s="71">
        <f t="shared" si="0"/>
        <v>180</v>
      </c>
      <c r="W25" s="82" t="s">
        <v>7</v>
      </c>
      <c r="X25" s="2" t="s">
        <v>74</v>
      </c>
      <c r="Y25" s="83" t="s">
        <v>18</v>
      </c>
      <c r="Z25" s="217"/>
    </row>
    <row r="26" spans="1:26" ht="14.25" customHeight="1" x14ac:dyDescent="0.3">
      <c r="A26" s="98" t="s">
        <v>5</v>
      </c>
      <c r="B26" s="3" t="s">
        <v>334</v>
      </c>
      <c r="C26" s="4" t="s">
        <v>335</v>
      </c>
      <c r="D26" s="70">
        <v>9040101</v>
      </c>
      <c r="E26" s="136">
        <v>44078</v>
      </c>
      <c r="F26" s="48" t="s">
        <v>21</v>
      </c>
      <c r="G26" s="79">
        <v>44078</v>
      </c>
      <c r="H26" s="130" t="s">
        <v>293</v>
      </c>
      <c r="I26" s="46"/>
      <c r="J26" s="28"/>
      <c r="K26" s="28"/>
      <c r="L26" s="28"/>
      <c r="M26" s="28"/>
      <c r="N26" s="46"/>
      <c r="O26" s="28"/>
      <c r="P26" s="46"/>
      <c r="R26" s="47"/>
      <c r="S26" s="46">
        <v>100</v>
      </c>
      <c r="T26" s="47"/>
      <c r="U26" s="32">
        <v>9.5</v>
      </c>
      <c r="V26" s="71">
        <f t="shared" si="0"/>
        <v>109.5</v>
      </c>
      <c r="W26" s="82" t="s">
        <v>36</v>
      </c>
      <c r="X26" s="2" t="s">
        <v>80</v>
      </c>
      <c r="Y26" s="83" t="s">
        <v>18</v>
      </c>
      <c r="Z26" s="217"/>
    </row>
    <row r="27" spans="1:26" ht="14.25" customHeight="1" x14ac:dyDescent="0.3">
      <c r="A27" s="98" t="s">
        <v>6</v>
      </c>
      <c r="B27" s="3" t="s">
        <v>95</v>
      </c>
      <c r="D27" s="70">
        <v>9030071</v>
      </c>
      <c r="E27" s="136">
        <v>44077</v>
      </c>
      <c r="F27" s="48" t="s">
        <v>21</v>
      </c>
      <c r="G27" s="79">
        <v>44077</v>
      </c>
      <c r="H27" s="130" t="s">
        <v>288</v>
      </c>
      <c r="I27" s="46"/>
      <c r="J27" s="28"/>
      <c r="K27" s="28"/>
      <c r="L27" s="28"/>
      <c r="M27" s="28"/>
      <c r="N27" s="46"/>
      <c r="O27" s="28"/>
      <c r="P27" s="46"/>
      <c r="R27" s="47"/>
      <c r="S27" s="46">
        <v>39</v>
      </c>
      <c r="T27" s="47"/>
      <c r="U27" s="32">
        <v>3.41</v>
      </c>
      <c r="V27" s="71">
        <f t="shared" si="0"/>
        <v>42.41</v>
      </c>
      <c r="W27" s="82" t="s">
        <v>7</v>
      </c>
      <c r="X27" s="2" t="s">
        <v>6</v>
      </c>
      <c r="Y27" s="83" t="s">
        <v>18</v>
      </c>
      <c r="Z27" s="217"/>
    </row>
    <row r="28" spans="1:26" s="2" customFormat="1" ht="14.1" customHeight="1" x14ac:dyDescent="0.3">
      <c r="A28" s="98" t="s">
        <v>93</v>
      </c>
      <c r="B28" s="3" t="s">
        <v>294</v>
      </c>
      <c r="C28" s="4"/>
      <c r="D28" s="70">
        <v>9040291</v>
      </c>
      <c r="E28" s="136">
        <v>44078</v>
      </c>
      <c r="F28" s="48" t="s">
        <v>21</v>
      </c>
      <c r="G28" s="79">
        <v>44078</v>
      </c>
      <c r="H28" s="130" t="s">
        <v>295</v>
      </c>
      <c r="I28" s="46"/>
      <c r="J28" s="28"/>
      <c r="K28" s="28"/>
      <c r="L28" s="28"/>
      <c r="M28" s="28"/>
      <c r="N28" s="46"/>
      <c r="O28" s="28"/>
      <c r="P28" s="46"/>
      <c r="Q28" s="7"/>
      <c r="R28" s="47"/>
      <c r="S28" s="46">
        <v>53</v>
      </c>
      <c r="T28" s="47"/>
      <c r="U28" s="32">
        <v>4.4400000000000004</v>
      </c>
      <c r="V28" s="71">
        <f t="shared" si="0"/>
        <v>57.44</v>
      </c>
      <c r="W28" s="82" t="s">
        <v>7</v>
      </c>
      <c r="X28" s="2" t="s">
        <v>93</v>
      </c>
      <c r="Y28" s="83" t="s">
        <v>18</v>
      </c>
      <c r="Z28" s="217"/>
    </row>
    <row r="29" spans="1:26" s="2" customFormat="1" ht="14.1" customHeight="1" x14ac:dyDescent="0.3">
      <c r="A29" s="98" t="s">
        <v>5</v>
      </c>
      <c r="B29" s="3" t="s">
        <v>360</v>
      </c>
      <c r="C29" s="4"/>
      <c r="D29" s="70">
        <v>9080102</v>
      </c>
      <c r="E29" s="136">
        <v>44082</v>
      </c>
      <c r="F29" s="48" t="s">
        <v>21</v>
      </c>
      <c r="G29" s="79">
        <v>44082</v>
      </c>
      <c r="H29" s="130" t="s">
        <v>75</v>
      </c>
      <c r="I29" s="46"/>
      <c r="J29" s="28"/>
      <c r="K29" s="28"/>
      <c r="L29" s="28"/>
      <c r="M29" s="28"/>
      <c r="N29" s="46"/>
      <c r="O29" s="28"/>
      <c r="P29" s="46"/>
      <c r="Q29" s="7"/>
      <c r="R29" s="47"/>
      <c r="S29" s="46">
        <v>322</v>
      </c>
      <c r="T29" s="47">
        <v>45</v>
      </c>
      <c r="U29" s="32">
        <v>27.37</v>
      </c>
      <c r="V29" s="71">
        <f t="shared" si="0"/>
        <v>394.37</v>
      </c>
      <c r="W29" s="82" t="s">
        <v>7</v>
      </c>
      <c r="X29" s="2" t="s">
        <v>6</v>
      </c>
      <c r="Y29" s="83" t="s">
        <v>18</v>
      </c>
      <c r="Z29" s="217"/>
    </row>
    <row r="30" spans="1:26" s="2" customFormat="1" ht="14.1" customHeight="1" x14ac:dyDescent="0.3">
      <c r="A30" s="98" t="s">
        <v>93</v>
      </c>
      <c r="B30" s="3" t="s">
        <v>336</v>
      </c>
      <c r="C30" s="4"/>
      <c r="D30" s="70">
        <v>9080104</v>
      </c>
      <c r="E30" s="136">
        <v>44082</v>
      </c>
      <c r="F30" s="48" t="s">
        <v>21</v>
      </c>
      <c r="G30" s="79">
        <v>44082</v>
      </c>
      <c r="H30" s="130" t="s">
        <v>291</v>
      </c>
      <c r="I30" s="46"/>
      <c r="J30" s="28"/>
      <c r="K30" s="28"/>
      <c r="L30" s="28"/>
      <c r="M30" s="28"/>
      <c r="N30" s="46"/>
      <c r="O30" s="28"/>
      <c r="P30" s="46"/>
      <c r="Q30" s="7"/>
      <c r="R30" s="47"/>
      <c r="S30" s="46">
        <v>110</v>
      </c>
      <c r="T30" s="47"/>
      <c r="U30" s="32">
        <v>9.9</v>
      </c>
      <c r="V30" s="71">
        <f t="shared" si="0"/>
        <v>119.9</v>
      </c>
      <c r="W30" s="82" t="s">
        <v>39</v>
      </c>
      <c r="X30" s="2" t="s">
        <v>337</v>
      </c>
      <c r="Y30" s="83" t="s">
        <v>128</v>
      </c>
      <c r="Z30" s="217" t="s">
        <v>338</v>
      </c>
    </row>
    <row r="31" spans="1:26" s="2" customFormat="1" ht="14.1" customHeight="1" x14ac:dyDescent="0.3">
      <c r="A31" s="98" t="s">
        <v>48</v>
      </c>
      <c r="B31" s="3" t="s">
        <v>339</v>
      </c>
      <c r="C31" s="4"/>
      <c r="D31" s="70">
        <v>9080251</v>
      </c>
      <c r="E31" s="136">
        <v>44082</v>
      </c>
      <c r="F31" s="48" t="s">
        <v>21</v>
      </c>
      <c r="G31" s="79">
        <v>44082</v>
      </c>
      <c r="H31" s="130" t="s">
        <v>258</v>
      </c>
      <c r="I31" s="46"/>
      <c r="J31" s="28"/>
      <c r="K31" s="28"/>
      <c r="L31" s="28"/>
      <c r="M31" s="28"/>
      <c r="N31" s="46"/>
      <c r="O31" s="28"/>
      <c r="P31" s="46"/>
      <c r="Q31" s="7"/>
      <c r="R31" s="47"/>
      <c r="S31" s="46">
        <v>59</v>
      </c>
      <c r="T31" s="47"/>
      <c r="U31" s="32">
        <v>4.57</v>
      </c>
      <c r="V31" s="71">
        <f t="shared" si="0"/>
        <v>63.57</v>
      </c>
      <c r="W31" s="82" t="s">
        <v>36</v>
      </c>
      <c r="X31" s="2" t="s">
        <v>5</v>
      </c>
      <c r="Y31" s="83" t="s">
        <v>18</v>
      </c>
      <c r="Z31" s="217"/>
    </row>
    <row r="32" spans="1:26" s="2" customFormat="1" ht="14.1" customHeight="1" x14ac:dyDescent="0.3">
      <c r="A32" s="98" t="s">
        <v>80</v>
      </c>
      <c r="B32" s="3" t="s">
        <v>340</v>
      </c>
      <c r="C32" s="4"/>
      <c r="D32" s="70">
        <v>9080031</v>
      </c>
      <c r="E32" s="136">
        <v>44082</v>
      </c>
      <c r="F32" s="48" t="s">
        <v>341</v>
      </c>
      <c r="G32" s="79">
        <v>44082</v>
      </c>
      <c r="H32" s="130" t="s">
        <v>291</v>
      </c>
      <c r="I32" s="46"/>
      <c r="J32" s="28"/>
      <c r="K32" s="28"/>
      <c r="L32" s="28"/>
      <c r="M32" s="28"/>
      <c r="N32" s="46"/>
      <c r="O32" s="28"/>
      <c r="P32" s="46">
        <v>200</v>
      </c>
      <c r="Q32" s="7"/>
      <c r="R32" s="47"/>
      <c r="S32" s="46"/>
      <c r="T32" s="47"/>
      <c r="U32" s="32">
        <v>18</v>
      </c>
      <c r="V32" s="71">
        <f t="shared" si="0"/>
        <v>218</v>
      </c>
      <c r="W32" s="82" t="s">
        <v>39</v>
      </c>
      <c r="X32" s="2" t="s">
        <v>342</v>
      </c>
      <c r="Y32" s="83" t="s">
        <v>18</v>
      </c>
      <c r="Z32" s="217"/>
    </row>
    <row r="33" spans="1:26" s="2" customFormat="1" ht="14.1" customHeight="1" x14ac:dyDescent="0.3">
      <c r="A33" s="98" t="s">
        <v>44</v>
      </c>
      <c r="B33" s="3" t="s">
        <v>343</v>
      </c>
      <c r="C33" s="4"/>
      <c r="D33" s="70">
        <v>9080264</v>
      </c>
      <c r="E33" s="136">
        <v>44082</v>
      </c>
      <c r="F33" s="48" t="s">
        <v>344</v>
      </c>
      <c r="G33" s="79">
        <v>44082</v>
      </c>
      <c r="H33" s="130" t="s">
        <v>345</v>
      </c>
      <c r="I33" s="46">
        <v>395</v>
      </c>
      <c r="J33" s="28"/>
      <c r="K33" s="28"/>
      <c r="L33" s="28"/>
      <c r="M33" s="28"/>
      <c r="N33" s="46"/>
      <c r="O33" s="28"/>
      <c r="P33" s="46"/>
      <c r="Q33" s="7"/>
      <c r="R33" s="47">
        <v>9</v>
      </c>
      <c r="S33" s="46"/>
      <c r="T33" s="47"/>
      <c r="U33" s="32">
        <v>38.51</v>
      </c>
      <c r="V33" s="71">
        <f t="shared" si="0"/>
        <v>442.51</v>
      </c>
      <c r="W33" s="82" t="s">
        <v>36</v>
      </c>
      <c r="X33" s="2" t="s">
        <v>5</v>
      </c>
      <c r="Y33" s="83" t="s">
        <v>18</v>
      </c>
      <c r="Z33" s="217"/>
    </row>
    <row r="34" spans="1:26" s="2" customFormat="1" ht="14.1" customHeight="1" x14ac:dyDescent="0.3">
      <c r="A34" s="98" t="s">
        <v>5</v>
      </c>
      <c r="B34" s="3" t="s">
        <v>346</v>
      </c>
      <c r="C34" s="4"/>
      <c r="D34" s="70">
        <v>9080051</v>
      </c>
      <c r="E34" s="136">
        <v>44082</v>
      </c>
      <c r="F34" s="48" t="s">
        <v>347</v>
      </c>
      <c r="G34" s="79">
        <v>44082</v>
      </c>
      <c r="H34" s="130" t="s">
        <v>291</v>
      </c>
      <c r="I34" s="46"/>
      <c r="J34" s="28"/>
      <c r="K34" s="28"/>
      <c r="L34" s="28">
        <v>136.16</v>
      </c>
      <c r="M34" s="28"/>
      <c r="N34" s="46"/>
      <c r="O34" s="28"/>
      <c r="P34" s="46"/>
      <c r="Q34" s="7"/>
      <c r="R34" s="47"/>
      <c r="S34" s="46"/>
      <c r="T34" s="47"/>
      <c r="U34" s="32"/>
      <c r="V34" s="71">
        <f t="shared" si="0"/>
        <v>136.16</v>
      </c>
      <c r="W34" s="82" t="s">
        <v>29</v>
      </c>
      <c r="X34" s="2" t="s">
        <v>5</v>
      </c>
      <c r="Y34" s="83" t="s">
        <v>128</v>
      </c>
      <c r="Z34" s="217" t="s">
        <v>348</v>
      </c>
    </row>
    <row r="35" spans="1:26" s="2" customFormat="1" ht="14.1" customHeight="1" thickBot="1" x14ac:dyDescent="0.35">
      <c r="A35" s="98" t="s">
        <v>8</v>
      </c>
      <c r="B35" s="3" t="s">
        <v>90</v>
      </c>
      <c r="C35" s="4"/>
      <c r="D35" s="70">
        <v>9070051</v>
      </c>
      <c r="E35" s="136">
        <v>44081</v>
      </c>
      <c r="F35" s="48" t="s">
        <v>51</v>
      </c>
      <c r="G35" s="79">
        <v>44082</v>
      </c>
      <c r="H35" s="130" t="s">
        <v>291</v>
      </c>
      <c r="I35" s="46"/>
      <c r="J35" s="28"/>
      <c r="K35" s="28"/>
      <c r="L35" s="28"/>
      <c r="M35" s="28"/>
      <c r="N35" s="46">
        <v>500</v>
      </c>
      <c r="O35" s="28">
        <v>450</v>
      </c>
      <c r="P35" s="46"/>
      <c r="Q35" s="7"/>
      <c r="R35" s="47"/>
      <c r="S35" s="46"/>
      <c r="T35" s="47"/>
      <c r="U35" s="32"/>
      <c r="V35" s="71">
        <f t="shared" si="0"/>
        <v>950</v>
      </c>
      <c r="W35" s="82" t="s">
        <v>29</v>
      </c>
      <c r="X35" s="2" t="s">
        <v>8</v>
      </c>
      <c r="Y35" s="83" t="s">
        <v>18</v>
      </c>
      <c r="Z35" s="217"/>
    </row>
    <row r="36" spans="1:26" s="2" customFormat="1" ht="14.1" customHeight="1" thickBot="1" x14ac:dyDescent="0.35">
      <c r="A36" s="98" t="s">
        <v>5</v>
      </c>
      <c r="B36" s="3" t="s">
        <v>212</v>
      </c>
      <c r="C36" s="4" t="s">
        <v>361</v>
      </c>
      <c r="D36" s="70">
        <v>8110065</v>
      </c>
      <c r="E36" s="136">
        <v>44054</v>
      </c>
      <c r="F36" s="48" t="s">
        <v>207</v>
      </c>
      <c r="G36" s="79">
        <v>44082</v>
      </c>
      <c r="H36" s="130" t="s">
        <v>349</v>
      </c>
      <c r="I36" s="46">
        <v>5995</v>
      </c>
      <c r="J36" s="28"/>
      <c r="K36" s="28">
        <v>1020</v>
      </c>
      <c r="L36" s="28"/>
      <c r="M36" s="28"/>
      <c r="N36" s="46"/>
      <c r="O36" s="28"/>
      <c r="P36" s="46"/>
      <c r="Q36" s="7"/>
      <c r="R36" s="47">
        <v>250</v>
      </c>
      <c r="S36" s="46"/>
      <c r="T36" s="47"/>
      <c r="U36" s="32"/>
      <c r="V36" s="71">
        <f t="shared" si="0"/>
        <v>7265</v>
      </c>
      <c r="W36" s="82" t="s">
        <v>36</v>
      </c>
      <c r="X36" s="2" t="s">
        <v>5</v>
      </c>
      <c r="Y36" s="381" t="s">
        <v>79</v>
      </c>
      <c r="Z36" s="217">
        <v>3905</v>
      </c>
    </row>
    <row r="37" spans="1:26" s="2" customFormat="1" ht="14.1" customHeight="1" x14ac:dyDescent="0.3">
      <c r="A37" s="98" t="s">
        <v>8</v>
      </c>
      <c r="B37" s="3" t="s">
        <v>353</v>
      </c>
      <c r="C37" s="4"/>
      <c r="D37" s="70">
        <v>9080012</v>
      </c>
      <c r="E37" s="136">
        <v>44082</v>
      </c>
      <c r="F37" s="48" t="s">
        <v>344</v>
      </c>
      <c r="G37" s="79">
        <v>44082</v>
      </c>
      <c r="H37" s="130" t="s">
        <v>75</v>
      </c>
      <c r="I37" s="46"/>
      <c r="J37" s="28"/>
      <c r="K37" s="28"/>
      <c r="L37" s="28"/>
      <c r="M37" s="28"/>
      <c r="N37" s="46"/>
      <c r="O37" s="28"/>
      <c r="P37" s="46">
        <v>250</v>
      </c>
      <c r="Q37" s="7"/>
      <c r="R37" s="47"/>
      <c r="S37" s="46"/>
      <c r="T37" s="47"/>
      <c r="U37" s="32">
        <v>21.25</v>
      </c>
      <c r="V37" s="71">
        <f t="shared" ref="V37:V53" si="1">SUM(I37:U37)</f>
        <v>271.25</v>
      </c>
      <c r="W37" s="82" t="s">
        <v>7</v>
      </c>
      <c r="X37" s="2" t="s">
        <v>8</v>
      </c>
      <c r="Y37" s="83" t="s">
        <v>18</v>
      </c>
      <c r="Z37" s="217"/>
    </row>
    <row r="38" spans="1:26" s="2" customFormat="1" ht="14.1" customHeight="1" x14ac:dyDescent="0.3">
      <c r="A38" s="98" t="s">
        <v>80</v>
      </c>
      <c r="B38" s="3" t="s">
        <v>354</v>
      </c>
      <c r="C38" s="4"/>
      <c r="D38" s="70">
        <v>9090031</v>
      </c>
      <c r="E38" s="136">
        <v>44083</v>
      </c>
      <c r="F38" s="48" t="s">
        <v>97</v>
      </c>
      <c r="G38" s="79">
        <v>44083</v>
      </c>
      <c r="H38" s="130" t="s">
        <v>291</v>
      </c>
      <c r="I38" s="46"/>
      <c r="J38" s="28"/>
      <c r="K38" s="28"/>
      <c r="L38" s="28"/>
      <c r="M38" s="28"/>
      <c r="N38" s="46"/>
      <c r="O38" s="28"/>
      <c r="P38" s="46">
        <v>80</v>
      </c>
      <c r="Q38" s="7">
        <v>135</v>
      </c>
      <c r="R38" s="47"/>
      <c r="S38" s="46"/>
      <c r="T38" s="47"/>
      <c r="U38" s="32">
        <v>7.2</v>
      </c>
      <c r="V38" s="71">
        <f t="shared" si="1"/>
        <v>222.2</v>
      </c>
      <c r="W38" s="82" t="s">
        <v>39</v>
      </c>
      <c r="X38" s="2" t="s">
        <v>131</v>
      </c>
      <c r="Y38" s="83" t="s">
        <v>128</v>
      </c>
      <c r="Z38" s="217" t="s">
        <v>127</v>
      </c>
    </row>
    <row r="39" spans="1:26" s="2" customFormat="1" ht="14.1" customHeight="1" x14ac:dyDescent="0.3">
      <c r="A39" s="98" t="s">
        <v>93</v>
      </c>
      <c r="B39" s="3" t="s">
        <v>357</v>
      </c>
      <c r="C39" s="4"/>
      <c r="D39" s="70">
        <v>9090291</v>
      </c>
      <c r="E39" s="136">
        <v>44083</v>
      </c>
      <c r="F39" s="48" t="s">
        <v>21</v>
      </c>
      <c r="G39" s="79">
        <v>44083</v>
      </c>
      <c r="H39" s="130" t="s">
        <v>75</v>
      </c>
      <c r="I39" s="46"/>
      <c r="J39" s="28"/>
      <c r="K39" s="28"/>
      <c r="L39" s="28"/>
      <c r="M39" s="28"/>
      <c r="N39" s="46"/>
      <c r="O39" s="28"/>
      <c r="P39" s="46"/>
      <c r="Q39" s="7"/>
      <c r="R39" s="47"/>
      <c r="S39" s="46">
        <v>122.5</v>
      </c>
      <c r="T39" s="47"/>
      <c r="U39" s="32">
        <v>10.41</v>
      </c>
      <c r="V39" s="71">
        <f t="shared" si="1"/>
        <v>132.91</v>
      </c>
      <c r="W39" s="82" t="s">
        <v>36</v>
      </c>
      <c r="X39" s="2" t="s">
        <v>5</v>
      </c>
      <c r="Y39" s="83" t="s">
        <v>18</v>
      </c>
      <c r="Z39" s="217"/>
    </row>
    <row r="40" spans="1:26" s="2" customFormat="1" ht="14.1" customHeight="1" x14ac:dyDescent="0.3">
      <c r="A40" s="98" t="s">
        <v>48</v>
      </c>
      <c r="B40" s="3" t="s">
        <v>232</v>
      </c>
      <c r="C40" s="4" t="s">
        <v>233</v>
      </c>
      <c r="D40" s="70">
        <v>9090251</v>
      </c>
      <c r="E40" s="136">
        <v>44083</v>
      </c>
      <c r="F40" s="48" t="s">
        <v>21</v>
      </c>
      <c r="G40" s="79">
        <v>44083</v>
      </c>
      <c r="H40" s="130" t="s">
        <v>291</v>
      </c>
      <c r="I40" s="46"/>
      <c r="J40" s="28"/>
      <c r="K40" s="28"/>
      <c r="L40" s="28"/>
      <c r="M40" s="28"/>
      <c r="N40" s="46"/>
      <c r="O40" s="28"/>
      <c r="P40" s="46"/>
      <c r="Q40" s="7">
        <v>150</v>
      </c>
      <c r="R40" s="47"/>
      <c r="S40" s="46"/>
      <c r="T40" s="47"/>
      <c r="U40" s="32"/>
      <c r="V40" s="71">
        <f t="shared" si="1"/>
        <v>150</v>
      </c>
      <c r="W40" s="82" t="s">
        <v>7</v>
      </c>
      <c r="X40" s="2" t="s">
        <v>48</v>
      </c>
      <c r="Y40" s="83" t="s">
        <v>18</v>
      </c>
      <c r="Z40" s="217"/>
    </row>
    <row r="41" spans="1:26" s="2" customFormat="1" ht="14.1" customHeight="1" x14ac:dyDescent="0.3">
      <c r="A41" s="98" t="s">
        <v>48</v>
      </c>
      <c r="B41" s="3" t="s">
        <v>364</v>
      </c>
      <c r="C41" s="4"/>
      <c r="D41" s="70">
        <v>9090252</v>
      </c>
      <c r="E41" s="136">
        <v>44083</v>
      </c>
      <c r="F41" s="48" t="s">
        <v>365</v>
      </c>
      <c r="G41" s="79">
        <v>44083</v>
      </c>
      <c r="H41" s="130" t="s">
        <v>291</v>
      </c>
      <c r="I41" s="46"/>
      <c r="J41" s="28"/>
      <c r="K41" s="28"/>
      <c r="L41" s="28"/>
      <c r="M41" s="28"/>
      <c r="N41" s="46"/>
      <c r="O41" s="28"/>
      <c r="P41" s="46"/>
      <c r="Q41" s="7">
        <v>45</v>
      </c>
      <c r="R41" s="47"/>
      <c r="S41" s="46"/>
      <c r="T41" s="47"/>
      <c r="U41" s="32"/>
      <c r="V41" s="71">
        <f t="shared" si="1"/>
        <v>45</v>
      </c>
      <c r="W41" s="82" t="s">
        <v>29</v>
      </c>
      <c r="X41" s="2" t="s">
        <v>366</v>
      </c>
      <c r="Y41" s="83" t="s">
        <v>18</v>
      </c>
      <c r="Z41" s="217"/>
    </row>
    <row r="42" spans="1:26" s="2" customFormat="1" ht="14.1" customHeight="1" x14ac:dyDescent="0.3">
      <c r="A42" s="98" t="s">
        <v>44</v>
      </c>
      <c r="B42" s="3" t="s">
        <v>202</v>
      </c>
      <c r="C42" s="4" t="s">
        <v>0</v>
      </c>
      <c r="D42" s="70">
        <v>9090292</v>
      </c>
      <c r="E42" s="136">
        <v>44083</v>
      </c>
      <c r="F42" s="48" t="s">
        <v>45</v>
      </c>
      <c r="G42" s="79">
        <v>44083</v>
      </c>
      <c r="H42" s="130" t="s">
        <v>127</v>
      </c>
      <c r="I42" s="46"/>
      <c r="J42" s="28"/>
      <c r="K42" s="28"/>
      <c r="L42" s="28"/>
      <c r="M42" s="28"/>
      <c r="N42" s="46"/>
      <c r="O42" s="28"/>
      <c r="P42" s="46"/>
      <c r="Q42" s="7">
        <v>180</v>
      </c>
      <c r="R42" s="47">
        <v>90</v>
      </c>
      <c r="S42" s="46"/>
      <c r="T42" s="47"/>
      <c r="U42" s="32"/>
      <c r="V42" s="71">
        <f t="shared" si="1"/>
        <v>270</v>
      </c>
      <c r="W42" s="82" t="s">
        <v>7</v>
      </c>
      <c r="X42" s="2" t="s">
        <v>44</v>
      </c>
      <c r="Y42" s="83" t="s">
        <v>18</v>
      </c>
      <c r="Z42" s="217"/>
    </row>
    <row r="43" spans="1:26" s="2" customFormat="1" ht="14.1" customHeight="1" x14ac:dyDescent="0.3">
      <c r="A43" s="98" t="s">
        <v>44</v>
      </c>
      <c r="B43" s="3" t="s">
        <v>356</v>
      </c>
      <c r="C43" s="4" t="s">
        <v>355</v>
      </c>
      <c r="D43" s="70">
        <v>9090261</v>
      </c>
      <c r="E43" s="136">
        <v>44083</v>
      </c>
      <c r="F43" s="48" t="s">
        <v>45</v>
      </c>
      <c r="G43" s="79">
        <v>44084</v>
      </c>
      <c r="H43" s="130" t="s">
        <v>306</v>
      </c>
      <c r="I43" s="46"/>
      <c r="J43" s="28"/>
      <c r="K43" s="28"/>
      <c r="L43" s="28"/>
      <c r="M43" s="28"/>
      <c r="N43" s="46"/>
      <c r="O43" s="28"/>
      <c r="P43" s="46"/>
      <c r="Q43" s="7">
        <v>180</v>
      </c>
      <c r="R43" s="47">
        <v>90</v>
      </c>
      <c r="S43" s="46"/>
      <c r="T43" s="47"/>
      <c r="U43" s="32"/>
      <c r="V43" s="71">
        <f>SUM(I43:U43)</f>
        <v>270</v>
      </c>
      <c r="W43" s="82" t="s">
        <v>7</v>
      </c>
      <c r="X43" s="2" t="s">
        <v>44</v>
      </c>
      <c r="Y43" s="83" t="s">
        <v>18</v>
      </c>
      <c r="Z43" s="217"/>
    </row>
    <row r="44" spans="1:26" s="2" customFormat="1" ht="14.1" customHeight="1" x14ac:dyDescent="0.3">
      <c r="A44" s="98" t="s">
        <v>5</v>
      </c>
      <c r="B44" s="3" t="s">
        <v>40</v>
      </c>
      <c r="C44" s="4"/>
      <c r="D44" s="70">
        <v>9100104</v>
      </c>
      <c r="E44" s="136">
        <v>44084</v>
      </c>
      <c r="F44" s="48" t="s">
        <v>89</v>
      </c>
      <c r="G44" s="79">
        <v>44084</v>
      </c>
      <c r="H44" s="130" t="s">
        <v>89</v>
      </c>
      <c r="I44" s="46"/>
      <c r="J44" s="28"/>
      <c r="K44" s="28"/>
      <c r="L44" s="28"/>
      <c r="M44" s="28"/>
      <c r="N44" s="46"/>
      <c r="O44" s="28"/>
      <c r="P44" s="46"/>
      <c r="Q44" s="7"/>
      <c r="R44" s="47"/>
      <c r="S44" s="46">
        <v>290</v>
      </c>
      <c r="T44" s="47"/>
      <c r="U44" s="32" t="s">
        <v>89</v>
      </c>
      <c r="V44" s="71">
        <f t="shared" si="1"/>
        <v>290</v>
      </c>
      <c r="W44" s="82" t="s">
        <v>36</v>
      </c>
      <c r="X44" s="2" t="s">
        <v>5</v>
      </c>
      <c r="Y44" s="83" t="s">
        <v>18</v>
      </c>
      <c r="Z44" s="217"/>
    </row>
    <row r="45" spans="1:26" s="2" customFormat="1" ht="14.1" customHeight="1" x14ac:dyDescent="0.3">
      <c r="A45" s="98" t="s">
        <v>5</v>
      </c>
      <c r="B45" s="3" t="s">
        <v>369</v>
      </c>
      <c r="C45" s="4"/>
      <c r="D45" s="70">
        <v>9110051</v>
      </c>
      <c r="E45" s="136">
        <v>44085</v>
      </c>
      <c r="F45" s="48" t="s">
        <v>37</v>
      </c>
      <c r="G45" s="79">
        <v>44085</v>
      </c>
      <c r="H45" s="130" t="s">
        <v>291</v>
      </c>
      <c r="I45" s="46"/>
      <c r="J45" s="28"/>
      <c r="K45" s="28"/>
      <c r="L45" s="28"/>
      <c r="M45" s="28">
        <v>4467.5200000000004</v>
      </c>
      <c r="N45" s="46"/>
      <c r="O45" s="28"/>
      <c r="P45" s="46"/>
      <c r="Q45" s="7"/>
      <c r="R45" s="47"/>
      <c r="S45" s="46"/>
      <c r="T45" s="47"/>
      <c r="U45" s="32"/>
      <c r="V45" s="71">
        <f t="shared" si="1"/>
        <v>4467.5200000000004</v>
      </c>
      <c r="W45" s="82" t="s">
        <v>29</v>
      </c>
      <c r="X45" s="2" t="s">
        <v>5</v>
      </c>
      <c r="Y45" s="83" t="s">
        <v>128</v>
      </c>
      <c r="Z45" s="217" t="s">
        <v>348</v>
      </c>
    </row>
    <row r="46" spans="1:26" s="2" customFormat="1" ht="14.1" customHeight="1" x14ac:dyDescent="0.3">
      <c r="A46" s="98" t="s">
        <v>48</v>
      </c>
      <c r="B46" s="3" t="s">
        <v>370</v>
      </c>
      <c r="C46" s="4" t="s">
        <v>371</v>
      </c>
      <c r="D46" s="70">
        <v>9110251</v>
      </c>
      <c r="E46" s="136">
        <v>44085</v>
      </c>
      <c r="F46" s="48" t="s">
        <v>45</v>
      </c>
      <c r="G46" s="79">
        <v>44085</v>
      </c>
      <c r="H46" s="130" t="s">
        <v>288</v>
      </c>
      <c r="I46" s="46"/>
      <c r="J46" s="28"/>
      <c r="K46" s="28"/>
      <c r="L46" s="28"/>
      <c r="M46" s="28"/>
      <c r="N46" s="46"/>
      <c r="O46" s="28"/>
      <c r="P46" s="46"/>
      <c r="Q46" s="7">
        <v>180</v>
      </c>
      <c r="R46" s="47"/>
      <c r="S46" s="46"/>
      <c r="T46" s="47"/>
      <c r="U46" s="32"/>
      <c r="V46" s="71">
        <f t="shared" si="1"/>
        <v>180</v>
      </c>
      <c r="W46" s="82" t="s">
        <v>7</v>
      </c>
      <c r="X46" s="2" t="s">
        <v>6</v>
      </c>
      <c r="Y46" s="83" t="s">
        <v>18</v>
      </c>
      <c r="Z46" s="217"/>
    </row>
    <row r="47" spans="1:26" s="2" customFormat="1" ht="14.1" customHeight="1" x14ac:dyDescent="0.3">
      <c r="A47" s="98" t="s">
        <v>8</v>
      </c>
      <c r="B47" s="3" t="s">
        <v>353</v>
      </c>
      <c r="C47" s="4"/>
      <c r="D47" s="70">
        <v>9100014</v>
      </c>
      <c r="E47" s="136">
        <v>44084</v>
      </c>
      <c r="F47" s="48" t="s">
        <v>344</v>
      </c>
      <c r="G47" s="79">
        <v>44085</v>
      </c>
      <c r="H47" s="130" t="s">
        <v>75</v>
      </c>
      <c r="I47" s="46">
        <v>515</v>
      </c>
      <c r="J47" s="28"/>
      <c r="K47" s="28"/>
      <c r="L47" s="28"/>
      <c r="M47" s="28"/>
      <c r="N47" s="46"/>
      <c r="O47" s="28"/>
      <c r="P47" s="46"/>
      <c r="Q47" s="7"/>
      <c r="R47" s="47"/>
      <c r="S47" s="46"/>
      <c r="T47" s="47"/>
      <c r="U47" s="32">
        <v>43.78</v>
      </c>
      <c r="V47" s="71">
        <f t="shared" si="1"/>
        <v>558.78</v>
      </c>
      <c r="W47" s="82" t="s">
        <v>7</v>
      </c>
      <c r="X47" s="2" t="s">
        <v>8</v>
      </c>
      <c r="Y47" s="83" t="s">
        <v>18</v>
      </c>
      <c r="Z47" s="217"/>
    </row>
    <row r="48" spans="1:26" s="2" customFormat="1" ht="14.1" customHeight="1" x14ac:dyDescent="0.3">
      <c r="A48" s="98" t="s">
        <v>93</v>
      </c>
      <c r="B48" s="3" t="s">
        <v>372</v>
      </c>
      <c r="C48" s="4"/>
      <c r="D48" s="70">
        <v>9110291</v>
      </c>
      <c r="E48" s="136">
        <v>44085</v>
      </c>
      <c r="F48" s="48" t="s">
        <v>344</v>
      </c>
      <c r="G48" s="79">
        <v>44085</v>
      </c>
      <c r="H48" s="130" t="s">
        <v>291</v>
      </c>
      <c r="I48" s="46"/>
      <c r="J48" s="28"/>
      <c r="K48" s="28"/>
      <c r="L48" s="28"/>
      <c r="M48" s="28"/>
      <c r="N48" s="46"/>
      <c r="O48" s="28"/>
      <c r="P48" s="46"/>
      <c r="Q48" s="7"/>
      <c r="R48" s="47"/>
      <c r="S48" s="46">
        <v>100</v>
      </c>
      <c r="T48" s="47"/>
      <c r="U48" s="32">
        <v>9.5</v>
      </c>
      <c r="V48" s="71">
        <f t="shared" si="1"/>
        <v>109.5</v>
      </c>
      <c r="W48" s="82" t="s">
        <v>39</v>
      </c>
      <c r="X48" s="2" t="s">
        <v>277</v>
      </c>
      <c r="Y48" s="83" t="s">
        <v>128</v>
      </c>
      <c r="Z48" s="217" t="s">
        <v>338</v>
      </c>
    </row>
    <row r="49" spans="1:26" s="2" customFormat="1" ht="14.1" customHeight="1" x14ac:dyDescent="0.3">
      <c r="A49" s="98" t="s">
        <v>93</v>
      </c>
      <c r="B49" s="3" t="s">
        <v>372</v>
      </c>
      <c r="C49" s="4"/>
      <c r="D49" s="70">
        <v>9110291</v>
      </c>
      <c r="E49" s="136">
        <v>44085</v>
      </c>
      <c r="F49" s="48" t="s">
        <v>21</v>
      </c>
      <c r="G49" s="79">
        <v>44085</v>
      </c>
      <c r="H49" s="130" t="s">
        <v>291</v>
      </c>
      <c r="I49" s="46"/>
      <c r="J49" s="28"/>
      <c r="K49" s="28"/>
      <c r="L49" s="28"/>
      <c r="M49" s="28"/>
      <c r="N49" s="46"/>
      <c r="O49" s="28"/>
      <c r="P49" s="46"/>
      <c r="Q49" s="7"/>
      <c r="R49" s="47"/>
      <c r="S49" s="46">
        <v>68</v>
      </c>
      <c r="T49" s="47"/>
      <c r="U49" s="32">
        <v>6.46</v>
      </c>
      <c r="V49" s="71">
        <f t="shared" si="1"/>
        <v>74.459999999999994</v>
      </c>
      <c r="W49" s="82" t="s">
        <v>39</v>
      </c>
      <c r="X49" s="2" t="s">
        <v>277</v>
      </c>
      <c r="Y49" s="83" t="s">
        <v>128</v>
      </c>
      <c r="Z49" s="217" t="s">
        <v>338</v>
      </c>
    </row>
    <row r="50" spans="1:26" s="2" customFormat="1" ht="14.1" customHeight="1" x14ac:dyDescent="0.3">
      <c r="A50" s="98" t="s">
        <v>93</v>
      </c>
      <c r="B50" s="3" t="s">
        <v>373</v>
      </c>
      <c r="C50" s="4"/>
      <c r="D50" s="70">
        <v>9110292</v>
      </c>
      <c r="E50" s="136">
        <v>44085</v>
      </c>
      <c r="F50" s="48" t="s">
        <v>21</v>
      </c>
      <c r="G50" s="79">
        <v>44085</v>
      </c>
      <c r="H50" s="130" t="s">
        <v>291</v>
      </c>
      <c r="I50" s="46"/>
      <c r="J50" s="28"/>
      <c r="K50" s="28"/>
      <c r="L50" s="28"/>
      <c r="M50" s="28"/>
      <c r="N50" s="46"/>
      <c r="O50" s="28"/>
      <c r="P50" s="46"/>
      <c r="Q50" s="7"/>
      <c r="R50" s="47"/>
      <c r="S50" s="46">
        <v>78</v>
      </c>
      <c r="T50" s="47"/>
      <c r="U50" s="32">
        <v>7.61</v>
      </c>
      <c r="V50" s="71">
        <f t="shared" si="1"/>
        <v>85.61</v>
      </c>
      <c r="W50" s="82" t="s">
        <v>39</v>
      </c>
      <c r="X50" s="2" t="s">
        <v>374</v>
      </c>
      <c r="Y50" s="83" t="s">
        <v>18</v>
      </c>
      <c r="Z50" s="217"/>
    </row>
    <row r="51" spans="1:26" s="2" customFormat="1" ht="14.1" customHeight="1" x14ac:dyDescent="0.3">
      <c r="A51" s="98" t="s">
        <v>93</v>
      </c>
      <c r="B51" s="3" t="s">
        <v>375</v>
      </c>
      <c r="C51" s="4"/>
      <c r="D51" s="70">
        <v>9110295</v>
      </c>
      <c r="E51" s="136">
        <v>44085</v>
      </c>
      <c r="F51" s="48" t="s">
        <v>21</v>
      </c>
      <c r="G51" s="79">
        <v>44085</v>
      </c>
      <c r="H51" s="130" t="s">
        <v>75</v>
      </c>
      <c r="I51" s="46"/>
      <c r="J51" s="28"/>
      <c r="K51" s="28"/>
      <c r="L51" s="28"/>
      <c r="M51" s="28"/>
      <c r="N51" s="46"/>
      <c r="O51" s="28"/>
      <c r="P51" s="46"/>
      <c r="Q51" s="7"/>
      <c r="R51" s="47"/>
      <c r="S51" s="46">
        <v>89</v>
      </c>
      <c r="T51" s="47"/>
      <c r="U51" s="32">
        <v>7.57</v>
      </c>
      <c r="V51" s="71">
        <f t="shared" si="1"/>
        <v>96.57</v>
      </c>
      <c r="W51" s="82" t="s">
        <v>36</v>
      </c>
      <c r="X51" s="2" t="s">
        <v>5</v>
      </c>
      <c r="Y51" s="83" t="s">
        <v>128</v>
      </c>
      <c r="Z51" s="217" t="s">
        <v>127</v>
      </c>
    </row>
    <row r="52" spans="1:26" s="2" customFormat="1" ht="14.1" customHeight="1" x14ac:dyDescent="0.3">
      <c r="A52" s="98" t="s">
        <v>93</v>
      </c>
      <c r="B52" s="3" t="s">
        <v>376</v>
      </c>
      <c r="C52" s="4"/>
      <c r="D52" s="70">
        <v>9110294</v>
      </c>
      <c r="E52" s="136">
        <v>44085</v>
      </c>
      <c r="F52" s="48" t="s">
        <v>21</v>
      </c>
      <c r="G52" s="79">
        <v>44085</v>
      </c>
      <c r="H52" s="130" t="s">
        <v>288</v>
      </c>
      <c r="I52" s="46"/>
      <c r="J52" s="28"/>
      <c r="K52" s="28"/>
      <c r="L52" s="28"/>
      <c r="M52" s="28"/>
      <c r="N52" s="46"/>
      <c r="O52" s="28"/>
      <c r="P52" s="46"/>
      <c r="Q52" s="7"/>
      <c r="R52" s="47"/>
      <c r="S52" s="46">
        <v>93</v>
      </c>
      <c r="T52" s="47"/>
      <c r="U52" s="32">
        <v>7.67</v>
      </c>
      <c r="V52" s="71">
        <f t="shared" si="1"/>
        <v>100.67</v>
      </c>
      <c r="W52" s="82" t="s">
        <v>36</v>
      </c>
      <c r="X52" s="2" t="s">
        <v>5</v>
      </c>
      <c r="Y52" s="83" t="s">
        <v>18</v>
      </c>
      <c r="Z52" s="217"/>
    </row>
    <row r="53" spans="1:26" s="2" customFormat="1" ht="14.1" customHeight="1" x14ac:dyDescent="0.3">
      <c r="A53" s="98" t="s">
        <v>93</v>
      </c>
      <c r="B53" s="3" t="s">
        <v>377</v>
      </c>
      <c r="C53" s="4"/>
      <c r="D53" s="70">
        <v>9110293</v>
      </c>
      <c r="E53" s="136">
        <v>44085</v>
      </c>
      <c r="F53" s="48" t="s">
        <v>21</v>
      </c>
      <c r="G53" s="79">
        <v>44085</v>
      </c>
      <c r="H53" s="130" t="s">
        <v>315</v>
      </c>
      <c r="I53" s="46"/>
      <c r="J53" s="28"/>
      <c r="K53" s="28"/>
      <c r="L53" s="28"/>
      <c r="M53" s="28"/>
      <c r="N53" s="46"/>
      <c r="O53" s="28"/>
      <c r="P53" s="46"/>
      <c r="Q53" s="7"/>
      <c r="R53" s="47"/>
      <c r="S53" s="46">
        <v>163</v>
      </c>
      <c r="T53" s="47"/>
      <c r="U53" s="32">
        <v>13.45</v>
      </c>
      <c r="V53" s="71">
        <f t="shared" si="1"/>
        <v>176.45</v>
      </c>
      <c r="W53" s="82" t="s">
        <v>36</v>
      </c>
      <c r="X53" s="2" t="s">
        <v>5</v>
      </c>
      <c r="Y53" s="83" t="s">
        <v>18</v>
      </c>
      <c r="Z53" s="217"/>
    </row>
    <row r="54" spans="1:26" s="2" customFormat="1" ht="14.1" customHeight="1" x14ac:dyDescent="0.3">
      <c r="A54" s="98" t="s">
        <v>93</v>
      </c>
      <c r="B54" s="3" t="s">
        <v>279</v>
      </c>
      <c r="C54" s="4"/>
      <c r="D54" s="70">
        <v>9110296</v>
      </c>
      <c r="E54" s="136">
        <v>44085</v>
      </c>
      <c r="F54" s="48" t="s">
        <v>21</v>
      </c>
      <c r="G54" s="79">
        <v>44085</v>
      </c>
      <c r="H54" s="130" t="s">
        <v>288</v>
      </c>
      <c r="I54" s="46"/>
      <c r="J54" s="28"/>
      <c r="K54" s="28"/>
      <c r="L54" s="28"/>
      <c r="M54" s="28"/>
      <c r="N54" s="46"/>
      <c r="O54" s="28"/>
      <c r="P54" s="46"/>
      <c r="Q54" s="7"/>
      <c r="R54" s="47"/>
      <c r="S54" s="46">
        <v>74</v>
      </c>
      <c r="T54" s="47"/>
      <c r="U54" s="32">
        <v>6.66</v>
      </c>
      <c r="V54" s="71">
        <f t="shared" si="0"/>
        <v>80.66</v>
      </c>
      <c r="W54" s="82" t="s">
        <v>7</v>
      </c>
      <c r="X54" s="2" t="s">
        <v>6</v>
      </c>
      <c r="Y54" s="83" t="s">
        <v>18</v>
      </c>
      <c r="Z54" s="217"/>
    </row>
    <row r="55" spans="1:26" s="2" customFormat="1" ht="14.1" customHeight="1" x14ac:dyDescent="0.3">
      <c r="A55" s="98" t="s">
        <v>80</v>
      </c>
      <c r="B55" s="3" t="s">
        <v>378</v>
      </c>
      <c r="C55" s="4"/>
      <c r="D55" s="70">
        <v>9110034</v>
      </c>
      <c r="E55" s="136">
        <v>44085</v>
      </c>
      <c r="F55" s="48" t="s">
        <v>97</v>
      </c>
      <c r="G55" s="79">
        <v>44085</v>
      </c>
      <c r="H55" s="130" t="s">
        <v>379</v>
      </c>
      <c r="I55" s="46"/>
      <c r="J55" s="28"/>
      <c r="K55" s="28"/>
      <c r="L55" s="28"/>
      <c r="M55" s="28"/>
      <c r="N55" s="46"/>
      <c r="O55" s="28"/>
      <c r="P55" s="46">
        <v>35</v>
      </c>
      <c r="Q55" s="7">
        <v>150</v>
      </c>
      <c r="R55" s="47">
        <v>15</v>
      </c>
      <c r="S55" s="46"/>
      <c r="T55" s="47"/>
      <c r="U55" s="32">
        <v>2.93</v>
      </c>
      <c r="V55" s="71">
        <f>SUM(I55:U55)</f>
        <v>202.93</v>
      </c>
      <c r="W55" s="82" t="s">
        <v>36</v>
      </c>
      <c r="X55" s="2" t="s">
        <v>5</v>
      </c>
      <c r="Y55" s="83" t="s">
        <v>128</v>
      </c>
      <c r="Z55" s="217" t="s">
        <v>127</v>
      </c>
    </row>
    <row r="56" spans="1:26" s="2" customFormat="1" ht="14.1" customHeight="1" x14ac:dyDescent="0.3">
      <c r="A56" s="98" t="s">
        <v>5</v>
      </c>
      <c r="B56" s="3" t="s">
        <v>381</v>
      </c>
      <c r="C56" s="4"/>
      <c r="D56" s="70">
        <v>9140052</v>
      </c>
      <c r="E56" s="136">
        <v>44088</v>
      </c>
      <c r="F56" s="48" t="s">
        <v>382</v>
      </c>
      <c r="G56" s="79">
        <v>44088</v>
      </c>
      <c r="H56" s="130" t="s">
        <v>291</v>
      </c>
      <c r="I56" s="46"/>
      <c r="J56" s="28"/>
      <c r="K56" s="28"/>
      <c r="L56" s="28">
        <v>932</v>
      </c>
      <c r="M56" s="28"/>
      <c r="N56" s="46"/>
      <c r="O56" s="28"/>
      <c r="P56" s="46"/>
      <c r="Q56" s="7"/>
      <c r="R56" s="47"/>
      <c r="S56" s="46"/>
      <c r="T56" s="47"/>
      <c r="U56" s="32"/>
      <c r="V56" s="71">
        <f t="shared" ref="V56:V82" si="2">SUM(I56:U56)</f>
        <v>932</v>
      </c>
      <c r="W56" s="82" t="s">
        <v>29</v>
      </c>
      <c r="X56" s="2" t="s">
        <v>5</v>
      </c>
      <c r="Y56" s="83" t="s">
        <v>128</v>
      </c>
      <c r="Z56" s="217" t="s">
        <v>289</v>
      </c>
    </row>
    <row r="57" spans="1:26" s="2" customFormat="1" ht="14.1" customHeight="1" x14ac:dyDescent="0.3">
      <c r="A57" s="98" t="s">
        <v>8</v>
      </c>
      <c r="B57" s="3" t="s">
        <v>103</v>
      </c>
      <c r="C57" s="4"/>
      <c r="D57" s="70">
        <v>9140102</v>
      </c>
      <c r="E57" s="136">
        <v>44088</v>
      </c>
      <c r="F57" s="48" t="s">
        <v>21</v>
      </c>
      <c r="G57" s="79">
        <v>44088</v>
      </c>
      <c r="H57" s="130" t="s">
        <v>379</v>
      </c>
      <c r="I57" s="46"/>
      <c r="J57" s="28"/>
      <c r="K57" s="28"/>
      <c r="L57" s="28"/>
      <c r="M57" s="28"/>
      <c r="N57" s="46"/>
      <c r="O57" s="28"/>
      <c r="P57" s="46"/>
      <c r="Q57" s="7"/>
      <c r="R57" s="47"/>
      <c r="S57" s="46">
        <v>149</v>
      </c>
      <c r="T57" s="47"/>
      <c r="U57" s="32">
        <v>11.55</v>
      </c>
      <c r="V57" s="71">
        <f t="shared" si="2"/>
        <v>160.55000000000001</v>
      </c>
      <c r="W57" s="82" t="s">
        <v>36</v>
      </c>
      <c r="X57" s="2" t="s">
        <v>5</v>
      </c>
      <c r="Y57" s="83" t="s">
        <v>18</v>
      </c>
      <c r="Z57" s="217"/>
    </row>
    <row r="58" spans="1:26" s="2" customFormat="1" ht="14.1" customHeight="1" x14ac:dyDescent="0.3">
      <c r="A58" s="98" t="s">
        <v>93</v>
      </c>
      <c r="B58" s="3" t="s">
        <v>383</v>
      </c>
      <c r="C58" s="4"/>
      <c r="D58" s="70">
        <v>9140291</v>
      </c>
      <c r="E58" s="136">
        <v>44088</v>
      </c>
      <c r="F58" s="48" t="s">
        <v>21</v>
      </c>
      <c r="G58" s="79">
        <v>44088</v>
      </c>
      <c r="H58" s="130" t="s">
        <v>75</v>
      </c>
      <c r="I58" s="46"/>
      <c r="J58" s="28"/>
      <c r="K58" s="28"/>
      <c r="L58" s="28"/>
      <c r="M58" s="28"/>
      <c r="N58" s="46"/>
      <c r="O58" s="28"/>
      <c r="P58" s="46"/>
      <c r="Q58" s="7"/>
      <c r="R58" s="47"/>
      <c r="S58" s="46">
        <v>90</v>
      </c>
      <c r="T58" s="47"/>
      <c r="U58" s="32">
        <v>7.65</v>
      </c>
      <c r="V58" s="71">
        <f t="shared" si="2"/>
        <v>97.65</v>
      </c>
      <c r="W58" s="82" t="s">
        <v>36</v>
      </c>
      <c r="X58" s="2" t="s">
        <v>80</v>
      </c>
      <c r="Y58" s="83" t="s">
        <v>18</v>
      </c>
      <c r="Z58" s="217"/>
    </row>
    <row r="59" spans="1:26" s="2" customFormat="1" ht="14.1" customHeight="1" x14ac:dyDescent="0.3">
      <c r="A59" s="98" t="s">
        <v>93</v>
      </c>
      <c r="B59" s="3" t="s">
        <v>384</v>
      </c>
      <c r="C59" s="4" t="s">
        <v>98</v>
      </c>
      <c r="D59" s="70">
        <v>9140292</v>
      </c>
      <c r="E59" s="136">
        <v>44088</v>
      </c>
      <c r="F59" s="48" t="s">
        <v>21</v>
      </c>
      <c r="G59" s="79">
        <v>44088</v>
      </c>
      <c r="H59" s="130" t="s">
        <v>288</v>
      </c>
      <c r="I59" s="46"/>
      <c r="J59" s="28"/>
      <c r="K59" s="28"/>
      <c r="L59" s="28"/>
      <c r="M59" s="28"/>
      <c r="N59" s="46"/>
      <c r="O59" s="28"/>
      <c r="P59" s="46"/>
      <c r="Q59" s="7"/>
      <c r="R59" s="47"/>
      <c r="S59" s="46">
        <v>58</v>
      </c>
      <c r="T59" s="47"/>
      <c r="U59" s="32">
        <v>5.22</v>
      </c>
      <c r="V59" s="71">
        <f t="shared" si="2"/>
        <v>63.22</v>
      </c>
      <c r="W59" s="82" t="s">
        <v>7</v>
      </c>
      <c r="X59" s="2" t="s">
        <v>32</v>
      </c>
      <c r="Y59" s="83" t="s">
        <v>18</v>
      </c>
      <c r="Z59" s="217"/>
    </row>
    <row r="60" spans="1:26" s="2" customFormat="1" ht="14.1" customHeight="1" x14ac:dyDescent="0.3">
      <c r="A60" s="98" t="s">
        <v>93</v>
      </c>
      <c r="B60" s="3" t="s">
        <v>385</v>
      </c>
      <c r="C60" s="4" t="s">
        <v>386</v>
      </c>
      <c r="D60" s="70">
        <v>9140293</v>
      </c>
      <c r="E60" s="136">
        <v>44088</v>
      </c>
      <c r="F60" s="48" t="s">
        <v>21</v>
      </c>
      <c r="G60" s="79">
        <v>44088</v>
      </c>
      <c r="H60" s="130" t="s">
        <v>295</v>
      </c>
      <c r="I60" s="46"/>
      <c r="J60" s="28"/>
      <c r="K60" s="28"/>
      <c r="L60" s="28"/>
      <c r="M60" s="28"/>
      <c r="N60" s="46"/>
      <c r="O60" s="28"/>
      <c r="P60" s="46"/>
      <c r="Q60" s="7"/>
      <c r="R60" s="47"/>
      <c r="S60" s="46">
        <v>110</v>
      </c>
      <c r="T60" s="47">
        <v>18</v>
      </c>
      <c r="U60" s="32">
        <v>9.2100000000000009</v>
      </c>
      <c r="V60" s="71">
        <f t="shared" si="2"/>
        <v>137.21</v>
      </c>
      <c r="W60" s="82" t="s">
        <v>36</v>
      </c>
      <c r="X60" s="2" t="s">
        <v>5</v>
      </c>
      <c r="Y60" s="83" t="s">
        <v>128</v>
      </c>
      <c r="Z60" s="217" t="s">
        <v>127</v>
      </c>
    </row>
    <row r="61" spans="1:26" s="2" customFormat="1" ht="14.1" customHeight="1" x14ac:dyDescent="0.3">
      <c r="A61" s="98" t="s">
        <v>93</v>
      </c>
      <c r="B61" s="3" t="s">
        <v>219</v>
      </c>
      <c r="C61" s="4" t="s">
        <v>387</v>
      </c>
      <c r="D61" s="70">
        <v>9140294</v>
      </c>
      <c r="E61" s="136">
        <v>44088</v>
      </c>
      <c r="F61" s="48" t="s">
        <v>21</v>
      </c>
      <c r="G61" s="79">
        <v>44088</v>
      </c>
      <c r="H61" s="130" t="s">
        <v>388</v>
      </c>
      <c r="I61" s="46"/>
      <c r="J61" s="28"/>
      <c r="K61" s="28"/>
      <c r="L61" s="28"/>
      <c r="M61" s="28"/>
      <c r="N61" s="46"/>
      <c r="O61" s="28"/>
      <c r="P61" s="46"/>
      <c r="Q61" s="7"/>
      <c r="R61" s="47"/>
      <c r="S61" s="46">
        <v>135</v>
      </c>
      <c r="T61" s="47"/>
      <c r="U61" s="32">
        <v>12.49</v>
      </c>
      <c r="V61" s="71">
        <f t="shared" si="2"/>
        <v>147.49</v>
      </c>
      <c r="W61" s="82" t="s">
        <v>36</v>
      </c>
      <c r="X61" s="2" t="s">
        <v>5</v>
      </c>
      <c r="Y61" s="83" t="s">
        <v>18</v>
      </c>
      <c r="Z61" s="217"/>
    </row>
    <row r="62" spans="1:26" s="2" customFormat="1" ht="14.1" customHeight="1" x14ac:dyDescent="0.3">
      <c r="A62" s="98" t="s">
        <v>93</v>
      </c>
      <c r="B62" s="3" t="s">
        <v>111</v>
      </c>
      <c r="C62" s="4"/>
      <c r="D62" s="70">
        <v>9140295</v>
      </c>
      <c r="E62" s="136">
        <v>44088</v>
      </c>
      <c r="F62" s="48" t="s">
        <v>21</v>
      </c>
      <c r="G62" s="79">
        <v>44088</v>
      </c>
      <c r="H62" s="130" t="s">
        <v>315</v>
      </c>
      <c r="I62" s="46"/>
      <c r="J62" s="28"/>
      <c r="K62" s="28"/>
      <c r="L62" s="28"/>
      <c r="M62" s="28"/>
      <c r="N62" s="46"/>
      <c r="O62" s="28"/>
      <c r="P62" s="46"/>
      <c r="Q62" s="7"/>
      <c r="R62" s="47"/>
      <c r="S62" s="46">
        <v>84</v>
      </c>
      <c r="T62" s="47">
        <v>18</v>
      </c>
      <c r="U62" s="32">
        <v>6.93</v>
      </c>
      <c r="V62" s="71">
        <f t="shared" si="2"/>
        <v>108.93</v>
      </c>
      <c r="W62" s="82" t="s">
        <v>36</v>
      </c>
      <c r="X62" s="2" t="s">
        <v>93</v>
      </c>
      <c r="Y62" s="83" t="s">
        <v>18</v>
      </c>
      <c r="Z62" s="217"/>
    </row>
    <row r="63" spans="1:26" s="2" customFormat="1" ht="14.1" customHeight="1" x14ac:dyDescent="0.3">
      <c r="A63" s="98" t="s">
        <v>74</v>
      </c>
      <c r="B63" s="3" t="s">
        <v>190</v>
      </c>
      <c r="C63" s="4" t="s">
        <v>116</v>
      </c>
      <c r="D63" s="70">
        <v>9100303</v>
      </c>
      <c r="E63" s="136">
        <v>44084</v>
      </c>
      <c r="F63" s="48" t="s">
        <v>45</v>
      </c>
      <c r="G63" s="79">
        <v>44084</v>
      </c>
      <c r="H63" s="130" t="s">
        <v>75</v>
      </c>
      <c r="I63" s="46"/>
      <c r="J63" s="28"/>
      <c r="K63" s="28"/>
      <c r="L63" s="28"/>
      <c r="M63" s="28"/>
      <c r="N63" s="46"/>
      <c r="O63" s="28"/>
      <c r="P63" s="46"/>
      <c r="Q63" s="7">
        <v>180</v>
      </c>
      <c r="R63" s="47"/>
      <c r="S63" s="46"/>
      <c r="T63" s="47"/>
      <c r="U63" s="32"/>
      <c r="V63" s="71">
        <f t="shared" si="2"/>
        <v>180</v>
      </c>
      <c r="W63" s="82" t="s">
        <v>7</v>
      </c>
      <c r="X63" s="2" t="s">
        <v>74</v>
      </c>
      <c r="Y63" s="83" t="s">
        <v>18</v>
      </c>
      <c r="Z63" s="217"/>
    </row>
    <row r="64" spans="1:26" s="2" customFormat="1" ht="14.1" customHeight="1" x14ac:dyDescent="0.3">
      <c r="A64" s="98" t="s">
        <v>74</v>
      </c>
      <c r="B64" s="3" t="s">
        <v>86</v>
      </c>
      <c r="C64" s="4" t="s">
        <v>389</v>
      </c>
      <c r="D64" s="70">
        <v>9110304</v>
      </c>
      <c r="E64" s="136">
        <v>44085</v>
      </c>
      <c r="F64" s="48" t="s">
        <v>45</v>
      </c>
      <c r="G64" s="79">
        <v>44085</v>
      </c>
      <c r="H64" s="130" t="s">
        <v>75</v>
      </c>
      <c r="I64" s="46"/>
      <c r="J64" s="28"/>
      <c r="K64" s="28"/>
      <c r="L64" s="28"/>
      <c r="M64" s="28"/>
      <c r="N64" s="46"/>
      <c r="O64" s="28"/>
      <c r="P64" s="46"/>
      <c r="Q64" s="7">
        <v>180</v>
      </c>
      <c r="R64" s="47"/>
      <c r="S64" s="46"/>
      <c r="T64" s="47"/>
      <c r="U64" s="32"/>
      <c r="V64" s="71">
        <f t="shared" si="2"/>
        <v>180</v>
      </c>
      <c r="W64" s="82" t="s">
        <v>7</v>
      </c>
      <c r="X64" s="2" t="s">
        <v>74</v>
      </c>
      <c r="Y64" s="83" t="s">
        <v>18</v>
      </c>
      <c r="Z64" s="217"/>
    </row>
    <row r="65" spans="1:26" s="2" customFormat="1" ht="14.1" customHeight="1" x14ac:dyDescent="0.3">
      <c r="A65" s="98" t="s">
        <v>32</v>
      </c>
      <c r="B65" s="3" t="s">
        <v>390</v>
      </c>
      <c r="C65" s="4"/>
      <c r="D65" s="70">
        <v>9120101</v>
      </c>
      <c r="E65" s="136">
        <v>44086</v>
      </c>
      <c r="F65" s="48" t="s">
        <v>21</v>
      </c>
      <c r="G65" s="79">
        <v>44088</v>
      </c>
      <c r="H65" s="130" t="s">
        <v>291</v>
      </c>
      <c r="I65" s="46"/>
      <c r="J65" s="28"/>
      <c r="K65" s="28"/>
      <c r="L65" s="28"/>
      <c r="M65" s="28"/>
      <c r="N65" s="46"/>
      <c r="O65" s="28"/>
      <c r="P65" s="46"/>
      <c r="Q65" s="7"/>
      <c r="R65" s="47"/>
      <c r="S65" s="46">
        <v>148</v>
      </c>
      <c r="T65" s="47"/>
      <c r="U65" s="32">
        <v>13.32</v>
      </c>
      <c r="V65" s="71">
        <f t="shared" si="2"/>
        <v>161.32</v>
      </c>
      <c r="W65" s="82" t="s">
        <v>7</v>
      </c>
      <c r="X65" s="2" t="s">
        <v>32</v>
      </c>
      <c r="Y65" s="83" t="s">
        <v>18</v>
      </c>
      <c r="Z65" s="217"/>
    </row>
    <row r="66" spans="1:26" s="2" customFormat="1" ht="14.1" customHeight="1" x14ac:dyDescent="0.3">
      <c r="A66" s="98" t="s">
        <v>5</v>
      </c>
      <c r="B66" s="3" t="s">
        <v>189</v>
      </c>
      <c r="C66" s="4"/>
      <c r="D66" s="70" t="s">
        <v>392</v>
      </c>
      <c r="E66" s="136">
        <v>44089</v>
      </c>
      <c r="F66" s="48" t="s">
        <v>51</v>
      </c>
      <c r="G66" s="79">
        <v>44089</v>
      </c>
      <c r="H66" s="130" t="s">
        <v>291</v>
      </c>
      <c r="I66" s="46"/>
      <c r="J66" s="28"/>
      <c r="K66" s="28"/>
      <c r="L66" s="28"/>
      <c r="M66" s="28"/>
      <c r="N66" s="46">
        <v>7200</v>
      </c>
      <c r="O66" s="28"/>
      <c r="P66" s="46"/>
      <c r="Q66" s="7"/>
      <c r="R66" s="47"/>
      <c r="S66" s="46"/>
      <c r="T66" s="47"/>
      <c r="U66" s="32"/>
      <c r="V66" s="71">
        <f t="shared" si="2"/>
        <v>7200</v>
      </c>
      <c r="W66" s="82" t="s">
        <v>29</v>
      </c>
      <c r="X66" s="2" t="s">
        <v>78</v>
      </c>
      <c r="Y66" s="83" t="s">
        <v>18</v>
      </c>
      <c r="Z66" s="217"/>
    </row>
    <row r="67" spans="1:26" s="2" customFormat="1" ht="14.1" customHeight="1" x14ac:dyDescent="0.3">
      <c r="A67" s="98" t="s">
        <v>6</v>
      </c>
      <c r="B67" s="3" t="s">
        <v>50</v>
      </c>
      <c r="C67" s="4" t="s">
        <v>393</v>
      </c>
      <c r="D67" s="70">
        <v>9150054</v>
      </c>
      <c r="E67" s="136">
        <v>44089</v>
      </c>
      <c r="F67" s="48" t="s">
        <v>51</v>
      </c>
      <c r="G67" s="79">
        <v>44089</v>
      </c>
      <c r="H67" s="130" t="s">
        <v>291</v>
      </c>
      <c r="I67" s="46"/>
      <c r="J67" s="28"/>
      <c r="K67" s="28"/>
      <c r="L67" s="28"/>
      <c r="M67" s="28"/>
      <c r="N67" s="46">
        <v>79</v>
      </c>
      <c r="O67" s="28"/>
      <c r="P67" s="46"/>
      <c r="Q67" s="7"/>
      <c r="R67" s="47"/>
      <c r="S67" s="46"/>
      <c r="T67" s="47"/>
      <c r="U67" s="32"/>
      <c r="V67" s="71">
        <f t="shared" si="2"/>
        <v>79</v>
      </c>
      <c r="W67" s="82" t="s">
        <v>29</v>
      </c>
      <c r="X67" s="2" t="s">
        <v>6</v>
      </c>
      <c r="Y67" s="83" t="s">
        <v>128</v>
      </c>
      <c r="Z67" s="217" t="s">
        <v>127</v>
      </c>
    </row>
    <row r="68" spans="1:26" s="2" customFormat="1" ht="14.1" customHeight="1" x14ac:dyDescent="0.3">
      <c r="A68" s="98" t="s">
        <v>8</v>
      </c>
      <c r="B68" s="3" t="s">
        <v>394</v>
      </c>
      <c r="C68" s="4"/>
      <c r="D68" s="70">
        <v>9150058</v>
      </c>
      <c r="E68" s="136">
        <v>44089</v>
      </c>
      <c r="F68" s="48" t="s">
        <v>395</v>
      </c>
      <c r="G68" s="79">
        <v>44089</v>
      </c>
      <c r="H68" s="130" t="s">
        <v>291</v>
      </c>
      <c r="I68" s="46">
        <v>249</v>
      </c>
      <c r="J68" s="28"/>
      <c r="K68" s="28"/>
      <c r="L68" s="28"/>
      <c r="M68" s="28"/>
      <c r="N68" s="46"/>
      <c r="O68" s="28"/>
      <c r="P68" s="46"/>
      <c r="Q68" s="7"/>
      <c r="R68" s="47"/>
      <c r="S68" s="46"/>
      <c r="T68" s="47"/>
      <c r="U68" s="32">
        <v>20.7</v>
      </c>
      <c r="V68" s="71">
        <f t="shared" si="2"/>
        <v>269.7</v>
      </c>
      <c r="W68" s="82" t="s">
        <v>29</v>
      </c>
      <c r="X68" s="2" t="s">
        <v>32</v>
      </c>
      <c r="Y68" s="83" t="s">
        <v>128</v>
      </c>
      <c r="Z68" s="217" t="s">
        <v>127</v>
      </c>
    </row>
    <row r="69" spans="1:26" s="2" customFormat="1" ht="14.1" customHeight="1" x14ac:dyDescent="0.3">
      <c r="A69" s="98" t="s">
        <v>8</v>
      </c>
      <c r="B69" s="3" t="s">
        <v>396</v>
      </c>
      <c r="C69" s="4"/>
      <c r="D69" s="70">
        <v>9150057</v>
      </c>
      <c r="E69" s="136">
        <v>44089</v>
      </c>
      <c r="F69" s="48" t="s">
        <v>237</v>
      </c>
      <c r="G69" s="79">
        <v>44089</v>
      </c>
      <c r="H69" s="130" t="s">
        <v>291</v>
      </c>
      <c r="I69" s="46">
        <v>79</v>
      </c>
      <c r="J69" s="28"/>
      <c r="K69" s="28"/>
      <c r="L69" s="28"/>
      <c r="M69" s="28"/>
      <c r="N69" s="46">
        <v>40</v>
      </c>
      <c r="O69" s="28">
        <v>20</v>
      </c>
      <c r="P69" s="46"/>
      <c r="Q69" s="7"/>
      <c r="R69" s="47"/>
      <c r="S69" s="46"/>
      <c r="T69" s="47"/>
      <c r="U69" s="32">
        <v>6.72</v>
      </c>
      <c r="V69" s="71">
        <f t="shared" si="2"/>
        <v>145.72</v>
      </c>
      <c r="W69" s="82" t="s">
        <v>29</v>
      </c>
      <c r="X69" s="2" t="s">
        <v>8</v>
      </c>
      <c r="Y69" s="83" t="s">
        <v>128</v>
      </c>
      <c r="Z69" s="217" t="s">
        <v>127</v>
      </c>
    </row>
    <row r="70" spans="1:26" s="2" customFormat="1" ht="14.1" customHeight="1" x14ac:dyDescent="0.3">
      <c r="A70" s="98" t="s">
        <v>8</v>
      </c>
      <c r="B70" s="3" t="s">
        <v>397</v>
      </c>
      <c r="C70" s="4"/>
      <c r="D70" s="70">
        <v>9150056</v>
      </c>
      <c r="E70" s="136">
        <v>44089</v>
      </c>
      <c r="F70" s="48" t="s">
        <v>237</v>
      </c>
      <c r="G70" s="79">
        <v>44089</v>
      </c>
      <c r="H70" s="130" t="s">
        <v>291</v>
      </c>
      <c r="I70" s="46">
        <v>79</v>
      </c>
      <c r="J70" s="28"/>
      <c r="K70" s="28"/>
      <c r="L70" s="28"/>
      <c r="M70" s="28"/>
      <c r="N70" s="46">
        <v>40</v>
      </c>
      <c r="O70" s="28">
        <v>20</v>
      </c>
      <c r="P70" s="46"/>
      <c r="Q70" s="7"/>
      <c r="R70" s="47"/>
      <c r="S70" s="46"/>
      <c r="T70" s="47"/>
      <c r="U70" s="32">
        <v>6.72</v>
      </c>
      <c r="V70" s="71">
        <f t="shared" si="2"/>
        <v>145.72</v>
      </c>
      <c r="W70" s="82" t="s">
        <v>29</v>
      </c>
      <c r="X70" s="2" t="s">
        <v>8</v>
      </c>
      <c r="Y70" s="83" t="s">
        <v>128</v>
      </c>
      <c r="Z70" s="217" t="s">
        <v>127</v>
      </c>
    </row>
    <row r="71" spans="1:26" s="2" customFormat="1" ht="14.1" customHeight="1" x14ac:dyDescent="0.3">
      <c r="A71" s="98" t="s">
        <v>8</v>
      </c>
      <c r="B71" s="3" t="s">
        <v>353</v>
      </c>
      <c r="C71" s="4"/>
      <c r="D71" s="70">
        <v>9150055</v>
      </c>
      <c r="E71" s="136">
        <v>44089</v>
      </c>
      <c r="F71" s="48" t="s">
        <v>236</v>
      </c>
      <c r="G71" s="79">
        <v>44089</v>
      </c>
      <c r="H71" s="130" t="s">
        <v>291</v>
      </c>
      <c r="I71" s="46">
        <v>99</v>
      </c>
      <c r="J71" s="28"/>
      <c r="K71" s="28"/>
      <c r="L71" s="28"/>
      <c r="M71" s="28"/>
      <c r="N71" s="46"/>
      <c r="O71" s="28"/>
      <c r="P71" s="46"/>
      <c r="Q71" s="7"/>
      <c r="R71" s="47"/>
      <c r="S71" s="46"/>
      <c r="T71" s="47"/>
      <c r="U71" s="32">
        <v>8.42</v>
      </c>
      <c r="V71" s="71">
        <f t="shared" si="2"/>
        <v>107.42</v>
      </c>
      <c r="W71" s="82" t="s">
        <v>29</v>
      </c>
      <c r="X71" s="2" t="s">
        <v>8</v>
      </c>
      <c r="Y71" s="83" t="s">
        <v>128</v>
      </c>
      <c r="Z71" s="217" t="s">
        <v>127</v>
      </c>
    </row>
    <row r="72" spans="1:26" s="2" customFormat="1" ht="14.1" customHeight="1" x14ac:dyDescent="0.3">
      <c r="A72" s="98" t="s">
        <v>44</v>
      </c>
      <c r="B72" s="3" t="s">
        <v>398</v>
      </c>
      <c r="C72" s="4"/>
      <c r="D72" s="70">
        <v>9150051</v>
      </c>
      <c r="E72" s="136">
        <v>44089</v>
      </c>
      <c r="F72" s="48" t="s">
        <v>399</v>
      </c>
      <c r="G72" s="79">
        <v>44089</v>
      </c>
      <c r="H72" s="130" t="s">
        <v>291</v>
      </c>
      <c r="I72" s="46">
        <v>572.08000000000004</v>
      </c>
      <c r="J72" s="28"/>
      <c r="K72" s="28"/>
      <c r="L72" s="28"/>
      <c r="M72" s="28"/>
      <c r="N72" s="46">
        <v>60</v>
      </c>
      <c r="O72" s="28"/>
      <c r="P72" s="46"/>
      <c r="Q72" s="7"/>
      <c r="R72" s="47"/>
      <c r="S72" s="46"/>
      <c r="T72" s="47"/>
      <c r="U72" s="32">
        <v>52.92</v>
      </c>
      <c r="V72" s="71">
        <f t="shared" si="2"/>
        <v>685</v>
      </c>
      <c r="W72" s="82" t="s">
        <v>29</v>
      </c>
      <c r="X72" s="2" t="s">
        <v>44</v>
      </c>
      <c r="Y72" s="83" t="s">
        <v>128</v>
      </c>
      <c r="Z72" s="217" t="s">
        <v>127</v>
      </c>
    </row>
    <row r="73" spans="1:26" s="2" customFormat="1" ht="14.1" customHeight="1" x14ac:dyDescent="0.3">
      <c r="A73" s="98" t="s">
        <v>80</v>
      </c>
      <c r="B73" s="3" t="s">
        <v>400</v>
      </c>
      <c r="C73" s="4"/>
      <c r="D73" s="70">
        <v>9150031</v>
      </c>
      <c r="E73" s="136">
        <v>44089</v>
      </c>
      <c r="F73" s="48" t="s">
        <v>97</v>
      </c>
      <c r="G73" s="79">
        <v>44089</v>
      </c>
      <c r="H73" s="130" t="s">
        <v>291</v>
      </c>
      <c r="I73" s="46"/>
      <c r="J73" s="28"/>
      <c r="K73" s="28"/>
      <c r="L73" s="28"/>
      <c r="M73" s="28"/>
      <c r="N73" s="46"/>
      <c r="O73" s="28"/>
      <c r="P73" s="46"/>
      <c r="Q73" s="7">
        <v>90</v>
      </c>
      <c r="R73" s="47"/>
      <c r="S73" s="46"/>
      <c r="T73" s="47"/>
      <c r="U73" s="32"/>
      <c r="V73" s="71">
        <f t="shared" si="2"/>
        <v>90</v>
      </c>
      <c r="W73" s="82" t="s">
        <v>39</v>
      </c>
      <c r="X73" s="2" t="s">
        <v>402</v>
      </c>
      <c r="Y73" s="83" t="s">
        <v>128</v>
      </c>
      <c r="Z73" s="217" t="s">
        <v>127</v>
      </c>
    </row>
    <row r="74" spans="1:26" s="2" customFormat="1" ht="14.1" customHeight="1" x14ac:dyDescent="0.3">
      <c r="A74" s="98" t="s">
        <v>44</v>
      </c>
      <c r="B74" s="3" t="s">
        <v>356</v>
      </c>
      <c r="C74" s="4" t="s">
        <v>401</v>
      </c>
      <c r="D74" s="70">
        <v>9150291</v>
      </c>
      <c r="E74" s="136">
        <v>44089</v>
      </c>
      <c r="F74" s="48" t="s">
        <v>97</v>
      </c>
      <c r="G74" s="79">
        <v>44089</v>
      </c>
      <c r="H74" s="130" t="s">
        <v>291</v>
      </c>
      <c r="I74" s="46"/>
      <c r="J74" s="28"/>
      <c r="K74" s="28"/>
      <c r="L74" s="28"/>
      <c r="M74" s="28"/>
      <c r="N74" s="46"/>
      <c r="O74" s="28"/>
      <c r="P74" s="46"/>
      <c r="Q74" s="7"/>
      <c r="R74" s="47"/>
      <c r="S74" s="46"/>
      <c r="T74" s="47"/>
      <c r="U74" s="32"/>
      <c r="V74" s="71">
        <f t="shared" si="2"/>
        <v>0</v>
      </c>
      <c r="W74" s="82" t="s">
        <v>39</v>
      </c>
      <c r="X74" s="2" t="s">
        <v>223</v>
      </c>
      <c r="Y74" s="83" t="s">
        <v>128</v>
      </c>
      <c r="Z74" s="217" t="s">
        <v>403</v>
      </c>
    </row>
    <row r="75" spans="1:26" s="2" customFormat="1" ht="14.1" customHeight="1" x14ac:dyDescent="0.3">
      <c r="A75" s="98" t="s">
        <v>8</v>
      </c>
      <c r="B75" s="3" t="s">
        <v>404</v>
      </c>
      <c r="C75" s="4"/>
      <c r="D75" s="70">
        <v>9150294</v>
      </c>
      <c r="E75" s="136">
        <v>44089</v>
      </c>
      <c r="F75" s="48" t="s">
        <v>97</v>
      </c>
      <c r="G75" s="79">
        <v>44089</v>
      </c>
      <c r="H75" s="130" t="s">
        <v>291</v>
      </c>
      <c r="I75" s="46"/>
      <c r="J75" s="28"/>
      <c r="K75" s="28"/>
      <c r="L75" s="28"/>
      <c r="M75" s="28"/>
      <c r="N75" s="46"/>
      <c r="O75" s="28"/>
      <c r="P75" s="46"/>
      <c r="Q75" s="7"/>
      <c r="R75" s="47"/>
      <c r="S75" s="46"/>
      <c r="T75" s="47"/>
      <c r="U75" s="32"/>
      <c r="V75" s="71">
        <f t="shared" si="2"/>
        <v>0</v>
      </c>
      <c r="W75" s="82" t="s">
        <v>39</v>
      </c>
      <c r="X75" s="2" t="s">
        <v>305</v>
      </c>
      <c r="Y75" s="83" t="s">
        <v>128</v>
      </c>
      <c r="Z75" s="217" t="s">
        <v>403</v>
      </c>
    </row>
    <row r="76" spans="1:26" s="2" customFormat="1" ht="14.1" customHeight="1" x14ac:dyDescent="0.3">
      <c r="A76" s="98" t="s">
        <v>32</v>
      </c>
      <c r="B76" s="3" t="s">
        <v>405</v>
      </c>
      <c r="C76" s="4"/>
      <c r="D76" s="70">
        <v>9140161</v>
      </c>
      <c r="E76" s="136">
        <v>44088</v>
      </c>
      <c r="F76" s="48" t="s">
        <v>406</v>
      </c>
      <c r="G76" s="79">
        <v>44089</v>
      </c>
      <c r="H76" s="130" t="s">
        <v>315</v>
      </c>
      <c r="I76" s="46">
        <v>375</v>
      </c>
      <c r="J76" s="28"/>
      <c r="K76" s="28"/>
      <c r="L76" s="28"/>
      <c r="M76" s="28"/>
      <c r="N76" s="46"/>
      <c r="O76" s="28"/>
      <c r="P76" s="46"/>
      <c r="Q76" s="7"/>
      <c r="R76" s="47"/>
      <c r="S76" s="46">
        <v>49</v>
      </c>
      <c r="T76" s="47"/>
      <c r="U76" s="32">
        <v>37.1</v>
      </c>
      <c r="V76" s="71">
        <f t="shared" si="2"/>
        <v>461.1</v>
      </c>
      <c r="W76" s="82" t="s">
        <v>7</v>
      </c>
      <c r="X76" s="2" t="s">
        <v>32</v>
      </c>
      <c r="Y76" s="83" t="s">
        <v>128</v>
      </c>
      <c r="Z76" s="217" t="s">
        <v>289</v>
      </c>
    </row>
    <row r="77" spans="1:26" s="2" customFormat="1" ht="14.1" customHeight="1" x14ac:dyDescent="0.3">
      <c r="A77" s="98" t="s">
        <v>93</v>
      </c>
      <c r="B77" s="3" t="s">
        <v>407</v>
      </c>
      <c r="C77" s="4" t="s">
        <v>85</v>
      </c>
      <c r="D77" s="70">
        <v>9150292</v>
      </c>
      <c r="E77" s="136">
        <v>44089</v>
      </c>
      <c r="F77" s="48" t="s">
        <v>21</v>
      </c>
      <c r="G77" s="79">
        <v>44089</v>
      </c>
      <c r="H77" s="130" t="s">
        <v>291</v>
      </c>
      <c r="I77" s="46"/>
      <c r="J77" s="28"/>
      <c r="K77" s="28"/>
      <c r="L77" s="28"/>
      <c r="M77" s="28"/>
      <c r="N77" s="46"/>
      <c r="O77" s="28"/>
      <c r="P77" s="46"/>
      <c r="Q77" s="7"/>
      <c r="R77" s="47"/>
      <c r="S77" s="46">
        <v>122</v>
      </c>
      <c r="T77" s="47"/>
      <c r="U77" s="32">
        <v>10.98</v>
      </c>
      <c r="V77" s="71">
        <f t="shared" si="2"/>
        <v>132.97999999999999</v>
      </c>
      <c r="W77" s="82" t="s">
        <v>39</v>
      </c>
      <c r="X77" s="2" t="s">
        <v>408</v>
      </c>
      <c r="Y77" s="83" t="s">
        <v>18</v>
      </c>
      <c r="Z77" s="217"/>
    </row>
    <row r="78" spans="1:26" s="2" customFormat="1" ht="14.1" customHeight="1" x14ac:dyDescent="0.3">
      <c r="A78" s="98" t="s">
        <v>93</v>
      </c>
      <c r="B78" s="3" t="s">
        <v>92</v>
      </c>
      <c r="C78" s="4"/>
      <c r="D78" s="70">
        <v>9150293</v>
      </c>
      <c r="E78" s="136">
        <v>44089</v>
      </c>
      <c r="F78" s="48" t="s">
        <v>21</v>
      </c>
      <c r="G78" s="79">
        <v>44089</v>
      </c>
      <c r="H78" s="130" t="s">
        <v>75</v>
      </c>
      <c r="I78" s="46"/>
      <c r="J78" s="28"/>
      <c r="K78" s="28"/>
      <c r="L78" s="28"/>
      <c r="M78" s="28"/>
      <c r="N78" s="46"/>
      <c r="O78" s="28"/>
      <c r="P78" s="46"/>
      <c r="Q78" s="7"/>
      <c r="R78" s="47"/>
      <c r="S78" s="46">
        <v>166</v>
      </c>
      <c r="T78" s="47">
        <v>36</v>
      </c>
      <c r="U78" s="32">
        <v>14.11</v>
      </c>
      <c r="V78" s="71">
        <f t="shared" si="2"/>
        <v>216.11</v>
      </c>
      <c r="W78" s="82" t="s">
        <v>36</v>
      </c>
      <c r="X78" s="2" t="s">
        <v>5</v>
      </c>
      <c r="Y78" s="83" t="s">
        <v>18</v>
      </c>
      <c r="Z78" s="217"/>
    </row>
    <row r="79" spans="1:26" s="2" customFormat="1" ht="14.1" customHeight="1" x14ac:dyDescent="0.3">
      <c r="A79" s="98" t="s">
        <v>49</v>
      </c>
      <c r="B79" s="3" t="s">
        <v>409</v>
      </c>
      <c r="C79" s="4"/>
      <c r="D79" s="70">
        <v>9150105</v>
      </c>
      <c r="E79" s="136">
        <v>44089</v>
      </c>
      <c r="F79" s="48" t="s">
        <v>21</v>
      </c>
      <c r="G79" s="79">
        <v>44089</v>
      </c>
      <c r="H79" s="130" t="s">
        <v>315</v>
      </c>
      <c r="I79" s="46"/>
      <c r="J79" s="28"/>
      <c r="K79" s="28"/>
      <c r="L79" s="28"/>
      <c r="M79" s="28"/>
      <c r="N79" s="46"/>
      <c r="O79" s="28"/>
      <c r="P79" s="46"/>
      <c r="Q79" s="7"/>
      <c r="R79" s="47"/>
      <c r="S79" s="46">
        <v>90</v>
      </c>
      <c r="T79" s="47"/>
      <c r="U79" s="32">
        <v>7.43</v>
      </c>
      <c r="V79" s="71">
        <f t="shared" si="2"/>
        <v>97.43</v>
      </c>
      <c r="W79" s="82" t="s">
        <v>36</v>
      </c>
      <c r="X79" s="2" t="s">
        <v>5</v>
      </c>
      <c r="Y79" s="83" t="s">
        <v>18</v>
      </c>
      <c r="Z79" s="217"/>
    </row>
    <row r="80" spans="1:26" s="2" customFormat="1" ht="14.1" customHeight="1" x14ac:dyDescent="0.3">
      <c r="A80" s="98" t="s">
        <v>93</v>
      </c>
      <c r="B80" s="3" t="s">
        <v>410</v>
      </c>
      <c r="C80" s="4"/>
      <c r="D80" s="70">
        <v>9150295</v>
      </c>
      <c r="E80" s="136">
        <v>44089</v>
      </c>
      <c r="F80" s="48" t="s">
        <v>21</v>
      </c>
      <c r="G80" s="79">
        <v>44089</v>
      </c>
      <c r="H80" s="130" t="s">
        <v>306</v>
      </c>
      <c r="I80" s="46"/>
      <c r="J80" s="28"/>
      <c r="K80" s="28"/>
      <c r="L80" s="28"/>
      <c r="M80" s="28"/>
      <c r="N80" s="46"/>
      <c r="O80" s="28"/>
      <c r="P80" s="46"/>
      <c r="Q80" s="7"/>
      <c r="R80" s="47"/>
      <c r="S80" s="46">
        <v>490</v>
      </c>
      <c r="T80" s="47">
        <v>75</v>
      </c>
      <c r="U80" s="32">
        <v>45.33</v>
      </c>
      <c r="V80" s="71">
        <f t="shared" si="2"/>
        <v>610.33000000000004</v>
      </c>
      <c r="W80" s="82" t="s">
        <v>36</v>
      </c>
      <c r="X80" s="2" t="s">
        <v>5</v>
      </c>
      <c r="Y80" s="83" t="s">
        <v>18</v>
      </c>
      <c r="Z80" s="217"/>
    </row>
    <row r="81" spans="1:26" s="2" customFormat="1" ht="14.1" customHeight="1" x14ac:dyDescent="0.3">
      <c r="A81" s="98"/>
      <c r="B81" s="3"/>
      <c r="C81" s="4"/>
      <c r="D81" s="70"/>
      <c r="E81" s="136"/>
      <c r="F81" s="48"/>
      <c r="G81" s="79"/>
      <c r="H81" s="130"/>
      <c r="I81" s="46"/>
      <c r="J81" s="28"/>
      <c r="K81" s="28"/>
      <c r="L81" s="28"/>
      <c r="M81" s="28"/>
      <c r="N81" s="46"/>
      <c r="O81" s="28"/>
      <c r="P81" s="46"/>
      <c r="Q81" s="7"/>
      <c r="R81" s="47"/>
      <c r="S81" s="46"/>
      <c r="T81" s="47"/>
      <c r="U81" s="32"/>
      <c r="V81" s="71">
        <f t="shared" si="2"/>
        <v>0</v>
      </c>
      <c r="W81" s="82"/>
      <c r="Y81" s="83"/>
      <c r="Z81" s="217"/>
    </row>
    <row r="82" spans="1:26" s="2" customFormat="1" ht="14.1" customHeight="1" x14ac:dyDescent="0.3">
      <c r="A82" s="98"/>
      <c r="B82" s="3"/>
      <c r="C82" s="4"/>
      <c r="D82" s="70"/>
      <c r="E82" s="136"/>
      <c r="F82" s="48"/>
      <c r="G82" s="79"/>
      <c r="H82" s="130"/>
      <c r="I82" s="46"/>
      <c r="J82" s="28"/>
      <c r="K82" s="28"/>
      <c r="L82" s="28"/>
      <c r="M82" s="28"/>
      <c r="N82" s="46"/>
      <c r="O82" s="28"/>
      <c r="P82" s="46"/>
      <c r="Q82" s="7"/>
      <c r="R82" s="47"/>
      <c r="S82" s="46"/>
      <c r="T82" s="47"/>
      <c r="U82" s="32"/>
      <c r="V82" s="71">
        <f t="shared" si="2"/>
        <v>0</v>
      </c>
      <c r="W82" s="82"/>
      <c r="Y82" s="83"/>
      <c r="Z82" s="217"/>
    </row>
    <row r="83" spans="1:26" s="2" customFormat="1" ht="14.1" customHeight="1" x14ac:dyDescent="0.3">
      <c r="A83" s="98"/>
      <c r="B83" s="3" t="s">
        <v>46</v>
      </c>
      <c r="C83" s="4"/>
      <c r="D83" s="70"/>
      <c r="E83" s="136"/>
      <c r="F83" s="48"/>
      <c r="G83" s="79"/>
      <c r="H83" s="130"/>
      <c r="I83" s="46"/>
      <c r="J83" s="28"/>
      <c r="K83" s="28"/>
      <c r="L83" s="28"/>
      <c r="M83" s="28"/>
      <c r="N83" s="46"/>
      <c r="O83" s="28"/>
      <c r="P83" s="46"/>
      <c r="Q83" s="7"/>
      <c r="R83" s="47"/>
      <c r="S83" s="46"/>
      <c r="T83" s="47"/>
      <c r="U83" s="32"/>
      <c r="V83" s="71">
        <f>SUM(I83:U83)</f>
        <v>0</v>
      </c>
      <c r="W83" s="82"/>
      <c r="Y83" s="83"/>
      <c r="Z83" s="217"/>
    </row>
    <row r="84" spans="1:26" s="2" customFormat="1" ht="14.1" customHeight="1" thickBot="1" x14ac:dyDescent="0.35">
      <c r="A84" s="98"/>
      <c r="B84" s="3" t="s">
        <v>46</v>
      </c>
      <c r="C84" s="4"/>
      <c r="D84" s="70"/>
      <c r="E84" s="136"/>
      <c r="F84" s="48"/>
      <c r="G84" s="79"/>
      <c r="H84" s="219"/>
      <c r="I84" s="46"/>
      <c r="J84" s="28"/>
      <c r="K84" s="28"/>
      <c r="L84" s="28"/>
      <c r="M84" s="28"/>
      <c r="N84" s="46"/>
      <c r="O84" s="148"/>
      <c r="P84" s="123">
        <f>SUM(P6:P83)</f>
        <v>565</v>
      </c>
      <c r="Q84" s="123">
        <f>SUM(Q6:Q83)</f>
        <v>2560</v>
      </c>
      <c r="R84" s="123">
        <f>SUM(R6:R83)</f>
        <v>1669</v>
      </c>
      <c r="S84" s="46"/>
      <c r="T84" s="47"/>
      <c r="U84" s="32"/>
      <c r="V84" s="71"/>
      <c r="W84" s="82"/>
      <c r="Y84" s="338"/>
      <c r="Z84" s="339"/>
    </row>
    <row r="85" spans="1:26" s="2" customFormat="1" ht="14.1" customHeight="1" thickBot="1" x14ac:dyDescent="0.35">
      <c r="A85" s="340"/>
      <c r="B85" s="341" t="s">
        <v>10</v>
      </c>
      <c r="C85" s="61"/>
      <c r="D85" s="119"/>
      <c r="E85" s="120"/>
      <c r="F85" s="61"/>
      <c r="G85" s="121"/>
      <c r="H85" s="121"/>
      <c r="I85" s="342">
        <f>SUM(I6:I83)</f>
        <v>27623.08</v>
      </c>
      <c r="J85" s="342">
        <f>SUM(J6:J83)</f>
        <v>0</v>
      </c>
      <c r="K85" s="342">
        <f>SUM(K6:K83)</f>
        <v>4440</v>
      </c>
      <c r="L85" s="343">
        <f>SUM(L6:L83)</f>
        <v>1068.1600000000001</v>
      </c>
      <c r="M85" s="344">
        <f>SUM(M6:M83)</f>
        <v>4467.5200000000004</v>
      </c>
      <c r="N85" s="458">
        <f>SUM(N6:O83)</f>
        <v>8734</v>
      </c>
      <c r="O85" s="459"/>
      <c r="P85" s="460">
        <f>SUM(P6:R83)</f>
        <v>4794</v>
      </c>
      <c r="Q85" s="461"/>
      <c r="R85" s="462"/>
      <c r="S85" s="463">
        <f>SUM(S6:T83)</f>
        <v>5312.5</v>
      </c>
      <c r="T85" s="464"/>
      <c r="U85" s="345">
        <f>SUM(U6:U83)</f>
        <v>2435.3699999999994</v>
      </c>
      <c r="V85" s="346">
        <f>SUM(V6:V83)</f>
        <v>58874.63</v>
      </c>
      <c r="W85" s="68"/>
      <c r="X85" s="122"/>
      <c r="Y85" s="362"/>
      <c r="Z85" s="220"/>
    </row>
  </sheetData>
  <sortState xmlns:xlrd2="http://schemas.microsoft.com/office/spreadsheetml/2017/richdata2" ref="A28:AD28">
    <sortCondition ref="G28"/>
  </sortState>
  <mergeCells count="4">
    <mergeCell ref="A1:B1"/>
    <mergeCell ref="N85:O85"/>
    <mergeCell ref="P85:R85"/>
    <mergeCell ref="S85:T85"/>
  </mergeCells>
  <phoneticPr fontId="0" type="noConversion"/>
  <printOptions gridLines="1"/>
  <pageMargins left="0" right="0" top="0.5" bottom="0" header="0.25" footer="0.5"/>
  <pageSetup orientation="portrait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425"/>
  <sheetViews>
    <sheetView zoomScale="120" zoomScaleNormal="120" workbookViewId="0">
      <pane ySplit="2" topLeftCell="A3" activePane="bottomLeft" state="frozen"/>
      <selection pane="bottomLeft" activeCell="E3" sqref="E3"/>
    </sheetView>
  </sheetViews>
  <sheetFormatPr defaultColWidth="6.85546875" defaultRowHeight="9.75" customHeight="1" x14ac:dyDescent="0.3"/>
  <cols>
    <col min="1" max="1" width="4.42578125" style="221" customWidth="1"/>
    <col min="2" max="2" width="13.28515625" style="221" customWidth="1"/>
    <col min="3" max="3" width="7.5703125" style="221" customWidth="1"/>
    <col min="4" max="4" width="9.140625" style="240" customWidth="1"/>
    <col min="5" max="5" width="5" style="222" customWidth="1"/>
    <col min="6" max="6" width="10.28515625" style="360" customWidth="1"/>
    <col min="7" max="7" width="5.5703125" style="241" customWidth="1"/>
    <col min="8" max="8" width="6.7109375" style="223" customWidth="1"/>
    <col min="9" max="9" width="5.140625" style="223" customWidth="1"/>
    <col min="10" max="10" width="5.5703125" style="223" customWidth="1"/>
    <col min="11" max="11" width="5.140625" style="223" customWidth="1"/>
    <col min="12" max="12" width="4.85546875" style="223" customWidth="1"/>
    <col min="13" max="13" width="6.140625" style="223" customWidth="1"/>
    <col min="14" max="14" width="5.42578125" style="223" customWidth="1"/>
    <col min="15" max="15" width="6.28515625" style="223" customWidth="1"/>
    <col min="16" max="16" width="6.7109375" style="223" customWidth="1"/>
    <col min="17" max="17" width="5.7109375" style="224" customWidth="1"/>
    <col min="18" max="18" width="7" style="221" customWidth="1"/>
    <col min="19" max="19" width="5.140625" style="161" customWidth="1"/>
    <col min="20" max="20" width="7" style="230" customWidth="1"/>
    <col min="21" max="21" width="8" style="231" customWidth="1"/>
    <col min="22" max="22" width="7" style="232" customWidth="1"/>
    <col min="23" max="23" width="6.7109375" style="161" customWidth="1"/>
    <col min="24" max="24" width="7.140625" style="221" customWidth="1"/>
    <col min="25" max="26" width="7.42578125" style="221" bestFit="1" customWidth="1"/>
    <col min="27" max="16384" width="6.85546875" style="221"/>
  </cols>
  <sheetData>
    <row r="1" spans="1:28" ht="18.75" customHeight="1" thickBot="1" x14ac:dyDescent="0.35">
      <c r="A1" s="465">
        <v>44089</v>
      </c>
      <c r="B1" s="466"/>
      <c r="C1" s="243"/>
      <c r="D1" s="244"/>
      <c r="E1" s="467" t="s">
        <v>11</v>
      </c>
      <c r="F1" s="468"/>
      <c r="G1" s="468"/>
      <c r="H1" s="245" t="s">
        <v>30</v>
      </c>
      <c r="I1" s="246"/>
      <c r="J1" s="7"/>
      <c r="K1" s="247" t="s">
        <v>12</v>
      </c>
      <c r="L1" s="247"/>
      <c r="M1" s="248"/>
      <c r="N1" s="247"/>
      <c r="O1" s="249" t="s">
        <v>13</v>
      </c>
      <c r="P1" s="250"/>
      <c r="Q1" s="251"/>
      <c r="R1" s="252"/>
      <c r="S1" s="253"/>
      <c r="T1" s="84"/>
      <c r="U1" s="254"/>
      <c r="V1" s="255"/>
      <c r="W1" s="26"/>
      <c r="X1" s="3"/>
      <c r="Y1" s="3"/>
      <c r="Z1" s="3"/>
      <c r="AA1" s="3"/>
      <c r="AB1" s="3"/>
    </row>
    <row r="2" spans="1:28" s="161" customFormat="1" ht="12.75" customHeight="1" thickBot="1" x14ac:dyDescent="0.35">
      <c r="A2" s="114" t="s">
        <v>0</v>
      </c>
      <c r="B2" s="188" t="s">
        <v>1</v>
      </c>
      <c r="C2" s="188"/>
      <c r="D2" s="256" t="s">
        <v>20</v>
      </c>
      <c r="E2" s="257" t="s">
        <v>2</v>
      </c>
      <c r="F2" s="258" t="s">
        <v>3</v>
      </c>
      <c r="G2" s="259" t="s">
        <v>4</v>
      </c>
      <c r="H2" s="260" t="s">
        <v>65</v>
      </c>
      <c r="I2" s="260" t="s">
        <v>66</v>
      </c>
      <c r="J2" s="260" t="s">
        <v>28</v>
      </c>
      <c r="K2" s="260" t="s">
        <v>67</v>
      </c>
      <c r="L2" s="122" t="s">
        <v>37</v>
      </c>
      <c r="M2" s="260" t="s">
        <v>68</v>
      </c>
      <c r="N2" s="122" t="s">
        <v>69</v>
      </c>
      <c r="O2" s="260" t="s">
        <v>70</v>
      </c>
      <c r="P2" s="260" t="s">
        <v>71</v>
      </c>
      <c r="Q2" s="122" t="s">
        <v>34</v>
      </c>
      <c r="R2" s="260" t="s">
        <v>72</v>
      </c>
      <c r="S2" s="260" t="s">
        <v>73</v>
      </c>
      <c r="T2" s="261" t="s">
        <v>17</v>
      </c>
      <c r="U2" s="188" t="s">
        <v>10</v>
      </c>
      <c r="V2" s="39"/>
      <c r="W2" s="262"/>
      <c r="X2" s="263"/>
      <c r="Y2" s="2"/>
      <c r="Z2" s="2"/>
      <c r="AA2" s="2"/>
      <c r="AB2" s="2"/>
    </row>
    <row r="3" spans="1:28" ht="4.5" customHeight="1" x14ac:dyDescent="0.3">
      <c r="A3" s="3"/>
      <c r="B3" s="3"/>
      <c r="C3" s="3"/>
      <c r="D3" s="3"/>
      <c r="E3" s="5"/>
      <c r="F3" s="4"/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6"/>
      <c r="U3" s="107"/>
      <c r="V3" s="82"/>
      <c r="W3" s="264"/>
      <c r="X3" s="265"/>
      <c r="Y3" s="266"/>
      <c r="Z3" s="3"/>
      <c r="AA3" s="3"/>
      <c r="AB3" s="3"/>
    </row>
    <row r="4" spans="1:28" s="161" customFormat="1" ht="14.1" customHeight="1" x14ac:dyDescent="0.3">
      <c r="A4" s="113" t="s">
        <v>44</v>
      </c>
      <c r="B4" s="189" t="s">
        <v>99</v>
      </c>
      <c r="C4" s="190" t="s">
        <v>100</v>
      </c>
      <c r="D4" s="190">
        <v>2139261</v>
      </c>
      <c r="E4" s="267">
        <v>43509</v>
      </c>
      <c r="F4" s="190" t="s">
        <v>45</v>
      </c>
      <c r="G4" s="268">
        <v>43509</v>
      </c>
      <c r="H4" s="58"/>
      <c r="I4" s="192"/>
      <c r="J4" s="57"/>
      <c r="K4" s="58"/>
      <c r="L4" s="192"/>
      <c r="M4" s="192"/>
      <c r="N4" s="57"/>
      <c r="O4" s="58"/>
      <c r="P4" s="192">
        <v>180</v>
      </c>
      <c r="Q4" s="57">
        <v>90</v>
      </c>
      <c r="R4" s="58"/>
      <c r="S4" s="57"/>
      <c r="T4" s="269"/>
      <c r="U4" s="270">
        <f t="shared" ref="U4:U28" si="0">SUM(H4:T4)</f>
        <v>270</v>
      </c>
      <c r="V4" s="189" t="s">
        <v>7</v>
      </c>
      <c r="W4" s="271" t="s">
        <v>74</v>
      </c>
      <c r="X4" s="2" t="s">
        <v>241</v>
      </c>
      <c r="Y4" s="272"/>
      <c r="Z4" s="2"/>
      <c r="AA4" s="2"/>
      <c r="AB4" s="2"/>
    </row>
    <row r="5" spans="1:28" s="161" customFormat="1" ht="14.25" customHeight="1" x14ac:dyDescent="0.3">
      <c r="A5" s="113" t="s">
        <v>49</v>
      </c>
      <c r="B5" s="189" t="s">
        <v>106</v>
      </c>
      <c r="C5" s="190"/>
      <c r="D5" s="190">
        <v>3229107</v>
      </c>
      <c r="E5" s="267">
        <v>43546</v>
      </c>
      <c r="F5" s="190" t="s">
        <v>21</v>
      </c>
      <c r="G5" s="268">
        <v>43546</v>
      </c>
      <c r="H5" s="58"/>
      <c r="I5" s="192"/>
      <c r="J5" s="57"/>
      <c r="K5" s="58"/>
      <c r="L5" s="192"/>
      <c r="M5" s="192"/>
      <c r="N5" s="57"/>
      <c r="O5" s="58"/>
      <c r="P5" s="192"/>
      <c r="Q5" s="57"/>
      <c r="R5" s="58">
        <v>90</v>
      </c>
      <c r="S5" s="57"/>
      <c r="T5" s="269">
        <v>7.76</v>
      </c>
      <c r="U5" s="270">
        <f t="shared" si="0"/>
        <v>97.76</v>
      </c>
      <c r="V5" s="189" t="s">
        <v>36</v>
      </c>
      <c r="W5" s="271" t="s">
        <v>80</v>
      </c>
      <c r="X5" s="2" t="s">
        <v>142</v>
      </c>
      <c r="Y5" s="272"/>
      <c r="Z5" s="2"/>
      <c r="AA5" s="2"/>
      <c r="AB5" s="2"/>
    </row>
    <row r="6" spans="1:28" s="161" customFormat="1" ht="14.1" customHeight="1" x14ac:dyDescent="0.3">
      <c r="A6" s="113" t="s">
        <v>49</v>
      </c>
      <c r="B6" s="189" t="s">
        <v>95</v>
      </c>
      <c r="C6" s="190"/>
      <c r="D6" s="190">
        <v>4159101</v>
      </c>
      <c r="E6" s="267">
        <v>43570</v>
      </c>
      <c r="F6" s="190" t="s">
        <v>21</v>
      </c>
      <c r="G6" s="268">
        <v>43570</v>
      </c>
      <c r="H6" s="58"/>
      <c r="I6" s="192"/>
      <c r="J6" s="57"/>
      <c r="K6" s="58"/>
      <c r="L6" s="192"/>
      <c r="M6" s="192"/>
      <c r="N6" s="57"/>
      <c r="O6" s="58"/>
      <c r="P6" s="192"/>
      <c r="Q6" s="57"/>
      <c r="R6" s="58">
        <v>78</v>
      </c>
      <c r="S6" s="57">
        <v>17</v>
      </c>
      <c r="T6" s="269">
        <v>6.83</v>
      </c>
      <c r="U6" s="270">
        <f t="shared" si="0"/>
        <v>101.83</v>
      </c>
      <c r="V6" s="189" t="s">
        <v>36</v>
      </c>
      <c r="W6" s="271" t="s">
        <v>80</v>
      </c>
      <c r="X6" s="2" t="s">
        <v>329</v>
      </c>
      <c r="Y6" s="272"/>
      <c r="Z6" s="2"/>
      <c r="AA6" s="2"/>
      <c r="AB6" s="2"/>
    </row>
    <row r="7" spans="1:28" s="161" customFormat="1" ht="14.1" customHeight="1" x14ac:dyDescent="0.3">
      <c r="A7" s="113" t="s">
        <v>8</v>
      </c>
      <c r="B7" s="189" t="s">
        <v>110</v>
      </c>
      <c r="C7" s="190"/>
      <c r="D7" s="190">
        <v>4299012</v>
      </c>
      <c r="E7" s="267">
        <v>43584</v>
      </c>
      <c r="F7" s="190" t="s">
        <v>45</v>
      </c>
      <c r="G7" s="268">
        <v>43584</v>
      </c>
      <c r="H7" s="58"/>
      <c r="I7" s="192"/>
      <c r="J7" s="57"/>
      <c r="K7" s="58"/>
      <c r="L7" s="192"/>
      <c r="M7" s="192"/>
      <c r="N7" s="57"/>
      <c r="O7" s="58"/>
      <c r="P7" s="192">
        <v>180</v>
      </c>
      <c r="Q7" s="57">
        <v>90</v>
      </c>
      <c r="R7" s="58"/>
      <c r="S7" s="57"/>
      <c r="T7" s="269"/>
      <c r="U7" s="270">
        <f t="shared" si="0"/>
        <v>270</v>
      </c>
      <c r="V7" s="189" t="s">
        <v>7</v>
      </c>
      <c r="W7" s="271" t="s">
        <v>35</v>
      </c>
      <c r="X7" s="2" t="s">
        <v>143</v>
      </c>
      <c r="Y7" s="272"/>
      <c r="Z7" s="2"/>
      <c r="AA7" s="2"/>
      <c r="AB7" s="2"/>
    </row>
    <row r="8" spans="1:28" s="161" customFormat="1" ht="14.1" customHeight="1" x14ac:dyDescent="0.3">
      <c r="A8" s="113" t="s">
        <v>49</v>
      </c>
      <c r="B8" s="189" t="s">
        <v>101</v>
      </c>
      <c r="C8" s="190" t="s">
        <v>85</v>
      </c>
      <c r="D8" s="190">
        <v>6109107</v>
      </c>
      <c r="E8" s="267">
        <v>43626</v>
      </c>
      <c r="F8" s="190" t="s">
        <v>21</v>
      </c>
      <c r="G8" s="268">
        <v>43626</v>
      </c>
      <c r="H8" s="58"/>
      <c r="I8" s="192"/>
      <c r="J8" s="57"/>
      <c r="K8" s="58"/>
      <c r="L8" s="192"/>
      <c r="M8" s="192"/>
      <c r="N8" s="57"/>
      <c r="O8" s="58"/>
      <c r="P8" s="192"/>
      <c r="Q8" s="57"/>
      <c r="R8" s="58">
        <v>49</v>
      </c>
      <c r="S8" s="57">
        <v>9</v>
      </c>
      <c r="T8" s="269">
        <v>4.29</v>
      </c>
      <c r="U8" s="270">
        <f t="shared" si="0"/>
        <v>62.29</v>
      </c>
      <c r="V8" s="189" t="s">
        <v>36</v>
      </c>
      <c r="W8" s="271" t="s">
        <v>80</v>
      </c>
      <c r="X8" s="2" t="s">
        <v>144</v>
      </c>
      <c r="Y8" s="272"/>
      <c r="Z8" s="2"/>
      <c r="AA8" s="2"/>
      <c r="AB8" s="2"/>
    </row>
    <row r="9" spans="1:28" s="161" customFormat="1" ht="14.1" customHeight="1" x14ac:dyDescent="0.3">
      <c r="A9" s="113" t="s">
        <v>6</v>
      </c>
      <c r="B9" s="189" t="s">
        <v>115</v>
      </c>
      <c r="C9" s="190"/>
      <c r="D9" s="190">
        <v>6119071</v>
      </c>
      <c r="E9" s="267">
        <v>43627</v>
      </c>
      <c r="F9" s="190" t="s">
        <v>45</v>
      </c>
      <c r="G9" s="268">
        <v>43627</v>
      </c>
      <c r="H9" s="58"/>
      <c r="I9" s="192"/>
      <c r="J9" s="57"/>
      <c r="K9" s="58"/>
      <c r="L9" s="192"/>
      <c r="M9" s="192"/>
      <c r="N9" s="57"/>
      <c r="O9" s="58"/>
      <c r="P9" s="192">
        <v>180</v>
      </c>
      <c r="Q9" s="57">
        <v>90</v>
      </c>
      <c r="R9" s="58"/>
      <c r="S9" s="57"/>
      <c r="T9" s="269"/>
      <c r="U9" s="270">
        <f t="shared" si="0"/>
        <v>270</v>
      </c>
      <c r="V9" s="189" t="s">
        <v>7</v>
      </c>
      <c r="W9" s="271" t="s">
        <v>6</v>
      </c>
      <c r="X9" s="2" t="s">
        <v>363</v>
      </c>
      <c r="Y9" s="272"/>
      <c r="Z9" s="2"/>
      <c r="AA9" s="2"/>
      <c r="AB9" s="2"/>
    </row>
    <row r="10" spans="1:28" s="161" customFormat="1" ht="14.1" customHeight="1" x14ac:dyDescent="0.3">
      <c r="A10" s="113" t="s">
        <v>80</v>
      </c>
      <c r="B10" s="189" t="s">
        <v>115</v>
      </c>
      <c r="C10" s="190"/>
      <c r="D10" s="190">
        <v>6129309</v>
      </c>
      <c r="E10" s="267">
        <v>43628</v>
      </c>
      <c r="F10" s="190" t="s">
        <v>97</v>
      </c>
      <c r="G10" s="268">
        <v>43628</v>
      </c>
      <c r="H10" s="58"/>
      <c r="I10" s="192"/>
      <c r="J10" s="57"/>
      <c r="K10" s="58"/>
      <c r="L10" s="192"/>
      <c r="M10" s="192"/>
      <c r="N10" s="57"/>
      <c r="O10" s="58">
        <v>102.5</v>
      </c>
      <c r="P10" s="192">
        <v>135</v>
      </c>
      <c r="Q10" s="57"/>
      <c r="R10" s="58"/>
      <c r="S10" s="57"/>
      <c r="T10" s="269">
        <v>8.9700000000000006</v>
      </c>
      <c r="U10" s="270">
        <f t="shared" si="0"/>
        <v>246.47</v>
      </c>
      <c r="V10" s="189" t="s">
        <v>7</v>
      </c>
      <c r="W10" s="271" t="s">
        <v>6</v>
      </c>
      <c r="X10" s="2" t="s">
        <v>220</v>
      </c>
      <c r="Y10" s="272"/>
      <c r="Z10" s="2"/>
      <c r="AA10" s="2"/>
      <c r="AB10" s="2"/>
    </row>
    <row r="11" spans="1:28" s="161" customFormat="1" ht="14.1" customHeight="1" x14ac:dyDescent="0.3">
      <c r="A11" s="113" t="s">
        <v>49</v>
      </c>
      <c r="B11" s="189" t="s">
        <v>162</v>
      </c>
      <c r="C11" s="190"/>
      <c r="D11" s="190">
        <v>7039104</v>
      </c>
      <c r="E11" s="267">
        <v>43649</v>
      </c>
      <c r="F11" s="190" t="s">
        <v>21</v>
      </c>
      <c r="G11" s="268">
        <v>43649</v>
      </c>
      <c r="H11" s="58"/>
      <c r="I11" s="192"/>
      <c r="J11" s="57"/>
      <c r="K11" s="58"/>
      <c r="L11" s="192"/>
      <c r="M11" s="192"/>
      <c r="N11" s="57"/>
      <c r="O11" s="58"/>
      <c r="P11" s="192"/>
      <c r="Q11" s="57"/>
      <c r="R11" s="58">
        <v>510</v>
      </c>
      <c r="S11" s="57"/>
      <c r="T11" s="269">
        <v>43.35</v>
      </c>
      <c r="U11" s="270">
        <f t="shared" si="0"/>
        <v>553.35</v>
      </c>
      <c r="V11" s="189" t="s">
        <v>36</v>
      </c>
      <c r="W11" s="271" t="s">
        <v>80</v>
      </c>
      <c r="X11" s="2" t="s">
        <v>363</v>
      </c>
      <c r="Y11" s="272"/>
      <c r="Z11" s="2"/>
      <c r="AA11" s="2"/>
      <c r="AB11" s="2"/>
    </row>
    <row r="12" spans="1:28" s="161" customFormat="1" ht="14.1" customHeight="1" x14ac:dyDescent="0.3">
      <c r="A12" s="113" t="s">
        <v>49</v>
      </c>
      <c r="B12" s="189" t="s">
        <v>120</v>
      </c>
      <c r="C12" s="190"/>
      <c r="D12" s="190">
        <v>7039103</v>
      </c>
      <c r="E12" s="267">
        <v>43649</v>
      </c>
      <c r="F12" s="190" t="s">
        <v>21</v>
      </c>
      <c r="G12" s="268">
        <v>43649</v>
      </c>
      <c r="H12" s="58"/>
      <c r="I12" s="192"/>
      <c r="J12" s="57"/>
      <c r="K12" s="58"/>
      <c r="L12" s="192"/>
      <c r="M12" s="192"/>
      <c r="N12" s="57"/>
      <c r="O12" s="58"/>
      <c r="P12" s="192"/>
      <c r="Q12" s="57"/>
      <c r="R12" s="58">
        <v>674</v>
      </c>
      <c r="S12" s="57"/>
      <c r="T12" s="269">
        <v>57.29</v>
      </c>
      <c r="U12" s="270">
        <f t="shared" si="0"/>
        <v>731.29</v>
      </c>
      <c r="V12" s="189" t="s">
        <v>36</v>
      </c>
      <c r="W12" s="271" t="s">
        <v>80</v>
      </c>
      <c r="X12" s="2" t="s">
        <v>220</v>
      </c>
      <c r="Y12" s="272"/>
      <c r="Z12" s="2"/>
      <c r="AA12" s="2"/>
      <c r="AB12" s="2"/>
    </row>
    <row r="13" spans="1:28" s="161" customFormat="1" ht="13.5" customHeight="1" x14ac:dyDescent="0.3">
      <c r="A13" s="113" t="s">
        <v>44</v>
      </c>
      <c r="B13" s="189" t="s">
        <v>121</v>
      </c>
      <c r="C13" s="190"/>
      <c r="D13" s="190">
        <v>7139261</v>
      </c>
      <c r="E13" s="267">
        <v>43659</v>
      </c>
      <c r="F13" s="190" t="s">
        <v>87</v>
      </c>
      <c r="G13" s="268">
        <v>43659</v>
      </c>
      <c r="H13" s="58"/>
      <c r="I13" s="192"/>
      <c r="J13" s="57"/>
      <c r="K13" s="58"/>
      <c r="L13" s="192"/>
      <c r="M13" s="192"/>
      <c r="N13" s="57"/>
      <c r="O13" s="58"/>
      <c r="P13" s="192">
        <v>270</v>
      </c>
      <c r="Q13" s="57"/>
      <c r="R13" s="58"/>
      <c r="S13" s="57"/>
      <c r="T13" s="269"/>
      <c r="U13" s="270">
        <f t="shared" si="0"/>
        <v>270</v>
      </c>
      <c r="V13" s="189" t="s">
        <v>7</v>
      </c>
      <c r="W13" s="271" t="s">
        <v>44</v>
      </c>
      <c r="X13" s="2" t="s">
        <v>145</v>
      </c>
      <c r="Y13" s="272"/>
      <c r="Z13" s="2"/>
      <c r="AA13" s="2"/>
      <c r="AB13" s="2"/>
    </row>
    <row r="14" spans="1:28" s="161" customFormat="1" ht="14.1" customHeight="1" x14ac:dyDescent="0.3">
      <c r="A14" s="113" t="s">
        <v>49</v>
      </c>
      <c r="B14" s="189" t="s">
        <v>132</v>
      </c>
      <c r="C14" s="190"/>
      <c r="D14" s="190">
        <v>8079105</v>
      </c>
      <c r="E14" s="267">
        <v>43684</v>
      </c>
      <c r="F14" s="190" t="s">
        <v>21</v>
      </c>
      <c r="G14" s="268">
        <v>43684</v>
      </c>
      <c r="H14" s="58"/>
      <c r="I14" s="192"/>
      <c r="J14" s="57"/>
      <c r="K14" s="58"/>
      <c r="L14" s="192"/>
      <c r="M14" s="192"/>
      <c r="N14" s="57"/>
      <c r="O14" s="58"/>
      <c r="P14" s="192"/>
      <c r="Q14" s="57"/>
      <c r="R14" s="58">
        <v>78</v>
      </c>
      <c r="S14" s="57"/>
      <c r="T14" s="269">
        <v>6.63</v>
      </c>
      <c r="U14" s="270">
        <f t="shared" si="0"/>
        <v>84.63</v>
      </c>
      <c r="V14" s="189" t="s">
        <v>39</v>
      </c>
      <c r="W14" s="271" t="s">
        <v>133</v>
      </c>
      <c r="X14" s="371" t="s">
        <v>146</v>
      </c>
      <c r="Y14" s="373"/>
      <c r="Z14" s="371"/>
      <c r="AA14" s="2"/>
      <c r="AB14" s="2"/>
    </row>
    <row r="15" spans="1:28" s="161" customFormat="1" ht="14.1" customHeight="1" x14ac:dyDescent="0.3">
      <c r="A15" s="113" t="s">
        <v>49</v>
      </c>
      <c r="B15" s="189" t="s">
        <v>147</v>
      </c>
      <c r="C15" s="190" t="s">
        <v>148</v>
      </c>
      <c r="D15" s="190">
        <v>8309102</v>
      </c>
      <c r="E15" s="267">
        <v>43707</v>
      </c>
      <c r="F15" s="190" t="s">
        <v>21</v>
      </c>
      <c r="G15" s="268">
        <v>43707</v>
      </c>
      <c r="H15" s="58"/>
      <c r="I15" s="192"/>
      <c r="J15" s="57"/>
      <c r="K15" s="58"/>
      <c r="L15" s="192"/>
      <c r="M15" s="192"/>
      <c r="N15" s="57"/>
      <c r="O15" s="58"/>
      <c r="P15" s="192"/>
      <c r="Q15" s="57"/>
      <c r="R15" s="58">
        <v>103</v>
      </c>
      <c r="S15" s="57"/>
      <c r="T15" s="269">
        <v>9.7899999999999991</v>
      </c>
      <c r="U15" s="270">
        <f t="shared" si="0"/>
        <v>112.78999999999999</v>
      </c>
      <c r="V15" s="189" t="s">
        <v>43</v>
      </c>
      <c r="W15" s="271" t="s">
        <v>80</v>
      </c>
      <c r="X15" s="2" t="s">
        <v>149</v>
      </c>
      <c r="Y15" s="272"/>
      <c r="Z15" s="2"/>
      <c r="AA15" s="2"/>
      <c r="AB15" s="2"/>
    </row>
    <row r="16" spans="1:28" s="161" customFormat="1" ht="14.1" customHeight="1" x14ac:dyDescent="0.3">
      <c r="A16" s="113" t="s">
        <v>49</v>
      </c>
      <c r="B16" s="189" t="s">
        <v>95</v>
      </c>
      <c r="C16" s="190"/>
      <c r="D16" s="190">
        <v>9069103</v>
      </c>
      <c r="E16" s="267">
        <v>43714</v>
      </c>
      <c r="F16" s="190" t="s">
        <v>21</v>
      </c>
      <c r="G16" s="268">
        <v>43714</v>
      </c>
      <c r="H16" s="58"/>
      <c r="I16" s="192"/>
      <c r="J16" s="57"/>
      <c r="K16" s="58"/>
      <c r="L16" s="192"/>
      <c r="M16" s="192"/>
      <c r="N16" s="57"/>
      <c r="O16" s="58"/>
      <c r="P16" s="192"/>
      <c r="Q16" s="57"/>
      <c r="R16" s="58">
        <v>39</v>
      </c>
      <c r="S16" s="57"/>
      <c r="T16" s="269">
        <v>3.41</v>
      </c>
      <c r="U16" s="270">
        <f t="shared" si="0"/>
        <v>42.41</v>
      </c>
      <c r="V16" s="189" t="s">
        <v>7</v>
      </c>
      <c r="W16" s="271" t="s">
        <v>14</v>
      </c>
      <c r="X16" s="2" t="s">
        <v>329</v>
      </c>
      <c r="Y16" s="272"/>
      <c r="Z16" s="2"/>
      <c r="AA16" s="2"/>
      <c r="AB16" s="2"/>
    </row>
    <row r="17" spans="1:28" s="161" customFormat="1" ht="14.1" customHeight="1" x14ac:dyDescent="0.3">
      <c r="A17" s="113" t="s">
        <v>78</v>
      </c>
      <c r="B17" s="189" t="s">
        <v>86</v>
      </c>
      <c r="C17" s="190">
        <v>2304</v>
      </c>
      <c r="D17" s="153">
        <v>9069201</v>
      </c>
      <c r="E17" s="162">
        <v>43714</v>
      </c>
      <c r="F17" s="153" t="s">
        <v>45</v>
      </c>
      <c r="G17" s="268">
        <v>43714</v>
      </c>
      <c r="H17" s="325"/>
      <c r="I17" s="192"/>
      <c r="J17" s="57"/>
      <c r="K17" s="58"/>
      <c r="L17" s="155"/>
      <c r="M17" s="155"/>
      <c r="N17" s="57"/>
      <c r="O17" s="58">
        <v>170</v>
      </c>
      <c r="P17" s="155">
        <v>120</v>
      </c>
      <c r="Q17" s="192">
        <v>60</v>
      </c>
      <c r="R17" s="58"/>
      <c r="S17" s="155"/>
      <c r="T17" s="336">
        <v>14.45</v>
      </c>
      <c r="U17" s="270">
        <f t="shared" si="0"/>
        <v>364.45</v>
      </c>
      <c r="V17" s="335" t="s">
        <v>7</v>
      </c>
      <c r="W17" s="332" t="s">
        <v>74</v>
      </c>
      <c r="X17" s="83" t="s">
        <v>326</v>
      </c>
      <c r="Y17" s="181"/>
      <c r="Z17" s="180"/>
      <c r="AA17" s="181"/>
      <c r="AB17" s="2"/>
    </row>
    <row r="18" spans="1:28" s="161" customFormat="1" ht="14.1" customHeight="1" x14ac:dyDescent="0.3">
      <c r="A18" s="113" t="s">
        <v>49</v>
      </c>
      <c r="B18" s="189" t="s">
        <v>107</v>
      </c>
      <c r="C18" s="190"/>
      <c r="D18" s="190">
        <v>9129101</v>
      </c>
      <c r="E18" s="267">
        <v>43720</v>
      </c>
      <c r="F18" s="190" t="s">
        <v>21</v>
      </c>
      <c r="G18" s="268">
        <v>43720</v>
      </c>
      <c r="H18" s="58"/>
      <c r="I18" s="192"/>
      <c r="J18" s="57"/>
      <c r="K18" s="58"/>
      <c r="L18" s="192"/>
      <c r="M18" s="192"/>
      <c r="N18" s="57"/>
      <c r="O18" s="58"/>
      <c r="P18" s="192"/>
      <c r="Q18" s="57"/>
      <c r="R18" s="58">
        <v>170</v>
      </c>
      <c r="S18" s="57">
        <v>33</v>
      </c>
      <c r="T18" s="269">
        <v>16.579999999999998</v>
      </c>
      <c r="U18" s="270">
        <f t="shared" si="0"/>
        <v>219.57999999999998</v>
      </c>
      <c r="V18" s="189" t="s">
        <v>36</v>
      </c>
      <c r="W18" s="271" t="s">
        <v>5</v>
      </c>
      <c r="X18" s="2" t="s">
        <v>351</v>
      </c>
      <c r="Y18" s="272"/>
      <c r="Z18" s="2"/>
      <c r="AA18" s="2"/>
      <c r="AB18" s="2"/>
    </row>
    <row r="19" spans="1:28" s="161" customFormat="1" ht="14.1" customHeight="1" x14ac:dyDescent="0.3">
      <c r="A19" s="113" t="s">
        <v>49</v>
      </c>
      <c r="B19" s="189" t="s">
        <v>150</v>
      </c>
      <c r="C19" s="190"/>
      <c r="D19" s="190">
        <v>9179105</v>
      </c>
      <c r="E19" s="267">
        <v>43725</v>
      </c>
      <c r="F19" s="190" t="s">
        <v>21</v>
      </c>
      <c r="G19" s="268">
        <v>43725</v>
      </c>
      <c r="H19" s="58"/>
      <c r="I19" s="192"/>
      <c r="J19" s="57"/>
      <c r="K19" s="58"/>
      <c r="L19" s="192"/>
      <c r="M19" s="192"/>
      <c r="N19" s="57"/>
      <c r="O19" s="58"/>
      <c r="P19" s="192"/>
      <c r="Q19" s="57"/>
      <c r="R19" s="58">
        <v>58</v>
      </c>
      <c r="S19" s="57"/>
      <c r="T19" s="269">
        <v>4.93</v>
      </c>
      <c r="U19" s="270">
        <f t="shared" si="0"/>
        <v>62.93</v>
      </c>
      <c r="V19" s="189" t="s">
        <v>7</v>
      </c>
      <c r="W19" s="271" t="s">
        <v>8</v>
      </c>
      <c r="X19" s="371" t="s">
        <v>146</v>
      </c>
      <c r="Y19" s="373"/>
      <c r="Z19" s="371"/>
      <c r="AA19" s="2"/>
      <c r="AB19" s="2"/>
    </row>
    <row r="20" spans="1:28" s="161" customFormat="1" ht="14.1" customHeight="1" x14ac:dyDescent="0.3">
      <c r="A20" s="113" t="s">
        <v>49</v>
      </c>
      <c r="B20" s="189" t="s">
        <v>95</v>
      </c>
      <c r="C20" s="190"/>
      <c r="D20" s="190">
        <v>9269103</v>
      </c>
      <c r="E20" s="267">
        <v>43734</v>
      </c>
      <c r="F20" s="190" t="s">
        <v>21</v>
      </c>
      <c r="G20" s="268">
        <v>43734</v>
      </c>
      <c r="H20" s="58"/>
      <c r="I20" s="192"/>
      <c r="J20" s="57"/>
      <c r="K20" s="58"/>
      <c r="L20" s="192"/>
      <c r="M20" s="192"/>
      <c r="N20" s="57"/>
      <c r="O20" s="58"/>
      <c r="P20" s="192"/>
      <c r="Q20" s="57"/>
      <c r="R20" s="58">
        <v>104</v>
      </c>
      <c r="S20" s="57"/>
      <c r="T20" s="269">
        <v>9.1</v>
      </c>
      <c r="U20" s="270">
        <f t="shared" si="0"/>
        <v>113.1</v>
      </c>
      <c r="V20" s="189" t="s">
        <v>39</v>
      </c>
      <c r="W20" s="271" t="s">
        <v>151</v>
      </c>
      <c r="X20" s="2" t="s">
        <v>329</v>
      </c>
      <c r="Y20" s="272"/>
      <c r="Z20" s="2"/>
      <c r="AA20" s="2"/>
      <c r="AB20" s="2"/>
    </row>
    <row r="21" spans="1:28" s="161" customFormat="1" ht="14.1" customHeight="1" x14ac:dyDescent="0.3">
      <c r="A21" s="113" t="s">
        <v>49</v>
      </c>
      <c r="B21" s="189" t="s">
        <v>152</v>
      </c>
      <c r="C21" s="190"/>
      <c r="D21" s="190">
        <v>10099105</v>
      </c>
      <c r="E21" s="267">
        <v>43747</v>
      </c>
      <c r="F21" s="190" t="s">
        <v>21</v>
      </c>
      <c r="G21" s="268">
        <v>43747</v>
      </c>
      <c r="H21" s="58"/>
      <c r="I21" s="192"/>
      <c r="J21" s="57"/>
      <c r="K21" s="58"/>
      <c r="L21" s="192"/>
      <c r="M21" s="192"/>
      <c r="N21" s="57"/>
      <c r="O21" s="58"/>
      <c r="P21" s="192"/>
      <c r="Q21" s="57"/>
      <c r="R21" s="58">
        <v>59</v>
      </c>
      <c r="S21" s="57"/>
      <c r="T21" s="269">
        <v>5.46</v>
      </c>
      <c r="U21" s="270">
        <f t="shared" si="0"/>
        <v>64.459999999999994</v>
      </c>
      <c r="V21" s="189" t="s">
        <v>36</v>
      </c>
      <c r="W21" s="271" t="s">
        <v>80</v>
      </c>
      <c r="X21" s="2" t="s">
        <v>153</v>
      </c>
      <c r="Y21" s="272"/>
      <c r="Z21" s="2"/>
      <c r="AA21" s="2"/>
      <c r="AB21" s="2"/>
    </row>
    <row r="22" spans="1:28" s="161" customFormat="1" ht="14.1" customHeight="1" x14ac:dyDescent="0.3">
      <c r="A22" s="113" t="s">
        <v>80</v>
      </c>
      <c r="B22" s="189" t="s">
        <v>154</v>
      </c>
      <c r="C22" s="190"/>
      <c r="D22" s="190">
        <v>10119039</v>
      </c>
      <c r="E22" s="267">
        <v>43749</v>
      </c>
      <c r="F22" s="190" t="s">
        <v>87</v>
      </c>
      <c r="G22" s="268">
        <v>43749</v>
      </c>
      <c r="H22" s="58"/>
      <c r="I22" s="192"/>
      <c r="J22" s="57"/>
      <c r="K22" s="58"/>
      <c r="L22" s="192"/>
      <c r="M22" s="192"/>
      <c r="N22" s="57"/>
      <c r="O22" s="58"/>
      <c r="P22" s="192">
        <v>180</v>
      </c>
      <c r="Q22" s="57">
        <v>12</v>
      </c>
      <c r="R22" s="58"/>
      <c r="S22" s="57"/>
      <c r="T22" s="269"/>
      <c r="U22" s="270">
        <f t="shared" si="0"/>
        <v>192</v>
      </c>
      <c r="V22" s="189" t="s">
        <v>36</v>
      </c>
      <c r="W22" s="271" t="s">
        <v>80</v>
      </c>
      <c r="X22" s="2" t="s">
        <v>215</v>
      </c>
      <c r="Y22" s="272"/>
      <c r="Z22" s="2"/>
      <c r="AA22" s="2"/>
      <c r="AB22" s="2"/>
    </row>
    <row r="23" spans="1:28" s="161" customFormat="1" ht="14.1" customHeight="1" x14ac:dyDescent="0.3">
      <c r="A23" s="113" t="s">
        <v>6</v>
      </c>
      <c r="B23" s="189" t="s">
        <v>77</v>
      </c>
      <c r="C23" s="190"/>
      <c r="D23" s="190">
        <v>11189071</v>
      </c>
      <c r="E23" s="267">
        <v>43788</v>
      </c>
      <c r="F23" s="190" t="s">
        <v>155</v>
      </c>
      <c r="G23" s="268">
        <v>43788</v>
      </c>
      <c r="H23" s="58"/>
      <c r="I23" s="192"/>
      <c r="J23" s="57"/>
      <c r="K23" s="58"/>
      <c r="L23" s="192"/>
      <c r="M23" s="192"/>
      <c r="N23" s="57"/>
      <c r="O23" s="58">
        <v>370</v>
      </c>
      <c r="P23" s="192"/>
      <c r="Q23" s="57">
        <v>20</v>
      </c>
      <c r="R23" s="58"/>
      <c r="S23" s="57"/>
      <c r="T23" s="269">
        <v>26.83</v>
      </c>
      <c r="U23" s="270">
        <f t="shared" si="0"/>
        <v>416.83</v>
      </c>
      <c r="V23" s="189" t="s">
        <v>43</v>
      </c>
      <c r="W23" s="271" t="s">
        <v>5</v>
      </c>
      <c r="X23" s="2" t="s">
        <v>156</v>
      </c>
      <c r="Y23" s="272"/>
      <c r="Z23" s="2"/>
      <c r="AA23" s="2"/>
      <c r="AB23" s="2"/>
    </row>
    <row r="24" spans="1:28" s="161" customFormat="1" ht="14.1" customHeight="1" x14ac:dyDescent="0.3">
      <c r="A24" s="113" t="s">
        <v>14</v>
      </c>
      <c r="B24" s="189" t="s">
        <v>76</v>
      </c>
      <c r="C24" s="190" t="s">
        <v>158</v>
      </c>
      <c r="D24" s="190">
        <v>11259041</v>
      </c>
      <c r="E24" s="267">
        <v>43794</v>
      </c>
      <c r="F24" s="190" t="s">
        <v>159</v>
      </c>
      <c r="G24" s="268">
        <v>43794</v>
      </c>
      <c r="H24" s="58"/>
      <c r="I24" s="192"/>
      <c r="J24" s="57"/>
      <c r="K24" s="58"/>
      <c r="L24" s="192"/>
      <c r="M24" s="192"/>
      <c r="N24" s="57"/>
      <c r="O24" s="58">
        <v>299</v>
      </c>
      <c r="P24" s="192"/>
      <c r="Q24" s="57">
        <v>18</v>
      </c>
      <c r="R24" s="58"/>
      <c r="S24" s="57"/>
      <c r="T24" s="269">
        <v>30.65</v>
      </c>
      <c r="U24" s="270">
        <f t="shared" si="0"/>
        <v>347.65</v>
      </c>
      <c r="V24" s="189" t="s">
        <v>36</v>
      </c>
      <c r="W24" s="271" t="s">
        <v>14</v>
      </c>
      <c r="X24" s="2" t="s">
        <v>290</v>
      </c>
      <c r="Y24" s="272"/>
      <c r="Z24" s="2"/>
      <c r="AA24" s="2"/>
      <c r="AB24" s="2"/>
    </row>
    <row r="25" spans="1:28" s="161" customFormat="1" ht="14.1" customHeight="1" x14ac:dyDescent="0.3">
      <c r="A25" s="113" t="s">
        <v>49</v>
      </c>
      <c r="B25" s="189" t="s">
        <v>160</v>
      </c>
      <c r="C25" s="190"/>
      <c r="D25" s="190">
        <v>12029067</v>
      </c>
      <c r="E25" s="267">
        <v>43801</v>
      </c>
      <c r="F25" s="190" t="s">
        <v>21</v>
      </c>
      <c r="G25" s="268">
        <v>43801</v>
      </c>
      <c r="H25" s="58"/>
      <c r="I25" s="192"/>
      <c r="J25" s="57"/>
      <c r="K25" s="58"/>
      <c r="L25" s="192"/>
      <c r="M25" s="192"/>
      <c r="N25" s="57"/>
      <c r="O25" s="58"/>
      <c r="P25" s="192"/>
      <c r="Q25" s="57"/>
      <c r="R25" s="58">
        <v>57</v>
      </c>
      <c r="S25" s="57"/>
      <c r="T25" s="269">
        <v>5.27</v>
      </c>
      <c r="U25" s="270">
        <f t="shared" si="0"/>
        <v>62.269999999999996</v>
      </c>
      <c r="V25" s="189" t="s">
        <v>36</v>
      </c>
      <c r="W25" s="271" t="s">
        <v>161</v>
      </c>
      <c r="X25" s="2" t="s">
        <v>324</v>
      </c>
      <c r="Y25" s="272"/>
      <c r="Z25" s="2"/>
      <c r="AA25" s="2"/>
      <c r="AB25" s="2"/>
    </row>
    <row r="26" spans="1:28" s="161" customFormat="1" ht="14.1" customHeight="1" x14ac:dyDescent="0.3">
      <c r="A26" s="113" t="s">
        <v>49</v>
      </c>
      <c r="B26" s="189" t="s">
        <v>162</v>
      </c>
      <c r="C26" s="190"/>
      <c r="D26" s="190">
        <v>12039103</v>
      </c>
      <c r="E26" s="267">
        <v>43802</v>
      </c>
      <c r="F26" s="190" t="s">
        <v>21</v>
      </c>
      <c r="G26" s="268">
        <v>43802</v>
      </c>
      <c r="H26" s="58"/>
      <c r="I26" s="192"/>
      <c r="J26" s="57"/>
      <c r="K26" s="58"/>
      <c r="L26" s="192"/>
      <c r="M26" s="192"/>
      <c r="N26" s="57"/>
      <c r="O26" s="58"/>
      <c r="P26" s="192"/>
      <c r="Q26" s="57"/>
      <c r="R26" s="58">
        <v>510</v>
      </c>
      <c r="S26" s="57"/>
      <c r="T26" s="269">
        <v>43.35</v>
      </c>
      <c r="U26" s="270">
        <f t="shared" si="0"/>
        <v>553.35</v>
      </c>
      <c r="V26" s="189" t="s">
        <v>36</v>
      </c>
      <c r="W26" s="271" t="s">
        <v>5</v>
      </c>
      <c r="X26" s="2" t="s">
        <v>240</v>
      </c>
      <c r="Y26" s="272"/>
      <c r="Z26" s="2"/>
      <c r="AA26" s="2"/>
      <c r="AB26" s="2"/>
    </row>
    <row r="27" spans="1:28" s="161" customFormat="1" ht="14.1" customHeight="1" x14ac:dyDescent="0.3">
      <c r="A27" s="113" t="s">
        <v>49</v>
      </c>
      <c r="B27" s="189" t="s">
        <v>163</v>
      </c>
      <c r="C27" s="190"/>
      <c r="D27" s="190">
        <v>11219105</v>
      </c>
      <c r="E27" s="267">
        <v>43805</v>
      </c>
      <c r="F27" s="190" t="s">
        <v>52</v>
      </c>
      <c r="G27" s="268">
        <v>43805</v>
      </c>
      <c r="H27" s="58"/>
      <c r="I27" s="192"/>
      <c r="J27" s="57"/>
      <c r="K27" s="58"/>
      <c r="L27" s="192"/>
      <c r="M27" s="192"/>
      <c r="N27" s="57"/>
      <c r="O27" s="58">
        <v>45</v>
      </c>
      <c r="P27" s="192">
        <v>90</v>
      </c>
      <c r="Q27" s="57"/>
      <c r="R27" s="58"/>
      <c r="S27" s="57"/>
      <c r="T27" s="269">
        <v>3.83</v>
      </c>
      <c r="U27" s="270">
        <f t="shared" si="0"/>
        <v>138.83000000000001</v>
      </c>
      <c r="V27" s="189" t="s">
        <v>7</v>
      </c>
      <c r="W27" s="271" t="s">
        <v>8</v>
      </c>
      <c r="X27" s="2" t="s">
        <v>164</v>
      </c>
      <c r="Y27" s="272"/>
      <c r="Z27" s="2"/>
      <c r="AA27" s="2"/>
      <c r="AB27" s="2"/>
    </row>
    <row r="28" spans="1:28" s="161" customFormat="1" ht="14.1" customHeight="1" thickBot="1" x14ac:dyDescent="0.35">
      <c r="A28" s="273" t="s">
        <v>49</v>
      </c>
      <c r="B28" s="274" t="s">
        <v>165</v>
      </c>
      <c r="C28" s="275"/>
      <c r="D28" s="190">
        <v>12279101</v>
      </c>
      <c r="E28" s="276">
        <v>43826</v>
      </c>
      <c r="F28" s="190" t="s">
        <v>166</v>
      </c>
      <c r="G28" s="277">
        <v>43826</v>
      </c>
      <c r="H28" s="278"/>
      <c r="I28" s="279"/>
      <c r="J28" s="280"/>
      <c r="K28" s="278"/>
      <c r="L28" s="279"/>
      <c r="M28" s="279"/>
      <c r="N28" s="280"/>
      <c r="O28" s="278">
        <v>60</v>
      </c>
      <c r="P28" s="279"/>
      <c r="Q28" s="280">
        <v>8</v>
      </c>
      <c r="R28" s="278"/>
      <c r="S28" s="280"/>
      <c r="T28" s="281">
        <v>5.25</v>
      </c>
      <c r="U28" s="282">
        <f t="shared" si="0"/>
        <v>73.25</v>
      </c>
      <c r="V28" s="283" t="s">
        <v>36</v>
      </c>
      <c r="W28" s="284" t="s">
        <v>5</v>
      </c>
      <c r="X28" s="2" t="s">
        <v>167</v>
      </c>
      <c r="Y28" s="272"/>
      <c r="Z28" s="2"/>
      <c r="AA28" s="2"/>
      <c r="AB28" s="2"/>
    </row>
    <row r="29" spans="1:28" s="161" customFormat="1" ht="14.1" customHeight="1" thickBot="1" x14ac:dyDescent="0.35">
      <c r="A29" s="94"/>
      <c r="B29" s="285"/>
      <c r="C29" s="286"/>
      <c r="D29" s="184"/>
      <c r="E29" s="287"/>
      <c r="F29" s="184"/>
      <c r="G29" s="288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90"/>
      <c r="T29" s="290"/>
      <c r="U29" s="80"/>
      <c r="V29" s="291"/>
      <c r="W29" s="292">
        <f>SUM(U4:U28)</f>
        <v>5721.5199999999995</v>
      </c>
      <c r="X29" s="293"/>
      <c r="Y29" s="294"/>
      <c r="Z29" s="2"/>
      <c r="AA29" s="2"/>
      <c r="AB29" s="2"/>
    </row>
    <row r="30" spans="1:28" s="161" customFormat="1" ht="14.1" customHeight="1" x14ac:dyDescent="0.3">
      <c r="A30" s="113" t="s">
        <v>49</v>
      </c>
      <c r="B30" s="189" t="s">
        <v>53</v>
      </c>
      <c r="C30" s="190"/>
      <c r="D30" s="190">
        <v>1020061</v>
      </c>
      <c r="E30" s="267">
        <v>43832</v>
      </c>
      <c r="F30" s="190" t="s">
        <v>21</v>
      </c>
      <c r="G30" s="268">
        <v>43832</v>
      </c>
      <c r="H30" s="58"/>
      <c r="I30" s="192"/>
      <c r="J30" s="57"/>
      <c r="K30" s="58"/>
      <c r="L30" s="192"/>
      <c r="M30" s="192"/>
      <c r="N30" s="57"/>
      <c r="O30" s="58"/>
      <c r="P30" s="192"/>
      <c r="Q30" s="57"/>
      <c r="R30" s="58">
        <v>194.5</v>
      </c>
      <c r="S30" s="57"/>
      <c r="T30" s="269">
        <v>16.53</v>
      </c>
      <c r="U30" s="270">
        <f t="shared" ref="U30:U36" si="1">SUM(H30:T30)</f>
        <v>211.03</v>
      </c>
      <c r="V30" s="189" t="s">
        <v>36</v>
      </c>
      <c r="W30" s="295" t="s">
        <v>80</v>
      </c>
      <c r="X30" s="110" t="s">
        <v>312</v>
      </c>
      <c r="Y30" s="272"/>
      <c r="Z30" s="2"/>
      <c r="AA30" s="2"/>
      <c r="AB30" s="2"/>
    </row>
    <row r="31" spans="1:28" s="161" customFormat="1" ht="14.1" customHeight="1" x14ac:dyDescent="0.3">
      <c r="A31" s="113" t="s">
        <v>49</v>
      </c>
      <c r="B31" s="189" t="s">
        <v>125</v>
      </c>
      <c r="C31" s="190"/>
      <c r="D31" s="190">
        <v>1100106</v>
      </c>
      <c r="E31" s="267">
        <v>43840</v>
      </c>
      <c r="F31" s="190" t="s">
        <v>21</v>
      </c>
      <c r="G31" s="268">
        <v>43840</v>
      </c>
      <c r="H31" s="58"/>
      <c r="I31" s="192"/>
      <c r="J31" s="57"/>
      <c r="K31" s="58"/>
      <c r="L31" s="192"/>
      <c r="M31" s="192"/>
      <c r="N31" s="57"/>
      <c r="O31" s="58"/>
      <c r="P31" s="192"/>
      <c r="Q31" s="57"/>
      <c r="R31" s="58">
        <v>282</v>
      </c>
      <c r="S31" s="57"/>
      <c r="T31" s="269">
        <v>23.97</v>
      </c>
      <c r="U31" s="270">
        <f t="shared" si="1"/>
        <v>305.97000000000003</v>
      </c>
      <c r="V31" s="189" t="s">
        <v>36</v>
      </c>
      <c r="W31" s="271" t="s">
        <v>80</v>
      </c>
      <c r="X31" s="2" t="s">
        <v>311</v>
      </c>
      <c r="Y31" s="272"/>
      <c r="Z31" s="2"/>
      <c r="AA31" s="2"/>
      <c r="AB31" s="2"/>
    </row>
    <row r="32" spans="1:28" s="161" customFormat="1" ht="14.1" customHeight="1" x14ac:dyDescent="0.3">
      <c r="A32" s="113" t="s">
        <v>35</v>
      </c>
      <c r="B32" s="189" t="s">
        <v>125</v>
      </c>
      <c r="C32" s="190"/>
      <c r="D32" s="190">
        <v>1150056</v>
      </c>
      <c r="E32" s="267">
        <v>43845</v>
      </c>
      <c r="F32" s="190" t="s">
        <v>108</v>
      </c>
      <c r="G32" s="268">
        <v>43845</v>
      </c>
      <c r="H32" s="58"/>
      <c r="I32" s="192"/>
      <c r="J32" s="57"/>
      <c r="K32" s="58">
        <v>58.5</v>
      </c>
      <c r="L32" s="192"/>
      <c r="M32" s="192"/>
      <c r="N32" s="57"/>
      <c r="O32" s="58"/>
      <c r="P32" s="192"/>
      <c r="Q32" s="57"/>
      <c r="R32" s="58"/>
      <c r="S32" s="57"/>
      <c r="T32" s="269"/>
      <c r="U32" s="270">
        <f t="shared" si="1"/>
        <v>58.5</v>
      </c>
      <c r="V32" s="189" t="s">
        <v>29</v>
      </c>
      <c r="W32" s="271" t="s">
        <v>35</v>
      </c>
      <c r="X32" s="2" t="s">
        <v>311</v>
      </c>
      <c r="Y32" s="272"/>
      <c r="Z32" s="2"/>
      <c r="AA32" s="2"/>
      <c r="AB32" s="2"/>
    </row>
    <row r="33" spans="1:28" s="161" customFormat="1" ht="14.1" customHeight="1" x14ac:dyDescent="0.3">
      <c r="A33" s="113" t="s">
        <v>49</v>
      </c>
      <c r="B33" s="189" t="s">
        <v>92</v>
      </c>
      <c r="C33" s="190"/>
      <c r="D33" s="190">
        <v>1210106</v>
      </c>
      <c r="E33" s="267">
        <v>43851</v>
      </c>
      <c r="F33" s="190" t="s">
        <v>21</v>
      </c>
      <c r="G33" s="268">
        <v>43851</v>
      </c>
      <c r="H33" s="58"/>
      <c r="I33" s="192"/>
      <c r="J33" s="57"/>
      <c r="K33" s="58"/>
      <c r="L33" s="192"/>
      <c r="M33" s="192"/>
      <c r="N33" s="57"/>
      <c r="O33" s="58"/>
      <c r="P33" s="192"/>
      <c r="Q33" s="57"/>
      <c r="R33" s="58">
        <v>68</v>
      </c>
      <c r="S33" s="57">
        <v>16</v>
      </c>
      <c r="T33" s="269">
        <v>5.78</v>
      </c>
      <c r="U33" s="270">
        <f t="shared" si="1"/>
        <v>89.78</v>
      </c>
      <c r="V33" s="189" t="s">
        <v>36</v>
      </c>
      <c r="W33" s="271" t="s">
        <v>80</v>
      </c>
      <c r="X33" s="2" t="s">
        <v>327</v>
      </c>
      <c r="Y33" s="272"/>
      <c r="Z33" s="2"/>
      <c r="AA33" s="2"/>
      <c r="AB33" s="2"/>
    </row>
    <row r="34" spans="1:28" s="161" customFormat="1" ht="14.1" customHeight="1" x14ac:dyDescent="0.3">
      <c r="A34" s="113" t="s">
        <v>14</v>
      </c>
      <c r="B34" s="189" t="s">
        <v>123</v>
      </c>
      <c r="C34" s="190" t="s">
        <v>168</v>
      </c>
      <c r="D34" s="190">
        <v>1270041</v>
      </c>
      <c r="E34" s="267">
        <v>43857</v>
      </c>
      <c r="F34" s="190" t="s">
        <v>169</v>
      </c>
      <c r="G34" s="268">
        <v>43857</v>
      </c>
      <c r="H34" s="58"/>
      <c r="I34" s="192"/>
      <c r="J34" s="57"/>
      <c r="K34" s="58"/>
      <c r="L34" s="192"/>
      <c r="M34" s="192"/>
      <c r="N34" s="57"/>
      <c r="O34" s="58">
        <v>60</v>
      </c>
      <c r="P34" s="192"/>
      <c r="Q34" s="57">
        <v>12</v>
      </c>
      <c r="R34" s="58"/>
      <c r="S34" s="57"/>
      <c r="T34" s="269">
        <v>5.7</v>
      </c>
      <c r="U34" s="270">
        <f t="shared" si="1"/>
        <v>77.7</v>
      </c>
      <c r="V34" s="189" t="s">
        <v>43</v>
      </c>
      <c r="W34" s="271" t="s">
        <v>80</v>
      </c>
      <c r="X34" s="2" t="s">
        <v>358</v>
      </c>
      <c r="Y34" s="272"/>
      <c r="Z34" s="2"/>
      <c r="AA34" s="2"/>
      <c r="AB34" s="2"/>
    </row>
    <row r="35" spans="1:28" s="161" customFormat="1" ht="14.1" customHeight="1" x14ac:dyDescent="0.3">
      <c r="A35" s="113" t="s">
        <v>14</v>
      </c>
      <c r="B35" s="189" t="s">
        <v>88</v>
      </c>
      <c r="C35" s="190" t="s">
        <v>170</v>
      </c>
      <c r="D35" s="190">
        <v>1290291</v>
      </c>
      <c r="E35" s="267">
        <v>43859</v>
      </c>
      <c r="F35" s="190" t="s">
        <v>96</v>
      </c>
      <c r="G35" s="268">
        <v>43859</v>
      </c>
      <c r="H35" s="58"/>
      <c r="I35" s="192"/>
      <c r="J35" s="57"/>
      <c r="K35" s="58"/>
      <c r="L35" s="192"/>
      <c r="M35" s="192"/>
      <c r="N35" s="57"/>
      <c r="O35" s="58">
        <v>150</v>
      </c>
      <c r="P35" s="192"/>
      <c r="Q35" s="57">
        <v>12</v>
      </c>
      <c r="R35" s="58"/>
      <c r="S35" s="57"/>
      <c r="T35" s="269">
        <v>13.88</v>
      </c>
      <c r="U35" s="270">
        <f t="shared" si="1"/>
        <v>175.88</v>
      </c>
      <c r="V35" s="189" t="s">
        <v>36</v>
      </c>
      <c r="W35" s="271" t="s">
        <v>5</v>
      </c>
      <c r="X35" s="2" t="s">
        <v>362</v>
      </c>
      <c r="Y35" s="272"/>
      <c r="Z35" s="2"/>
      <c r="AA35" s="2"/>
      <c r="AB35" s="2"/>
    </row>
    <row r="36" spans="1:28" s="161" customFormat="1" ht="14.1" customHeight="1" thickBot="1" x14ac:dyDescent="0.35">
      <c r="A36" s="273" t="s">
        <v>14</v>
      </c>
      <c r="B36" s="274" t="s">
        <v>123</v>
      </c>
      <c r="C36" s="275" t="s">
        <v>168</v>
      </c>
      <c r="D36" s="275">
        <v>1310041</v>
      </c>
      <c r="E36" s="276">
        <v>43861</v>
      </c>
      <c r="F36" s="275" t="s">
        <v>134</v>
      </c>
      <c r="G36" s="277">
        <v>43861</v>
      </c>
      <c r="H36" s="278"/>
      <c r="I36" s="279"/>
      <c r="J36" s="280"/>
      <c r="K36" s="278"/>
      <c r="L36" s="279"/>
      <c r="M36" s="279"/>
      <c r="N36" s="280"/>
      <c r="O36" s="278">
        <v>590</v>
      </c>
      <c r="P36" s="279"/>
      <c r="Q36" s="280">
        <v>24</v>
      </c>
      <c r="R36" s="278"/>
      <c r="S36" s="280"/>
      <c r="T36" s="281">
        <v>56.05</v>
      </c>
      <c r="U36" s="282">
        <f t="shared" si="1"/>
        <v>670.05</v>
      </c>
      <c r="V36" s="283" t="s">
        <v>36</v>
      </c>
      <c r="W36" s="284" t="s">
        <v>80</v>
      </c>
      <c r="X36" s="354" t="s">
        <v>358</v>
      </c>
      <c r="Y36" s="373"/>
      <c r="Z36" s="371"/>
      <c r="AA36" s="2"/>
      <c r="AB36" s="2"/>
    </row>
    <row r="37" spans="1:28" s="161" customFormat="1" ht="14.1" customHeight="1" thickBot="1" x14ac:dyDescent="0.35">
      <c r="A37" s="94"/>
      <c r="B37" s="285"/>
      <c r="C37" s="286"/>
      <c r="D37" s="296"/>
      <c r="E37" s="287"/>
      <c r="F37" s="296"/>
      <c r="G37" s="288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90"/>
      <c r="T37" s="290"/>
      <c r="U37" s="80"/>
      <c r="V37" s="291" t="s">
        <v>171</v>
      </c>
      <c r="W37" s="292">
        <f>SUM(U30:U36)</f>
        <v>1588.9099999999999</v>
      </c>
      <c r="X37" s="363">
        <f>W37/V37</f>
        <v>8.984913086257788E-3</v>
      </c>
      <c r="Y37" s="2"/>
      <c r="Z37" s="2"/>
      <c r="AA37" s="2"/>
      <c r="AB37" s="2"/>
    </row>
    <row r="38" spans="1:28" s="161" customFormat="1" ht="14.1" customHeight="1" x14ac:dyDescent="0.3">
      <c r="A38" s="102" t="s">
        <v>35</v>
      </c>
      <c r="B38" s="189" t="s">
        <v>172</v>
      </c>
      <c r="C38" s="190"/>
      <c r="D38" s="190">
        <v>2060402</v>
      </c>
      <c r="E38" s="267">
        <v>43867</v>
      </c>
      <c r="F38" s="190" t="s">
        <v>45</v>
      </c>
      <c r="G38" s="191">
        <v>43867</v>
      </c>
      <c r="H38" s="58"/>
      <c r="I38" s="57"/>
      <c r="J38" s="60"/>
      <c r="K38" s="60"/>
      <c r="L38" s="60"/>
      <c r="M38" s="58"/>
      <c r="N38" s="60"/>
      <c r="O38" s="58"/>
      <c r="P38" s="192">
        <v>180</v>
      </c>
      <c r="Q38" s="57">
        <v>90</v>
      </c>
      <c r="R38" s="58"/>
      <c r="S38" s="57"/>
      <c r="T38" s="59"/>
      <c r="U38" s="298">
        <f t="shared" ref="U38:U46" si="2">SUM(H38:T38)</f>
        <v>270</v>
      </c>
      <c r="V38" s="189" t="s">
        <v>7</v>
      </c>
      <c r="W38" s="271" t="s">
        <v>35</v>
      </c>
      <c r="X38" s="2" t="s">
        <v>173</v>
      </c>
      <c r="Y38" s="272"/>
      <c r="Z38" s="2"/>
      <c r="AA38" s="2"/>
      <c r="AB38" s="2"/>
    </row>
    <row r="39" spans="1:28" s="161" customFormat="1" ht="14.1" customHeight="1" x14ac:dyDescent="0.3">
      <c r="A39" s="102" t="s">
        <v>5</v>
      </c>
      <c r="B39" s="189" t="s">
        <v>53</v>
      </c>
      <c r="C39" s="190"/>
      <c r="D39" s="190">
        <v>2100061</v>
      </c>
      <c r="E39" s="267">
        <v>43871</v>
      </c>
      <c r="F39" s="190" t="s">
        <v>21</v>
      </c>
      <c r="G39" s="191">
        <v>43871</v>
      </c>
      <c r="H39" s="58"/>
      <c r="I39" s="57"/>
      <c r="J39" s="60"/>
      <c r="K39" s="60"/>
      <c r="L39" s="60"/>
      <c r="M39" s="58"/>
      <c r="N39" s="60"/>
      <c r="O39" s="58"/>
      <c r="P39" s="192"/>
      <c r="Q39" s="57"/>
      <c r="R39" s="58">
        <v>259.5</v>
      </c>
      <c r="S39" s="57"/>
      <c r="T39" s="59">
        <v>22.06</v>
      </c>
      <c r="U39" s="298">
        <f t="shared" si="2"/>
        <v>281.56</v>
      </c>
      <c r="V39" s="189" t="s">
        <v>36</v>
      </c>
      <c r="W39" s="271" t="s">
        <v>80</v>
      </c>
      <c r="X39" s="2" t="s">
        <v>312</v>
      </c>
      <c r="Y39" s="272"/>
      <c r="Z39" s="2"/>
      <c r="AA39" s="2"/>
      <c r="AB39" s="2"/>
    </row>
    <row r="40" spans="1:28" s="161" customFormat="1" ht="14.1" customHeight="1" x14ac:dyDescent="0.3">
      <c r="A40" s="102" t="s">
        <v>49</v>
      </c>
      <c r="B40" s="189" t="s">
        <v>160</v>
      </c>
      <c r="C40" s="190"/>
      <c r="D40" s="190">
        <v>2170105</v>
      </c>
      <c r="E40" s="267">
        <v>43878</v>
      </c>
      <c r="F40" s="190" t="s">
        <v>96</v>
      </c>
      <c r="G40" s="191">
        <v>43878</v>
      </c>
      <c r="H40" s="58"/>
      <c r="I40" s="57"/>
      <c r="J40" s="60"/>
      <c r="K40" s="60"/>
      <c r="L40" s="60"/>
      <c r="M40" s="58"/>
      <c r="N40" s="60"/>
      <c r="O40" s="58">
        <v>175</v>
      </c>
      <c r="P40" s="192"/>
      <c r="Q40" s="57">
        <v>12</v>
      </c>
      <c r="R40" s="58"/>
      <c r="S40" s="57"/>
      <c r="T40" s="59">
        <v>16.190000000000001</v>
      </c>
      <c r="U40" s="298">
        <f t="shared" si="2"/>
        <v>203.19</v>
      </c>
      <c r="V40" s="189" t="s">
        <v>36</v>
      </c>
      <c r="W40" s="271" t="s">
        <v>80</v>
      </c>
      <c r="X40" s="2" t="s">
        <v>324</v>
      </c>
      <c r="Y40" s="272"/>
      <c r="Z40" s="2"/>
      <c r="AA40" s="2"/>
      <c r="AB40" s="2"/>
    </row>
    <row r="41" spans="1:28" s="161" customFormat="1" ht="14.1" customHeight="1" x14ac:dyDescent="0.3">
      <c r="A41" s="102" t="s">
        <v>49</v>
      </c>
      <c r="B41" s="189" t="s">
        <v>160</v>
      </c>
      <c r="C41" s="190"/>
      <c r="D41" s="190">
        <v>2170104</v>
      </c>
      <c r="E41" s="267">
        <v>43878</v>
      </c>
      <c r="F41" s="190" t="s">
        <v>21</v>
      </c>
      <c r="G41" s="191">
        <v>43878</v>
      </c>
      <c r="H41" s="58"/>
      <c r="I41" s="57"/>
      <c r="J41" s="60"/>
      <c r="K41" s="60"/>
      <c r="L41" s="60"/>
      <c r="M41" s="58"/>
      <c r="N41" s="60"/>
      <c r="O41" s="58"/>
      <c r="P41" s="192"/>
      <c r="Q41" s="57"/>
      <c r="R41" s="58">
        <v>171</v>
      </c>
      <c r="S41" s="57"/>
      <c r="T41" s="59">
        <v>15.82</v>
      </c>
      <c r="U41" s="298">
        <f t="shared" si="2"/>
        <v>186.82</v>
      </c>
      <c r="V41" s="189" t="s">
        <v>36</v>
      </c>
      <c r="W41" s="271" t="s">
        <v>80</v>
      </c>
      <c r="X41" s="2" t="s">
        <v>324</v>
      </c>
      <c r="Y41" s="272"/>
      <c r="Z41" s="2"/>
      <c r="AA41" s="2"/>
      <c r="AB41" s="2"/>
    </row>
    <row r="42" spans="1:28" s="161" customFormat="1" ht="13.5" customHeight="1" x14ac:dyDescent="0.3">
      <c r="A42" s="102" t="s">
        <v>49</v>
      </c>
      <c r="B42" s="189" t="s">
        <v>107</v>
      </c>
      <c r="C42" s="190"/>
      <c r="D42" s="190">
        <v>2180107</v>
      </c>
      <c r="E42" s="267">
        <v>43879</v>
      </c>
      <c r="F42" s="190" t="s">
        <v>21</v>
      </c>
      <c r="G42" s="191">
        <v>43879</v>
      </c>
      <c r="H42" s="58"/>
      <c r="I42" s="57"/>
      <c r="J42" s="60"/>
      <c r="K42" s="60"/>
      <c r="L42" s="60"/>
      <c r="M42" s="58"/>
      <c r="N42" s="60"/>
      <c r="O42" s="58"/>
      <c r="P42" s="192"/>
      <c r="Q42" s="57"/>
      <c r="R42" s="58">
        <v>46.63</v>
      </c>
      <c r="S42" s="57"/>
      <c r="T42" s="59"/>
      <c r="U42" s="298">
        <f t="shared" si="2"/>
        <v>46.63</v>
      </c>
      <c r="V42" s="189" t="s">
        <v>36</v>
      </c>
      <c r="W42" s="271" t="s">
        <v>80</v>
      </c>
      <c r="X42" s="2" t="s">
        <v>351</v>
      </c>
      <c r="Y42" s="272"/>
      <c r="Z42" s="2"/>
      <c r="AA42" s="2"/>
      <c r="AB42" s="2"/>
    </row>
    <row r="43" spans="1:28" s="161" customFormat="1" ht="14.1" customHeight="1" x14ac:dyDescent="0.3">
      <c r="A43" s="102" t="s">
        <v>80</v>
      </c>
      <c r="B43" s="189" t="s">
        <v>154</v>
      </c>
      <c r="C43" s="190"/>
      <c r="D43" s="190">
        <v>22100302</v>
      </c>
      <c r="E43" s="267">
        <v>43882</v>
      </c>
      <c r="F43" s="190" t="s">
        <v>97</v>
      </c>
      <c r="G43" s="191">
        <v>43882</v>
      </c>
      <c r="H43" s="58"/>
      <c r="I43" s="57"/>
      <c r="J43" s="60"/>
      <c r="K43" s="60"/>
      <c r="L43" s="60"/>
      <c r="M43" s="58"/>
      <c r="N43" s="60"/>
      <c r="O43" s="58">
        <v>25</v>
      </c>
      <c r="P43" s="192">
        <v>90</v>
      </c>
      <c r="Q43" s="57"/>
      <c r="R43" s="58"/>
      <c r="S43" s="57"/>
      <c r="T43" s="59">
        <v>2.13</v>
      </c>
      <c r="U43" s="298">
        <f t="shared" si="2"/>
        <v>117.13</v>
      </c>
      <c r="V43" s="189" t="s">
        <v>36</v>
      </c>
      <c r="W43" s="271" t="s">
        <v>80</v>
      </c>
      <c r="X43" s="2" t="s">
        <v>215</v>
      </c>
      <c r="Y43" s="272"/>
      <c r="Z43" s="2"/>
      <c r="AA43" s="2"/>
      <c r="AB43" s="2"/>
    </row>
    <row r="44" spans="1:28" s="161" customFormat="1" ht="14.1" customHeight="1" x14ac:dyDescent="0.3">
      <c r="A44" s="102" t="s">
        <v>80</v>
      </c>
      <c r="B44" s="189" t="s">
        <v>154</v>
      </c>
      <c r="C44" s="190"/>
      <c r="D44" s="190">
        <v>22100301</v>
      </c>
      <c r="E44" s="267">
        <v>43882</v>
      </c>
      <c r="F44" s="190" t="s">
        <v>97</v>
      </c>
      <c r="G44" s="191">
        <v>43882</v>
      </c>
      <c r="H44" s="58"/>
      <c r="I44" s="57"/>
      <c r="J44" s="60"/>
      <c r="K44" s="60"/>
      <c r="L44" s="60"/>
      <c r="M44" s="58"/>
      <c r="N44" s="60"/>
      <c r="O44" s="58">
        <v>375</v>
      </c>
      <c r="P44" s="192">
        <v>180</v>
      </c>
      <c r="Q44" s="57"/>
      <c r="R44" s="58"/>
      <c r="S44" s="57"/>
      <c r="T44" s="59">
        <v>31.88</v>
      </c>
      <c r="U44" s="298">
        <f t="shared" si="2"/>
        <v>586.88</v>
      </c>
      <c r="V44" s="189" t="s">
        <v>36</v>
      </c>
      <c r="W44" s="271" t="s">
        <v>80</v>
      </c>
      <c r="X44" s="2" t="s">
        <v>215</v>
      </c>
      <c r="Y44" s="272"/>
      <c r="Z44" s="2"/>
      <c r="AA44" s="2"/>
      <c r="AB44" s="2"/>
    </row>
    <row r="45" spans="1:28" s="161" customFormat="1" ht="14.1" customHeight="1" x14ac:dyDescent="0.3">
      <c r="A45" s="102" t="s">
        <v>49</v>
      </c>
      <c r="B45" s="189" t="s">
        <v>83</v>
      </c>
      <c r="C45" s="190"/>
      <c r="D45" s="190">
        <v>2270103</v>
      </c>
      <c r="E45" s="267">
        <v>43888</v>
      </c>
      <c r="F45" s="190" t="s">
        <v>21</v>
      </c>
      <c r="G45" s="191">
        <v>43888</v>
      </c>
      <c r="H45" s="58"/>
      <c r="I45" s="57"/>
      <c r="J45" s="60"/>
      <c r="K45" s="60"/>
      <c r="L45" s="60"/>
      <c r="M45" s="58"/>
      <c r="N45" s="60"/>
      <c r="O45" s="58"/>
      <c r="P45" s="192"/>
      <c r="Q45" s="57"/>
      <c r="R45" s="58">
        <v>180</v>
      </c>
      <c r="S45" s="57"/>
      <c r="T45" s="59">
        <v>16.649999999999999</v>
      </c>
      <c r="U45" s="298">
        <f t="shared" si="2"/>
        <v>196.65</v>
      </c>
      <c r="V45" s="189" t="s">
        <v>36</v>
      </c>
      <c r="W45" s="271" t="s">
        <v>5</v>
      </c>
      <c r="X45" s="2" t="s">
        <v>216</v>
      </c>
      <c r="Y45" s="272"/>
      <c r="Z45" s="2"/>
      <c r="AA45" s="2"/>
      <c r="AB45" s="2"/>
    </row>
    <row r="46" spans="1:28" s="161" customFormat="1" ht="14.1" customHeight="1" thickBot="1" x14ac:dyDescent="0.35">
      <c r="A46" s="102" t="s">
        <v>5</v>
      </c>
      <c r="B46" s="189" t="s">
        <v>175</v>
      </c>
      <c r="C46" s="190"/>
      <c r="D46" s="190">
        <v>2280061</v>
      </c>
      <c r="E46" s="267">
        <v>43889</v>
      </c>
      <c r="F46" s="190" t="s">
        <v>21</v>
      </c>
      <c r="G46" s="191">
        <v>43889</v>
      </c>
      <c r="H46" s="58"/>
      <c r="I46" s="57"/>
      <c r="J46" s="60"/>
      <c r="K46" s="60"/>
      <c r="L46" s="60"/>
      <c r="M46" s="58"/>
      <c r="N46" s="60"/>
      <c r="O46" s="58"/>
      <c r="P46" s="192"/>
      <c r="Q46" s="57"/>
      <c r="R46" s="58">
        <v>212</v>
      </c>
      <c r="S46" s="57"/>
      <c r="T46" s="59">
        <v>20.14</v>
      </c>
      <c r="U46" s="298">
        <f t="shared" si="2"/>
        <v>232.14</v>
      </c>
      <c r="V46" s="189" t="s">
        <v>43</v>
      </c>
      <c r="W46" s="271" t="s">
        <v>5</v>
      </c>
      <c r="X46" s="2" t="s">
        <v>176</v>
      </c>
      <c r="Y46" s="272"/>
      <c r="Z46" s="2"/>
      <c r="AA46" s="2"/>
      <c r="AB46" s="2"/>
    </row>
    <row r="47" spans="1:28" s="161" customFormat="1" ht="14.1" customHeight="1" thickBot="1" x14ac:dyDescent="0.35">
      <c r="A47" s="182"/>
      <c r="B47" s="183"/>
      <c r="C47" s="299"/>
      <c r="D47" s="184"/>
      <c r="E47" s="185"/>
      <c r="F47" s="184"/>
      <c r="G47" s="186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187"/>
      <c r="T47" s="187"/>
      <c r="U47" s="45"/>
      <c r="V47" s="300" t="s">
        <v>177</v>
      </c>
      <c r="W47" s="61">
        <f>SUM(U38:U46)</f>
        <v>2121</v>
      </c>
      <c r="X47" s="297">
        <f>W47/V47</f>
        <v>1.3256250000000001E-2</v>
      </c>
      <c r="Y47" s="2"/>
      <c r="Z47" s="2"/>
      <c r="AA47" s="2"/>
      <c r="AB47" s="2"/>
    </row>
    <row r="48" spans="1:28" s="161" customFormat="1" ht="14.1" customHeight="1" x14ac:dyDescent="0.3">
      <c r="A48" s="102" t="s">
        <v>49</v>
      </c>
      <c r="B48" s="189" t="s">
        <v>125</v>
      </c>
      <c r="C48" s="190"/>
      <c r="D48" s="104">
        <v>3030105</v>
      </c>
      <c r="E48" s="141">
        <v>43893</v>
      </c>
      <c r="F48" s="43" t="s">
        <v>21</v>
      </c>
      <c r="G48" s="191">
        <v>43893</v>
      </c>
      <c r="H48" s="58"/>
      <c r="I48" s="60"/>
      <c r="J48" s="60"/>
      <c r="K48" s="60"/>
      <c r="L48" s="60"/>
      <c r="M48" s="58"/>
      <c r="N48" s="60"/>
      <c r="O48" s="58"/>
      <c r="P48" s="192"/>
      <c r="Q48" s="57"/>
      <c r="R48" s="58">
        <v>210</v>
      </c>
      <c r="S48" s="57"/>
      <c r="T48" s="59">
        <v>17.850000000000001</v>
      </c>
      <c r="U48" s="298">
        <f>SUM(H48:T48)</f>
        <v>227.85</v>
      </c>
      <c r="V48" s="189" t="s">
        <v>36</v>
      </c>
      <c r="W48" s="67" t="s">
        <v>80</v>
      </c>
      <c r="X48" s="83" t="s">
        <v>311</v>
      </c>
      <c r="Y48" s="272"/>
      <c r="Z48" s="2"/>
      <c r="AA48" s="2"/>
      <c r="AB48" s="2"/>
    </row>
    <row r="49" spans="1:28" s="161" customFormat="1" ht="14.1" customHeight="1" x14ac:dyDescent="0.3">
      <c r="A49" s="102" t="s">
        <v>44</v>
      </c>
      <c r="B49" s="189" t="s">
        <v>178</v>
      </c>
      <c r="C49" s="190"/>
      <c r="D49" s="104">
        <v>3060041</v>
      </c>
      <c r="E49" s="141">
        <v>43896</v>
      </c>
      <c r="F49" s="43" t="s">
        <v>94</v>
      </c>
      <c r="G49" s="191">
        <v>43896</v>
      </c>
      <c r="H49" s="58"/>
      <c r="I49" s="60"/>
      <c r="J49" s="60"/>
      <c r="K49" s="60"/>
      <c r="L49" s="60"/>
      <c r="M49" s="58"/>
      <c r="N49" s="60"/>
      <c r="O49" s="58">
        <v>150</v>
      </c>
      <c r="P49" s="192"/>
      <c r="Q49" s="57">
        <v>9</v>
      </c>
      <c r="R49" s="58"/>
      <c r="S49" s="57"/>
      <c r="T49" s="59">
        <v>12.75</v>
      </c>
      <c r="U49" s="298">
        <f>SUM(H49:T49)</f>
        <v>171.75</v>
      </c>
      <c r="V49" s="189" t="s">
        <v>36</v>
      </c>
      <c r="W49" s="67" t="s">
        <v>80</v>
      </c>
      <c r="X49" s="372" t="s">
        <v>179</v>
      </c>
      <c r="Y49" s="373"/>
      <c r="Z49" s="371"/>
      <c r="AA49" s="2"/>
      <c r="AB49" s="2"/>
    </row>
    <row r="50" spans="1:28" s="161" customFormat="1" ht="14.1" customHeight="1" thickBot="1" x14ac:dyDescent="0.35">
      <c r="A50" s="102" t="s">
        <v>49</v>
      </c>
      <c r="B50" s="189" t="s">
        <v>180</v>
      </c>
      <c r="C50" s="190"/>
      <c r="D50" s="104">
        <v>3130103</v>
      </c>
      <c r="E50" s="141">
        <v>43903</v>
      </c>
      <c r="F50" s="43" t="s">
        <v>21</v>
      </c>
      <c r="G50" s="191">
        <v>43903</v>
      </c>
      <c r="H50" s="58"/>
      <c r="I50" s="60"/>
      <c r="J50" s="60"/>
      <c r="K50" s="60"/>
      <c r="L50" s="60"/>
      <c r="M50" s="58"/>
      <c r="N50" s="60"/>
      <c r="O50" s="58"/>
      <c r="P50" s="192"/>
      <c r="Q50" s="57"/>
      <c r="R50" s="58">
        <v>84</v>
      </c>
      <c r="S50" s="57"/>
      <c r="T50" s="59">
        <v>7.77</v>
      </c>
      <c r="U50" s="298">
        <f>SUM(H50:T50)</f>
        <v>91.77</v>
      </c>
      <c r="V50" s="189" t="s">
        <v>39</v>
      </c>
      <c r="W50" s="67" t="s">
        <v>181</v>
      </c>
      <c r="X50" s="83" t="s">
        <v>182</v>
      </c>
      <c r="Y50" s="272"/>
      <c r="Z50" s="2"/>
      <c r="AA50" s="2"/>
      <c r="AB50" s="2"/>
    </row>
    <row r="51" spans="1:28" s="161" customFormat="1" ht="14.1" customHeight="1" thickBot="1" x14ac:dyDescent="0.35">
      <c r="A51" s="182"/>
      <c r="B51" s="183"/>
      <c r="C51" s="299"/>
      <c r="D51" s="184"/>
      <c r="E51" s="185"/>
      <c r="F51" s="184"/>
      <c r="G51" s="186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187"/>
      <c r="T51" s="187"/>
      <c r="U51" s="45"/>
      <c r="V51" s="300" t="s">
        <v>183</v>
      </c>
      <c r="W51" s="61">
        <f>SUM(U48:U50)</f>
        <v>491.37</v>
      </c>
      <c r="X51" s="297">
        <f>W51/V51</f>
        <v>4.5079816513761469E-3</v>
      </c>
      <c r="Y51" s="2"/>
      <c r="Z51" s="2"/>
      <c r="AA51" s="2"/>
      <c r="AB51" s="2"/>
    </row>
    <row r="52" spans="1:28" s="161" customFormat="1" ht="14.1" customHeight="1" x14ac:dyDescent="0.3">
      <c r="A52" s="102" t="s">
        <v>5</v>
      </c>
      <c r="B52" s="189" t="s">
        <v>117</v>
      </c>
      <c r="C52" s="190" t="s">
        <v>184</v>
      </c>
      <c r="D52" s="104">
        <v>4200101</v>
      </c>
      <c r="E52" s="141">
        <v>43941</v>
      </c>
      <c r="F52" s="43" t="s">
        <v>21</v>
      </c>
      <c r="G52" s="191">
        <v>43941</v>
      </c>
      <c r="H52" s="58"/>
      <c r="I52" s="60"/>
      <c r="J52" s="60"/>
      <c r="K52" s="60"/>
      <c r="L52" s="58"/>
      <c r="M52" s="58"/>
      <c r="N52" s="58"/>
      <c r="O52" s="58"/>
      <c r="P52" s="192"/>
      <c r="Q52" s="57"/>
      <c r="R52" s="192">
        <v>153</v>
      </c>
      <c r="S52" s="57"/>
      <c r="T52" s="59">
        <v>13.01</v>
      </c>
      <c r="U52" s="298">
        <f>SUM(H52:T52)</f>
        <v>166.01</v>
      </c>
      <c r="V52" s="189" t="s">
        <v>36</v>
      </c>
      <c r="W52" s="67" t="s">
        <v>5</v>
      </c>
      <c r="X52" s="83" t="s">
        <v>312</v>
      </c>
      <c r="Y52" s="272"/>
      <c r="Z52" s="2"/>
      <c r="AA52" s="2"/>
      <c r="AB52" s="2"/>
    </row>
    <row r="53" spans="1:28" s="161" customFormat="1" ht="14.1" customHeight="1" thickBot="1" x14ac:dyDescent="0.35">
      <c r="A53" s="102" t="s">
        <v>35</v>
      </c>
      <c r="B53" s="189" t="s">
        <v>185</v>
      </c>
      <c r="C53" s="190"/>
      <c r="D53" s="104">
        <v>4290053</v>
      </c>
      <c r="E53" s="141">
        <v>43950</v>
      </c>
      <c r="F53" s="43" t="s">
        <v>186</v>
      </c>
      <c r="G53" s="191">
        <v>43950</v>
      </c>
      <c r="H53" s="58"/>
      <c r="I53" s="60"/>
      <c r="J53" s="60"/>
      <c r="K53" s="60">
        <v>58.5</v>
      </c>
      <c r="L53" s="60"/>
      <c r="M53" s="58"/>
      <c r="N53" s="60"/>
      <c r="O53" s="58"/>
      <c r="P53" s="192"/>
      <c r="Q53" s="57"/>
      <c r="R53" s="58"/>
      <c r="S53" s="57"/>
      <c r="T53" s="59"/>
      <c r="U53" s="298">
        <f>SUM(H53:T53)</f>
        <v>58.5</v>
      </c>
      <c r="V53" s="189" t="s">
        <v>29</v>
      </c>
      <c r="W53" s="67" t="s">
        <v>35</v>
      </c>
      <c r="X53" s="83" t="s">
        <v>311</v>
      </c>
      <c r="Y53" s="272"/>
      <c r="Z53" s="2"/>
      <c r="AA53" s="2"/>
      <c r="AB53" s="2"/>
    </row>
    <row r="54" spans="1:28" s="161" customFormat="1" ht="14.1" customHeight="1" thickBot="1" x14ac:dyDescent="0.35">
      <c r="A54" s="182"/>
      <c r="B54" s="183"/>
      <c r="C54" s="184"/>
      <c r="D54" s="301"/>
      <c r="E54" s="302"/>
      <c r="F54" s="303"/>
      <c r="G54" s="186"/>
      <c r="H54" s="304"/>
      <c r="I54" s="305"/>
      <c r="J54" s="305"/>
      <c r="K54" s="305"/>
      <c r="L54" s="305"/>
      <c r="M54" s="304"/>
      <c r="N54" s="305"/>
      <c r="O54" s="304"/>
      <c r="P54" s="68"/>
      <c r="Q54" s="306"/>
      <c r="R54" s="304"/>
      <c r="S54" s="306"/>
      <c r="T54" s="307"/>
      <c r="U54" s="308"/>
      <c r="V54" s="309" t="s">
        <v>187</v>
      </c>
      <c r="W54" s="61">
        <f>SUM(U52:U53)</f>
        <v>224.51</v>
      </c>
      <c r="X54" s="297">
        <f>W54/V54</f>
        <v>5.7531262812628124E-3</v>
      </c>
      <c r="Y54" s="272"/>
      <c r="Z54" s="2"/>
      <c r="AA54" s="2"/>
      <c r="AB54" s="2"/>
    </row>
    <row r="55" spans="1:28" s="161" customFormat="1" ht="14.1" customHeight="1" thickBot="1" x14ac:dyDescent="0.35">
      <c r="A55" s="102" t="s">
        <v>6</v>
      </c>
      <c r="B55" s="189" t="s">
        <v>76</v>
      </c>
      <c r="C55" s="190" t="s">
        <v>119</v>
      </c>
      <c r="D55" s="104">
        <v>5010501</v>
      </c>
      <c r="E55" s="141">
        <v>43952</v>
      </c>
      <c r="F55" s="43" t="s">
        <v>51</v>
      </c>
      <c r="G55" s="191">
        <v>43952</v>
      </c>
      <c r="H55" s="58"/>
      <c r="I55" s="60"/>
      <c r="J55" s="60"/>
      <c r="K55" s="60"/>
      <c r="L55" s="60"/>
      <c r="M55" s="58">
        <v>237</v>
      </c>
      <c r="N55" s="60"/>
      <c r="O55" s="58"/>
      <c r="P55" s="192"/>
      <c r="Q55" s="57"/>
      <c r="R55" s="58"/>
      <c r="S55" s="57"/>
      <c r="T55" s="59"/>
      <c r="U55" s="298">
        <f t="shared" ref="U55:U58" si="3">SUM(H55:T55)</f>
        <v>237</v>
      </c>
      <c r="V55" s="189" t="s">
        <v>29</v>
      </c>
      <c r="W55" s="67" t="s">
        <v>6</v>
      </c>
      <c r="X55" s="83" t="s">
        <v>290</v>
      </c>
      <c r="Y55" s="272"/>
      <c r="Z55" s="2"/>
      <c r="AA55" s="2"/>
      <c r="AB55" s="2"/>
    </row>
    <row r="56" spans="1:28" s="161" customFormat="1" ht="14.1" customHeight="1" thickBot="1" x14ac:dyDescent="0.35">
      <c r="A56" s="102" t="s">
        <v>5</v>
      </c>
      <c r="B56" s="189" t="s">
        <v>189</v>
      </c>
      <c r="C56" s="190"/>
      <c r="D56" s="104">
        <v>5150057</v>
      </c>
      <c r="E56" s="141">
        <v>43966</v>
      </c>
      <c r="F56" s="43" t="s">
        <v>51</v>
      </c>
      <c r="G56" s="191">
        <v>43966</v>
      </c>
      <c r="H56" s="58"/>
      <c r="I56" s="60"/>
      <c r="J56" s="60"/>
      <c r="K56" s="60"/>
      <c r="L56" s="60"/>
      <c r="M56" s="58">
        <v>600</v>
      </c>
      <c r="N56" s="60"/>
      <c r="O56" s="58"/>
      <c r="P56" s="192"/>
      <c r="Q56" s="57"/>
      <c r="R56" s="58"/>
      <c r="S56" s="57"/>
      <c r="T56" s="59"/>
      <c r="U56" s="298">
        <f t="shared" si="3"/>
        <v>600</v>
      </c>
      <c r="V56" s="189" t="s">
        <v>29</v>
      </c>
      <c r="W56" s="67" t="s">
        <v>32</v>
      </c>
      <c r="X56" s="311" t="s">
        <v>79</v>
      </c>
      <c r="Y56" s="312"/>
      <c r="Z56" s="2"/>
      <c r="AA56" s="2"/>
      <c r="AB56" s="2"/>
    </row>
    <row r="57" spans="1:28" s="161" customFormat="1" ht="14.1" customHeight="1" x14ac:dyDescent="0.3">
      <c r="A57" s="102" t="s">
        <v>74</v>
      </c>
      <c r="B57" s="189" t="s">
        <v>190</v>
      </c>
      <c r="C57" s="190" t="s">
        <v>116</v>
      </c>
      <c r="D57" s="104">
        <v>5250302</v>
      </c>
      <c r="E57" s="141">
        <v>43976</v>
      </c>
      <c r="F57" s="43" t="s">
        <v>191</v>
      </c>
      <c r="G57" s="191">
        <v>43973</v>
      </c>
      <c r="H57" s="58"/>
      <c r="I57" s="60"/>
      <c r="J57" s="60"/>
      <c r="K57" s="60"/>
      <c r="L57" s="60"/>
      <c r="M57" s="58"/>
      <c r="N57" s="60"/>
      <c r="O57" s="58"/>
      <c r="P57" s="192">
        <v>90</v>
      </c>
      <c r="Q57" s="57">
        <v>0</v>
      </c>
      <c r="R57" s="58"/>
      <c r="S57" s="57"/>
      <c r="T57" s="59"/>
      <c r="U57" s="298">
        <f t="shared" si="3"/>
        <v>90</v>
      </c>
      <c r="V57" s="189" t="s">
        <v>7</v>
      </c>
      <c r="W57" s="67" t="s">
        <v>74</v>
      </c>
      <c r="X57" s="83" t="s">
        <v>326</v>
      </c>
      <c r="Y57" s="272"/>
      <c r="Z57" s="2"/>
      <c r="AA57" s="2"/>
      <c r="AB57" s="2"/>
    </row>
    <row r="58" spans="1:28" s="161" customFormat="1" ht="14.1" customHeight="1" thickBot="1" x14ac:dyDescent="0.35">
      <c r="A58" s="102" t="s">
        <v>44</v>
      </c>
      <c r="B58" s="189" t="s">
        <v>193</v>
      </c>
      <c r="C58" s="190"/>
      <c r="D58" s="104">
        <v>5260104</v>
      </c>
      <c r="E58" s="141">
        <v>43977</v>
      </c>
      <c r="F58" s="43" t="s">
        <v>21</v>
      </c>
      <c r="G58" s="191">
        <v>43977</v>
      </c>
      <c r="H58" s="58"/>
      <c r="I58" s="60"/>
      <c r="J58" s="60"/>
      <c r="K58" s="60"/>
      <c r="L58" s="60"/>
      <c r="M58" s="58"/>
      <c r="N58" s="60"/>
      <c r="O58" s="58"/>
      <c r="P58" s="192"/>
      <c r="Q58" s="57"/>
      <c r="R58" s="58">
        <v>165</v>
      </c>
      <c r="S58" s="57"/>
      <c r="T58" s="59">
        <v>15.26</v>
      </c>
      <c r="U58" s="298">
        <f t="shared" si="3"/>
        <v>180.26</v>
      </c>
      <c r="V58" s="189" t="s">
        <v>36</v>
      </c>
      <c r="W58" s="67" t="s">
        <v>5</v>
      </c>
      <c r="X58" s="83" t="s">
        <v>368</v>
      </c>
      <c r="Y58" s="272"/>
      <c r="Z58" s="2"/>
      <c r="AA58" s="2"/>
      <c r="AB58" s="2"/>
    </row>
    <row r="59" spans="1:28" s="161" customFormat="1" ht="14.1" customHeight="1" thickBot="1" x14ac:dyDescent="0.35">
      <c r="A59" s="182"/>
      <c r="B59" s="183"/>
      <c r="C59" s="299"/>
      <c r="D59" s="184"/>
      <c r="E59" s="185"/>
      <c r="F59" s="184"/>
      <c r="G59" s="186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187"/>
      <c r="T59" s="187"/>
      <c r="U59" s="114"/>
      <c r="V59" s="300" t="s">
        <v>194</v>
      </c>
      <c r="W59" s="61">
        <f>SUM(U55:U58)</f>
        <v>1107.26</v>
      </c>
      <c r="X59" s="313">
        <f>W59/V59</f>
        <v>2.2252904055629245E-2</v>
      </c>
      <c r="Y59" s="294"/>
      <c r="Z59" s="2"/>
      <c r="AA59" s="2"/>
      <c r="AB59" s="2"/>
    </row>
    <row r="60" spans="1:28" s="161" customFormat="1" ht="14.1" customHeight="1" x14ac:dyDescent="0.3">
      <c r="A60" s="102" t="s">
        <v>93</v>
      </c>
      <c r="B60" s="189" t="s">
        <v>91</v>
      </c>
      <c r="C60" s="190"/>
      <c r="D60" s="104">
        <v>6010294</v>
      </c>
      <c r="E60" s="141">
        <v>43983</v>
      </c>
      <c r="F60" s="43" t="s">
        <v>21</v>
      </c>
      <c r="G60" s="191">
        <v>43983</v>
      </c>
      <c r="H60" s="58"/>
      <c r="I60" s="60"/>
      <c r="J60" s="60"/>
      <c r="K60" s="60"/>
      <c r="L60" s="60"/>
      <c r="M60" s="58"/>
      <c r="N60" s="60"/>
      <c r="O60" s="58"/>
      <c r="P60" s="192"/>
      <c r="Q60" s="57"/>
      <c r="R60" s="58">
        <v>58</v>
      </c>
      <c r="S60" s="57"/>
      <c r="T60" s="59">
        <v>4.8600000000000003</v>
      </c>
      <c r="U60" s="138">
        <f t="shared" ref="U60:U75" si="4">SUM(H60:T60)</f>
        <v>62.86</v>
      </c>
      <c r="V60" s="113" t="s">
        <v>36</v>
      </c>
      <c r="W60" s="67" t="s">
        <v>5</v>
      </c>
      <c r="X60" s="83" t="s">
        <v>228</v>
      </c>
      <c r="Y60" s="272"/>
      <c r="Z60" s="2"/>
      <c r="AA60" s="2"/>
      <c r="AB60" s="2"/>
    </row>
    <row r="61" spans="1:28" s="161" customFormat="1" ht="14.1" customHeight="1" x14ac:dyDescent="0.3">
      <c r="A61" s="102" t="s">
        <v>48</v>
      </c>
      <c r="B61" s="189" t="s">
        <v>195</v>
      </c>
      <c r="C61" s="190"/>
      <c r="D61" s="104">
        <v>6010251</v>
      </c>
      <c r="E61" s="141">
        <v>43983</v>
      </c>
      <c r="F61" s="43" t="s">
        <v>196</v>
      </c>
      <c r="G61" s="191">
        <v>43983</v>
      </c>
      <c r="H61" s="58"/>
      <c r="I61" s="60"/>
      <c r="J61" s="60"/>
      <c r="K61" s="60"/>
      <c r="L61" s="60"/>
      <c r="M61" s="58"/>
      <c r="N61" s="60"/>
      <c r="O61" s="58"/>
      <c r="P61" s="192">
        <v>45</v>
      </c>
      <c r="Q61" s="57"/>
      <c r="R61" s="58"/>
      <c r="S61" s="57"/>
      <c r="T61" s="59"/>
      <c r="U61" s="138">
        <f t="shared" si="4"/>
        <v>45</v>
      </c>
      <c r="V61" s="113" t="s">
        <v>29</v>
      </c>
      <c r="W61" s="67" t="s">
        <v>48</v>
      </c>
      <c r="X61" s="83" t="s">
        <v>309</v>
      </c>
      <c r="Y61" s="272"/>
      <c r="Z61" s="2"/>
      <c r="AA61" s="2"/>
      <c r="AB61" s="2"/>
    </row>
    <row r="62" spans="1:28" s="161" customFormat="1" ht="13.5" customHeight="1" x14ac:dyDescent="0.3">
      <c r="A62" s="102" t="s">
        <v>6</v>
      </c>
      <c r="B62" s="189" t="s">
        <v>76</v>
      </c>
      <c r="C62" s="190" t="s">
        <v>82</v>
      </c>
      <c r="D62" s="104">
        <v>6010508</v>
      </c>
      <c r="E62" s="141">
        <v>43983</v>
      </c>
      <c r="F62" s="43" t="s">
        <v>51</v>
      </c>
      <c r="G62" s="191">
        <v>43983</v>
      </c>
      <c r="H62" s="58"/>
      <c r="I62" s="60"/>
      <c r="J62" s="60"/>
      <c r="K62" s="60"/>
      <c r="L62" s="60"/>
      <c r="M62" s="58">
        <v>237</v>
      </c>
      <c r="N62" s="60"/>
      <c r="O62" s="58"/>
      <c r="P62" s="192"/>
      <c r="Q62" s="57"/>
      <c r="R62" s="58"/>
      <c r="S62" s="57"/>
      <c r="T62" s="59"/>
      <c r="U62" s="138">
        <f t="shared" si="4"/>
        <v>237</v>
      </c>
      <c r="V62" s="113" t="s">
        <v>29</v>
      </c>
      <c r="W62" s="67" t="s">
        <v>6</v>
      </c>
      <c r="X62" s="83" t="s">
        <v>290</v>
      </c>
      <c r="Y62" s="272"/>
      <c r="Z62" s="2"/>
      <c r="AA62" s="2"/>
      <c r="AB62" s="2"/>
    </row>
    <row r="63" spans="1:28" s="161" customFormat="1" ht="14.1" customHeight="1" x14ac:dyDescent="0.3">
      <c r="A63" s="102" t="s">
        <v>48</v>
      </c>
      <c r="B63" s="189" t="s">
        <v>197</v>
      </c>
      <c r="C63" s="190"/>
      <c r="D63" s="104">
        <v>6040259</v>
      </c>
      <c r="E63" s="141">
        <v>43986</v>
      </c>
      <c r="F63" s="43" t="s">
        <v>196</v>
      </c>
      <c r="G63" s="191">
        <v>43987</v>
      </c>
      <c r="H63" s="58"/>
      <c r="I63" s="60"/>
      <c r="J63" s="60"/>
      <c r="K63" s="60"/>
      <c r="L63" s="60"/>
      <c r="M63" s="58"/>
      <c r="N63" s="60"/>
      <c r="O63" s="58"/>
      <c r="P63" s="192">
        <v>45</v>
      </c>
      <c r="Q63" s="57"/>
      <c r="R63" s="58"/>
      <c r="S63" s="57"/>
      <c r="T63" s="59"/>
      <c r="U63" s="138">
        <f t="shared" si="4"/>
        <v>45</v>
      </c>
      <c r="V63" s="113" t="s">
        <v>29</v>
      </c>
      <c r="W63" s="67" t="s">
        <v>44</v>
      </c>
      <c r="X63" s="83" t="s">
        <v>310</v>
      </c>
      <c r="Y63" s="272"/>
      <c r="Z63" s="2"/>
      <c r="AA63" s="2"/>
      <c r="AB63" s="2"/>
    </row>
    <row r="64" spans="1:28" s="161" customFormat="1" ht="14.1" customHeight="1" x14ac:dyDescent="0.3">
      <c r="A64" s="102" t="s">
        <v>32</v>
      </c>
      <c r="B64" s="189" t="s">
        <v>113</v>
      </c>
      <c r="C64" s="190" t="s">
        <v>116</v>
      </c>
      <c r="D64" s="104">
        <v>6050303</v>
      </c>
      <c r="E64" s="141">
        <v>43987</v>
      </c>
      <c r="F64" s="43" t="s">
        <v>198</v>
      </c>
      <c r="G64" s="191">
        <v>43987</v>
      </c>
      <c r="H64" s="58"/>
      <c r="I64" s="60"/>
      <c r="J64" s="60"/>
      <c r="K64" s="60"/>
      <c r="L64" s="60"/>
      <c r="M64" s="58"/>
      <c r="N64" s="60"/>
      <c r="O64" s="58">
        <v>75</v>
      </c>
      <c r="P64" s="192"/>
      <c r="Q64" s="57">
        <v>12</v>
      </c>
      <c r="R64" s="58"/>
      <c r="S64" s="57"/>
      <c r="T64" s="59">
        <v>6.38</v>
      </c>
      <c r="U64" s="138">
        <f t="shared" si="4"/>
        <v>93.38</v>
      </c>
      <c r="V64" s="113" t="s">
        <v>36</v>
      </c>
      <c r="W64" s="67" t="s">
        <v>5</v>
      </c>
      <c r="X64" s="83" t="s">
        <v>326</v>
      </c>
      <c r="Y64" s="272"/>
      <c r="Z64" s="2"/>
      <c r="AA64" s="2"/>
      <c r="AB64" s="2"/>
    </row>
    <row r="65" spans="1:28" s="161" customFormat="1" ht="13.5" customHeight="1" x14ac:dyDescent="0.3">
      <c r="A65" s="102" t="s">
        <v>93</v>
      </c>
      <c r="B65" s="189" t="s">
        <v>199</v>
      </c>
      <c r="C65" s="190" t="s">
        <v>109</v>
      </c>
      <c r="D65" s="104">
        <v>6080296</v>
      </c>
      <c r="E65" s="141">
        <v>43990</v>
      </c>
      <c r="F65" s="43" t="s">
        <v>21</v>
      </c>
      <c r="G65" s="191">
        <v>43990</v>
      </c>
      <c r="H65" s="58"/>
      <c r="I65" s="60"/>
      <c r="J65" s="60"/>
      <c r="K65" s="60"/>
      <c r="L65" s="60"/>
      <c r="M65" s="58"/>
      <c r="N65" s="60"/>
      <c r="O65" s="58"/>
      <c r="P65" s="192"/>
      <c r="Q65" s="57"/>
      <c r="R65" s="58">
        <v>49</v>
      </c>
      <c r="S65" s="57">
        <v>9</v>
      </c>
      <c r="T65" s="59">
        <v>4.47</v>
      </c>
      <c r="U65" s="138">
        <f t="shared" si="4"/>
        <v>62.47</v>
      </c>
      <c r="V65" s="113" t="s">
        <v>36</v>
      </c>
      <c r="W65" s="67" t="s">
        <v>80</v>
      </c>
      <c r="X65" s="83" t="s">
        <v>350</v>
      </c>
      <c r="Y65" s="272"/>
      <c r="Z65" s="2"/>
      <c r="AA65" s="2"/>
      <c r="AB65" s="2"/>
    </row>
    <row r="66" spans="1:28" s="161" customFormat="1" ht="13.5" customHeight="1" thickBot="1" x14ac:dyDescent="0.35">
      <c r="A66" s="102" t="s">
        <v>32</v>
      </c>
      <c r="B66" s="189" t="s">
        <v>92</v>
      </c>
      <c r="C66" s="190"/>
      <c r="D66" s="104">
        <v>6120303</v>
      </c>
      <c r="E66" s="141">
        <v>43994</v>
      </c>
      <c r="F66" s="43" t="s">
        <v>134</v>
      </c>
      <c r="G66" s="191">
        <v>43994</v>
      </c>
      <c r="H66" s="58"/>
      <c r="I66" s="60"/>
      <c r="J66" s="60"/>
      <c r="K66" s="60"/>
      <c r="L66" s="60"/>
      <c r="M66" s="58"/>
      <c r="N66" s="60"/>
      <c r="O66" s="58">
        <v>300</v>
      </c>
      <c r="P66" s="192"/>
      <c r="Q66" s="57"/>
      <c r="R66" s="58"/>
      <c r="S66" s="57"/>
      <c r="T66" s="59">
        <v>25.5</v>
      </c>
      <c r="U66" s="138">
        <f t="shared" si="4"/>
        <v>325.5</v>
      </c>
      <c r="V66" s="113" t="s">
        <v>7</v>
      </c>
      <c r="W66" s="67" t="s">
        <v>32</v>
      </c>
      <c r="X66" s="83" t="s">
        <v>326</v>
      </c>
      <c r="Y66" s="272"/>
      <c r="Z66" s="2"/>
      <c r="AA66" s="2"/>
      <c r="AB66" s="2"/>
    </row>
    <row r="67" spans="1:28" s="158" customFormat="1" ht="13.5" customHeight="1" thickBot="1" x14ac:dyDescent="0.35">
      <c r="A67" s="102" t="s">
        <v>5</v>
      </c>
      <c r="B67" s="189" t="s">
        <v>189</v>
      </c>
      <c r="C67" s="190"/>
      <c r="D67" s="104">
        <v>6150056</v>
      </c>
      <c r="E67" s="141">
        <v>43997</v>
      </c>
      <c r="F67" s="43" t="s">
        <v>51</v>
      </c>
      <c r="G67" s="191">
        <v>43997</v>
      </c>
      <c r="H67" s="58"/>
      <c r="I67" s="60"/>
      <c r="J67" s="60"/>
      <c r="K67" s="60"/>
      <c r="L67" s="60"/>
      <c r="M67" s="58">
        <v>900</v>
      </c>
      <c r="N67" s="60"/>
      <c r="O67" s="58"/>
      <c r="P67" s="192"/>
      <c r="Q67" s="57"/>
      <c r="R67" s="58"/>
      <c r="S67" s="57"/>
      <c r="T67" s="59"/>
      <c r="U67" s="138">
        <f t="shared" si="4"/>
        <v>900</v>
      </c>
      <c r="V67" s="113" t="s">
        <v>29</v>
      </c>
      <c r="W67" s="67" t="s">
        <v>32</v>
      </c>
      <c r="X67" s="432" t="s">
        <v>79</v>
      </c>
      <c r="Y67" s="433"/>
      <c r="Z67" s="67"/>
      <c r="AA67" s="67"/>
      <c r="AB67" s="67"/>
    </row>
    <row r="68" spans="1:28" s="161" customFormat="1" ht="13.5" customHeight="1" x14ac:dyDescent="0.3">
      <c r="A68" s="101" t="s">
        <v>5</v>
      </c>
      <c r="B68" s="169" t="s">
        <v>117</v>
      </c>
      <c r="C68" s="170" t="s">
        <v>184</v>
      </c>
      <c r="D68" s="103">
        <v>6190101</v>
      </c>
      <c r="E68" s="142">
        <v>44001</v>
      </c>
      <c r="F68" s="99" t="s">
        <v>21</v>
      </c>
      <c r="G68" s="171">
        <v>44001</v>
      </c>
      <c r="H68" s="54"/>
      <c r="I68" s="56"/>
      <c r="J68" s="56"/>
      <c r="K68" s="56"/>
      <c r="L68" s="56"/>
      <c r="M68" s="54"/>
      <c r="N68" s="56"/>
      <c r="O68" s="54"/>
      <c r="P68" s="173"/>
      <c r="Q68" s="53"/>
      <c r="R68" s="54">
        <v>180</v>
      </c>
      <c r="S68" s="53"/>
      <c r="T68" s="55">
        <v>15.3</v>
      </c>
      <c r="U68" s="145">
        <f t="shared" si="4"/>
        <v>195.3</v>
      </c>
      <c r="V68" s="111" t="s">
        <v>36</v>
      </c>
      <c r="W68" s="172" t="s">
        <v>5</v>
      </c>
      <c r="X68" s="83" t="s">
        <v>312</v>
      </c>
      <c r="Y68" s="272"/>
      <c r="Z68" s="2"/>
      <c r="AA68" s="2"/>
      <c r="AB68" s="2"/>
    </row>
    <row r="69" spans="1:28" s="161" customFormat="1" ht="14.1" customHeight="1" x14ac:dyDescent="0.3">
      <c r="A69" s="101" t="s">
        <v>93</v>
      </c>
      <c r="B69" s="169" t="s">
        <v>105</v>
      </c>
      <c r="C69" s="170"/>
      <c r="D69" s="103">
        <v>6220291</v>
      </c>
      <c r="E69" s="142">
        <v>44004</v>
      </c>
      <c r="F69" s="99" t="s">
        <v>21</v>
      </c>
      <c r="G69" s="171">
        <v>44004</v>
      </c>
      <c r="H69" s="54"/>
      <c r="I69" s="56"/>
      <c r="J69" s="56"/>
      <c r="K69" s="56"/>
      <c r="L69" s="56"/>
      <c r="M69" s="54"/>
      <c r="N69" s="56"/>
      <c r="O69" s="54"/>
      <c r="P69" s="173"/>
      <c r="Q69" s="53"/>
      <c r="R69" s="54">
        <v>127</v>
      </c>
      <c r="S69" s="53">
        <v>24</v>
      </c>
      <c r="T69" s="55">
        <v>10.8</v>
      </c>
      <c r="U69" s="145">
        <f t="shared" si="4"/>
        <v>161.80000000000001</v>
      </c>
      <c r="V69" s="111" t="s">
        <v>36</v>
      </c>
      <c r="W69" s="172" t="s">
        <v>5</v>
      </c>
      <c r="X69" s="83" t="s">
        <v>297</v>
      </c>
      <c r="Y69" s="272"/>
      <c r="Z69" s="2"/>
      <c r="AA69" s="2"/>
      <c r="AB69" s="2"/>
    </row>
    <row r="70" spans="1:28" s="161" customFormat="1" ht="14.1" customHeight="1" x14ac:dyDescent="0.3">
      <c r="A70" s="102" t="s">
        <v>14</v>
      </c>
      <c r="B70" s="189" t="s">
        <v>208</v>
      </c>
      <c r="C70" s="190"/>
      <c r="D70" s="104">
        <v>6060051</v>
      </c>
      <c r="E70" s="141">
        <v>43988</v>
      </c>
      <c r="F70" s="43" t="s">
        <v>51</v>
      </c>
      <c r="G70" s="191">
        <v>43988</v>
      </c>
      <c r="H70" s="58"/>
      <c r="I70" s="60"/>
      <c r="J70" s="60"/>
      <c r="K70" s="60"/>
      <c r="L70" s="60"/>
      <c r="M70" s="58">
        <v>850</v>
      </c>
      <c r="N70" s="60"/>
      <c r="O70" s="58"/>
      <c r="P70" s="192"/>
      <c r="Q70" s="57"/>
      <c r="R70" s="58"/>
      <c r="S70" s="57"/>
      <c r="T70" s="59"/>
      <c r="U70" s="138">
        <f t="shared" si="4"/>
        <v>850</v>
      </c>
      <c r="V70" s="113" t="s">
        <v>29</v>
      </c>
      <c r="W70" s="67" t="s">
        <v>14</v>
      </c>
      <c r="X70" s="372" t="s">
        <v>380</v>
      </c>
      <c r="Y70" s="228"/>
      <c r="Z70" s="371"/>
      <c r="AA70" s="371"/>
      <c r="AB70" s="371"/>
    </row>
    <row r="71" spans="1:28" s="161" customFormat="1" ht="14.1" customHeight="1" x14ac:dyDescent="0.3">
      <c r="A71" s="101" t="s">
        <v>8</v>
      </c>
      <c r="B71" s="169" t="s">
        <v>209</v>
      </c>
      <c r="C71" s="170"/>
      <c r="D71" s="103">
        <v>6220051</v>
      </c>
      <c r="E71" s="142">
        <v>44004</v>
      </c>
      <c r="F71" s="99" t="s">
        <v>51</v>
      </c>
      <c r="G71" s="171">
        <v>44004</v>
      </c>
      <c r="H71" s="54"/>
      <c r="I71" s="56"/>
      <c r="J71" s="56"/>
      <c r="K71" s="56"/>
      <c r="L71" s="56"/>
      <c r="M71" s="54">
        <v>990</v>
      </c>
      <c r="N71" s="56"/>
      <c r="O71" s="54"/>
      <c r="P71" s="173"/>
      <c r="Q71" s="53"/>
      <c r="R71" s="54"/>
      <c r="S71" s="53"/>
      <c r="T71" s="55"/>
      <c r="U71" s="145">
        <f t="shared" si="4"/>
        <v>990</v>
      </c>
      <c r="V71" s="111" t="s">
        <v>7</v>
      </c>
      <c r="W71" s="172" t="s">
        <v>8</v>
      </c>
      <c r="X71" s="372" t="s">
        <v>391</v>
      </c>
      <c r="Y71" s="228"/>
      <c r="Z71" s="371"/>
      <c r="AA71" s="371"/>
      <c r="AB71" s="371"/>
    </row>
    <row r="72" spans="1:28" s="161" customFormat="1" ht="14.1" customHeight="1" x14ac:dyDescent="0.3">
      <c r="A72" s="101" t="s">
        <v>44</v>
      </c>
      <c r="B72" s="169" t="s">
        <v>210</v>
      </c>
      <c r="C72" s="170"/>
      <c r="D72" s="103">
        <v>6190052</v>
      </c>
      <c r="E72" s="142">
        <v>44001</v>
      </c>
      <c r="F72" s="99" t="s">
        <v>51</v>
      </c>
      <c r="G72" s="171">
        <v>44001</v>
      </c>
      <c r="H72" s="54"/>
      <c r="I72" s="56"/>
      <c r="J72" s="56"/>
      <c r="K72" s="56"/>
      <c r="L72" s="56"/>
      <c r="M72" s="54">
        <v>750</v>
      </c>
      <c r="N72" s="56"/>
      <c r="O72" s="54"/>
      <c r="P72" s="173"/>
      <c r="Q72" s="53"/>
      <c r="R72" s="54"/>
      <c r="S72" s="53"/>
      <c r="T72" s="55"/>
      <c r="U72" s="145">
        <f t="shared" si="4"/>
        <v>750</v>
      </c>
      <c r="V72" s="111" t="s">
        <v>29</v>
      </c>
      <c r="W72" s="172" t="s">
        <v>44</v>
      </c>
      <c r="X72" s="372" t="s">
        <v>308</v>
      </c>
      <c r="Y72" s="228"/>
      <c r="Z72" s="371"/>
      <c r="AA72" s="371"/>
      <c r="AB72" s="371"/>
    </row>
    <row r="73" spans="1:28" ht="13.5" customHeight="1" x14ac:dyDescent="0.2">
      <c r="A73" s="151" t="s">
        <v>48</v>
      </c>
      <c r="B73" s="151" t="s">
        <v>102</v>
      </c>
      <c r="C73" s="151"/>
      <c r="D73" s="367">
        <v>7220251</v>
      </c>
      <c r="E73" s="142">
        <v>44034</v>
      </c>
      <c r="F73" s="368" t="s">
        <v>224</v>
      </c>
      <c r="G73" s="369">
        <v>44034</v>
      </c>
      <c r="H73" s="54"/>
      <c r="I73" s="54"/>
      <c r="J73" s="54"/>
      <c r="K73" s="54"/>
      <c r="L73" s="54"/>
      <c r="M73" s="54"/>
      <c r="N73" s="54"/>
      <c r="O73" s="54"/>
      <c r="P73" s="156"/>
      <c r="Q73" s="165"/>
      <c r="R73" s="111">
        <v>-144</v>
      </c>
      <c r="S73" s="366"/>
      <c r="T73" s="370">
        <v>-13.32</v>
      </c>
      <c r="U73" s="145">
        <f t="shared" si="4"/>
        <v>-157.32</v>
      </c>
      <c r="V73" s="111" t="s">
        <v>224</v>
      </c>
      <c r="W73" s="366" t="s">
        <v>93</v>
      </c>
      <c r="X73" s="372" t="s">
        <v>18</v>
      </c>
    </row>
    <row r="74" spans="1:28" s="161" customFormat="1" ht="14.1" customHeight="1" x14ac:dyDescent="0.3">
      <c r="A74" s="102" t="s">
        <v>8</v>
      </c>
      <c r="B74" s="150" t="s">
        <v>213</v>
      </c>
      <c r="C74" s="429"/>
      <c r="D74" s="104">
        <v>6060052</v>
      </c>
      <c r="E74" s="141">
        <v>43988</v>
      </c>
      <c r="F74" s="43" t="s">
        <v>51</v>
      </c>
      <c r="G74" s="154">
        <v>43988</v>
      </c>
      <c r="H74" s="60"/>
      <c r="I74" s="60"/>
      <c r="J74" s="60"/>
      <c r="K74" s="60"/>
      <c r="L74" s="60"/>
      <c r="M74" s="60">
        <v>500</v>
      </c>
      <c r="N74" s="60">
        <v>2492</v>
      </c>
      <c r="O74" s="58"/>
      <c r="P74" s="155"/>
      <c r="Q74" s="57"/>
      <c r="R74" s="58"/>
      <c r="S74" s="57"/>
      <c r="T74" s="59"/>
      <c r="U74" s="138">
        <f t="shared" si="4"/>
        <v>2992</v>
      </c>
      <c r="V74" s="113" t="s">
        <v>7</v>
      </c>
      <c r="W74" s="67" t="s">
        <v>8</v>
      </c>
      <c r="X74" s="372" t="s">
        <v>367</v>
      </c>
      <c r="Y74" s="228"/>
      <c r="Z74" s="371"/>
      <c r="AA74" s="371"/>
      <c r="AB74" s="371"/>
    </row>
    <row r="75" spans="1:28" s="161" customFormat="1" ht="13.5" customHeight="1" thickBot="1" x14ac:dyDescent="0.35">
      <c r="A75" s="101" t="s">
        <v>93</v>
      </c>
      <c r="B75" s="169" t="s">
        <v>199</v>
      </c>
      <c r="C75" s="170" t="s">
        <v>114</v>
      </c>
      <c r="D75" s="103">
        <v>6240296</v>
      </c>
      <c r="E75" s="142">
        <v>44006</v>
      </c>
      <c r="F75" s="99" t="s">
        <v>21</v>
      </c>
      <c r="G75" s="171">
        <v>44006</v>
      </c>
      <c r="H75" s="54"/>
      <c r="I75" s="56"/>
      <c r="J75" s="56"/>
      <c r="K75" s="56"/>
      <c r="L75" s="56"/>
      <c r="M75" s="54"/>
      <c r="N75" s="56"/>
      <c r="O75" s="54"/>
      <c r="P75" s="173"/>
      <c r="Q75" s="53"/>
      <c r="R75" s="54">
        <v>49</v>
      </c>
      <c r="S75" s="53">
        <v>9</v>
      </c>
      <c r="T75" s="55">
        <v>4.41</v>
      </c>
      <c r="U75" s="145">
        <f t="shared" si="4"/>
        <v>62.41</v>
      </c>
      <c r="V75" s="111" t="s">
        <v>36</v>
      </c>
      <c r="W75" s="172" t="s">
        <v>5</v>
      </c>
      <c r="X75" s="83" t="s">
        <v>350</v>
      </c>
      <c r="Y75" s="272"/>
      <c r="Z75" s="2"/>
      <c r="AA75" s="2"/>
      <c r="AB75" s="2"/>
    </row>
    <row r="76" spans="1:28" s="161" customFormat="1" ht="13.5" customHeight="1" thickBot="1" x14ac:dyDescent="0.35">
      <c r="A76" s="182"/>
      <c r="B76" s="183"/>
      <c r="C76" s="299"/>
      <c r="D76" s="184"/>
      <c r="E76" s="185"/>
      <c r="F76" s="184"/>
      <c r="G76" s="186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187"/>
      <c r="T76" s="187"/>
      <c r="U76" s="114"/>
      <c r="V76" s="300" t="s">
        <v>200</v>
      </c>
      <c r="W76" s="61">
        <f>SUM(U60:U75)</f>
        <v>7615.4</v>
      </c>
      <c r="X76" s="313">
        <f>W76/V76</f>
        <v>0.1269508393485255</v>
      </c>
      <c r="Y76" s="294"/>
      <c r="Z76" s="2"/>
      <c r="AA76" s="2"/>
      <c r="AB76" s="2"/>
    </row>
    <row r="77" spans="1:28" s="161" customFormat="1" ht="13.5" customHeight="1" x14ac:dyDescent="0.3">
      <c r="A77" s="101" t="s">
        <v>48</v>
      </c>
      <c r="B77" s="169" t="s">
        <v>104</v>
      </c>
      <c r="C77" s="170"/>
      <c r="D77" s="103">
        <v>7010104</v>
      </c>
      <c r="E77" s="142">
        <v>44013</v>
      </c>
      <c r="F77" s="99" t="s">
        <v>21</v>
      </c>
      <c r="G77" s="171">
        <v>44013</v>
      </c>
      <c r="H77" s="54"/>
      <c r="I77" s="56"/>
      <c r="J77" s="56"/>
      <c r="K77" s="56"/>
      <c r="L77" s="56"/>
      <c r="M77" s="54"/>
      <c r="N77" s="56"/>
      <c r="O77" s="54"/>
      <c r="P77" s="173"/>
      <c r="Q77" s="53"/>
      <c r="R77" s="54">
        <v>148</v>
      </c>
      <c r="S77" s="53">
        <v>27</v>
      </c>
      <c r="T77" s="55">
        <v>13.32</v>
      </c>
      <c r="U77" s="145">
        <f>SUM(H77:T77)</f>
        <v>188.32</v>
      </c>
      <c r="V77" s="111" t="s">
        <v>36</v>
      </c>
      <c r="W77" s="172" t="s">
        <v>80</v>
      </c>
      <c r="X77" s="83" t="s">
        <v>18</v>
      </c>
      <c r="Y77" s="180"/>
      <c r="Z77" s="2"/>
      <c r="AA77" s="2"/>
      <c r="AB77" s="2"/>
    </row>
    <row r="78" spans="1:28" s="161" customFormat="1" ht="14.1" customHeight="1" thickBot="1" x14ac:dyDescent="0.35">
      <c r="A78" s="101" t="s">
        <v>6</v>
      </c>
      <c r="B78" s="169" t="s">
        <v>201</v>
      </c>
      <c r="C78" s="170"/>
      <c r="D78" s="103">
        <v>7010106</v>
      </c>
      <c r="E78" s="142">
        <v>44013</v>
      </c>
      <c r="F78" s="99" t="s">
        <v>21</v>
      </c>
      <c r="G78" s="171">
        <v>44013</v>
      </c>
      <c r="H78" s="54"/>
      <c r="I78" s="56"/>
      <c r="J78" s="56"/>
      <c r="K78" s="56"/>
      <c r="L78" s="56"/>
      <c r="M78" s="54"/>
      <c r="N78" s="56"/>
      <c r="O78" s="54"/>
      <c r="P78" s="173"/>
      <c r="Q78" s="53"/>
      <c r="R78" s="54">
        <v>55</v>
      </c>
      <c r="S78" s="53"/>
      <c r="T78" s="55">
        <v>4.54</v>
      </c>
      <c r="U78" s="145">
        <f>SUM(H78:T78)</f>
        <v>59.54</v>
      </c>
      <c r="V78" s="111" t="s">
        <v>7</v>
      </c>
      <c r="W78" s="172" t="s">
        <v>6</v>
      </c>
      <c r="X78" s="83" t="s">
        <v>18</v>
      </c>
      <c r="Y78" s="180"/>
      <c r="Z78" s="2"/>
      <c r="AA78" s="2"/>
      <c r="AB78" s="2"/>
    </row>
    <row r="79" spans="1:28" s="161" customFormat="1" ht="14.1" customHeight="1" thickBot="1" x14ac:dyDescent="0.35">
      <c r="A79" s="101" t="s">
        <v>5</v>
      </c>
      <c r="B79" s="169" t="s">
        <v>189</v>
      </c>
      <c r="C79" s="170"/>
      <c r="D79" s="103">
        <v>7150054</v>
      </c>
      <c r="E79" s="142">
        <v>44027</v>
      </c>
      <c r="F79" s="99" t="s">
        <v>51</v>
      </c>
      <c r="G79" s="171">
        <v>44027</v>
      </c>
      <c r="H79" s="54"/>
      <c r="I79" s="56"/>
      <c r="J79" s="56"/>
      <c r="K79" s="56"/>
      <c r="L79" s="56"/>
      <c r="M79" s="54">
        <v>600</v>
      </c>
      <c r="N79" s="56"/>
      <c r="O79" s="54"/>
      <c r="P79" s="173"/>
      <c r="Q79" s="53"/>
      <c r="R79" s="54"/>
      <c r="S79" s="53"/>
      <c r="T79" s="55"/>
      <c r="U79" s="145">
        <v>300</v>
      </c>
      <c r="V79" s="111" t="s">
        <v>29</v>
      </c>
      <c r="W79" s="172" t="s">
        <v>32</v>
      </c>
      <c r="X79" s="311" t="s">
        <v>79</v>
      </c>
      <c r="Y79" s="180"/>
      <c r="Z79" s="2"/>
      <c r="AA79" s="2"/>
      <c r="AB79" s="2"/>
    </row>
    <row r="80" spans="1:28" s="161" customFormat="1" ht="14.1" customHeight="1" x14ac:dyDescent="0.3">
      <c r="A80" s="100" t="s">
        <v>93</v>
      </c>
      <c r="B80" s="105" t="s">
        <v>204</v>
      </c>
      <c r="C80" s="140"/>
      <c r="D80" s="144">
        <v>7200103</v>
      </c>
      <c r="E80" s="143">
        <v>44032</v>
      </c>
      <c r="F80" s="44" t="s">
        <v>21</v>
      </c>
      <c r="G80" s="108">
        <v>44032</v>
      </c>
      <c r="H80" s="50"/>
      <c r="I80" s="52"/>
      <c r="J80" s="52"/>
      <c r="K80" s="52"/>
      <c r="L80" s="52"/>
      <c r="M80" s="50"/>
      <c r="N80" s="52"/>
      <c r="O80" s="50"/>
      <c r="P80" s="166"/>
      <c r="Q80" s="49"/>
      <c r="R80" s="50">
        <v>225</v>
      </c>
      <c r="S80" s="49"/>
      <c r="T80" s="51">
        <v>20.25</v>
      </c>
      <c r="U80" s="139">
        <f t="shared" ref="U80:U84" si="5">SUM(H80:T80)</f>
        <v>245.25</v>
      </c>
      <c r="V80" s="112" t="s">
        <v>39</v>
      </c>
      <c r="W80" s="66" t="s">
        <v>14</v>
      </c>
      <c r="X80" s="83" t="s">
        <v>328</v>
      </c>
      <c r="Y80" s="180"/>
      <c r="Z80" s="2"/>
      <c r="AA80" s="2"/>
      <c r="AB80" s="2"/>
    </row>
    <row r="81" spans="1:28" s="161" customFormat="1" ht="14.1" customHeight="1" x14ac:dyDescent="0.3">
      <c r="A81" s="100" t="s">
        <v>93</v>
      </c>
      <c r="B81" s="105" t="s">
        <v>111</v>
      </c>
      <c r="C81" s="140"/>
      <c r="D81" s="144">
        <v>7170292</v>
      </c>
      <c r="E81" s="143">
        <v>44029</v>
      </c>
      <c r="F81" s="44" t="s">
        <v>21</v>
      </c>
      <c r="G81" s="108">
        <v>44032</v>
      </c>
      <c r="H81" s="50"/>
      <c r="I81" s="52"/>
      <c r="J81" s="52"/>
      <c r="K81" s="52"/>
      <c r="L81" s="52"/>
      <c r="M81" s="50"/>
      <c r="N81" s="52"/>
      <c r="O81" s="50"/>
      <c r="P81" s="166"/>
      <c r="Q81" s="49"/>
      <c r="R81" s="50">
        <v>172</v>
      </c>
      <c r="S81" s="49">
        <v>36</v>
      </c>
      <c r="T81" s="51">
        <v>14.19</v>
      </c>
      <c r="U81" s="139">
        <f t="shared" si="5"/>
        <v>222.19</v>
      </c>
      <c r="V81" s="112" t="s">
        <v>36</v>
      </c>
      <c r="W81" s="66" t="s">
        <v>80</v>
      </c>
      <c r="X81" s="83" t="s">
        <v>352</v>
      </c>
      <c r="Y81" s="180"/>
      <c r="Z81" s="2"/>
      <c r="AA81" s="2"/>
      <c r="AB81" s="2"/>
    </row>
    <row r="82" spans="1:28" s="161" customFormat="1" ht="14.1" customHeight="1" x14ac:dyDescent="0.3">
      <c r="A82" s="100" t="s">
        <v>93</v>
      </c>
      <c r="B82" s="105" t="s">
        <v>84</v>
      </c>
      <c r="C82" s="140"/>
      <c r="D82" s="144">
        <v>7200105</v>
      </c>
      <c r="E82" s="143">
        <v>44032</v>
      </c>
      <c r="F82" s="44" t="s">
        <v>21</v>
      </c>
      <c r="G82" s="108">
        <v>44032</v>
      </c>
      <c r="H82" s="50"/>
      <c r="I82" s="52"/>
      <c r="J82" s="52"/>
      <c r="K82" s="52"/>
      <c r="L82" s="52"/>
      <c r="M82" s="50"/>
      <c r="N82" s="52"/>
      <c r="O82" s="50"/>
      <c r="P82" s="166"/>
      <c r="Q82" s="49"/>
      <c r="R82" s="50">
        <v>120</v>
      </c>
      <c r="S82" s="49">
        <v>18</v>
      </c>
      <c r="T82" s="51">
        <v>9.9</v>
      </c>
      <c r="U82" s="139">
        <f t="shared" si="5"/>
        <v>147.9</v>
      </c>
      <c r="V82" s="112" t="s">
        <v>36</v>
      </c>
      <c r="W82" s="66" t="s">
        <v>5</v>
      </c>
      <c r="X82" s="83" t="s">
        <v>359</v>
      </c>
      <c r="Y82" s="180"/>
      <c r="Z82" s="2"/>
      <c r="AA82" s="2"/>
      <c r="AB82" s="2"/>
    </row>
    <row r="83" spans="1:28" s="161" customFormat="1" ht="14.1" customHeight="1" x14ac:dyDescent="0.3">
      <c r="A83" s="100" t="s">
        <v>5</v>
      </c>
      <c r="B83" s="105" t="s">
        <v>117</v>
      </c>
      <c r="C83" s="140" t="s">
        <v>205</v>
      </c>
      <c r="D83" s="144">
        <v>7210102</v>
      </c>
      <c r="E83" s="143">
        <v>44033</v>
      </c>
      <c r="F83" s="44" t="s">
        <v>21</v>
      </c>
      <c r="G83" s="108">
        <v>44033</v>
      </c>
      <c r="H83" s="50"/>
      <c r="I83" s="52"/>
      <c r="J83" s="52"/>
      <c r="K83" s="52"/>
      <c r="L83" s="52"/>
      <c r="M83" s="50"/>
      <c r="N83" s="52"/>
      <c r="O83" s="50"/>
      <c r="P83" s="166"/>
      <c r="Q83" s="49"/>
      <c r="R83" s="50">
        <v>173</v>
      </c>
      <c r="S83" s="49"/>
      <c r="T83" s="51">
        <v>14.71</v>
      </c>
      <c r="U83" s="139">
        <f t="shared" si="5"/>
        <v>187.71</v>
      </c>
      <c r="V83" s="112" t="s">
        <v>36</v>
      </c>
      <c r="W83" s="66" t="s">
        <v>5</v>
      </c>
      <c r="X83" s="83" t="s">
        <v>312</v>
      </c>
      <c r="Y83" s="180"/>
      <c r="Z83" s="2"/>
      <c r="AA83" s="2"/>
      <c r="AB83" s="2"/>
    </row>
    <row r="84" spans="1:28" s="161" customFormat="1" ht="14.1" customHeight="1" thickBot="1" x14ac:dyDescent="0.35">
      <c r="A84" s="100" t="s">
        <v>5</v>
      </c>
      <c r="B84" s="105" t="s">
        <v>117</v>
      </c>
      <c r="C84" s="140" t="s">
        <v>184</v>
      </c>
      <c r="D84" s="144">
        <v>7240107</v>
      </c>
      <c r="E84" s="143">
        <v>44036</v>
      </c>
      <c r="F84" s="44" t="s">
        <v>21</v>
      </c>
      <c r="G84" s="108">
        <v>44036</v>
      </c>
      <c r="H84" s="50"/>
      <c r="I84" s="52"/>
      <c r="J84" s="52"/>
      <c r="K84" s="52"/>
      <c r="L84" s="52"/>
      <c r="M84" s="50"/>
      <c r="N84" s="52"/>
      <c r="O84" s="50"/>
      <c r="P84" s="166"/>
      <c r="Q84" s="49"/>
      <c r="R84" s="50">
        <v>117</v>
      </c>
      <c r="S84" s="49"/>
      <c r="T84" s="51">
        <v>9.9499999999999993</v>
      </c>
      <c r="U84" s="139">
        <f t="shared" si="5"/>
        <v>126.95</v>
      </c>
      <c r="V84" s="112" t="s">
        <v>36</v>
      </c>
      <c r="W84" s="66" t="s">
        <v>5</v>
      </c>
      <c r="X84" s="83" t="s">
        <v>312</v>
      </c>
      <c r="Y84" s="180"/>
      <c r="Z84" s="2"/>
      <c r="AA84" s="2"/>
      <c r="AB84" s="2"/>
    </row>
    <row r="85" spans="1:28" s="161" customFormat="1" ht="14.1" customHeight="1" thickBot="1" x14ac:dyDescent="0.35">
      <c r="A85" s="100" t="s">
        <v>8</v>
      </c>
      <c r="B85" s="105" t="s">
        <v>126</v>
      </c>
      <c r="C85" s="140" t="s">
        <v>211</v>
      </c>
      <c r="D85" s="144">
        <v>7290251</v>
      </c>
      <c r="E85" s="143">
        <v>44041</v>
      </c>
      <c r="F85" s="44" t="s">
        <v>45</v>
      </c>
      <c r="G85" s="108">
        <v>44041</v>
      </c>
      <c r="H85" s="50"/>
      <c r="I85" s="52"/>
      <c r="J85" s="52"/>
      <c r="K85" s="52"/>
      <c r="L85" s="52"/>
      <c r="M85" s="50"/>
      <c r="N85" s="52"/>
      <c r="O85" s="50"/>
      <c r="P85" s="166">
        <v>90</v>
      </c>
      <c r="Q85" s="49"/>
      <c r="R85" s="50"/>
      <c r="S85" s="49"/>
      <c r="T85" s="51"/>
      <c r="U85" s="139">
        <f t="shared" ref="U85:U87" si="6">SUM(H85:T85)</f>
        <v>90</v>
      </c>
      <c r="V85" s="112" t="s">
        <v>7</v>
      </c>
      <c r="W85" s="66" t="s">
        <v>8</v>
      </c>
      <c r="X85" s="311" t="s">
        <v>79</v>
      </c>
      <c r="Y85" s="180"/>
      <c r="Z85" s="2"/>
      <c r="AA85" s="2"/>
      <c r="AB85" s="2"/>
    </row>
    <row r="86" spans="1:28" s="161" customFormat="1" ht="14.1" customHeight="1" thickBot="1" x14ac:dyDescent="0.35">
      <c r="A86" s="100" t="s">
        <v>5</v>
      </c>
      <c r="B86" s="105" t="s">
        <v>212</v>
      </c>
      <c r="C86" s="140"/>
      <c r="D86" s="144">
        <v>4280067</v>
      </c>
      <c r="E86" s="143">
        <v>43949</v>
      </c>
      <c r="F86" s="44" t="s">
        <v>207</v>
      </c>
      <c r="G86" s="108">
        <v>44036</v>
      </c>
      <c r="H86" s="50">
        <v>3185</v>
      </c>
      <c r="I86" s="52"/>
      <c r="J86" s="52"/>
      <c r="K86" s="52"/>
      <c r="L86" s="52"/>
      <c r="M86" s="50"/>
      <c r="N86" s="52"/>
      <c r="O86" s="50"/>
      <c r="P86" s="166"/>
      <c r="Q86" s="49"/>
      <c r="R86" s="50"/>
      <c r="S86" s="49"/>
      <c r="T86" s="51"/>
      <c r="U86" s="139">
        <f>SUM(H86:T86)</f>
        <v>3185</v>
      </c>
      <c r="V86" s="112" t="s">
        <v>36</v>
      </c>
      <c r="W86" s="66" t="s">
        <v>5</v>
      </c>
      <c r="X86" s="311" t="s">
        <v>79</v>
      </c>
      <c r="Y86" s="228" t="s">
        <v>286</v>
      </c>
      <c r="Z86" s="371"/>
      <c r="AA86" s="371"/>
    </row>
    <row r="87" spans="1:28" s="161" customFormat="1" ht="14.1" customHeight="1" thickBot="1" x14ac:dyDescent="0.35">
      <c r="A87" s="152" t="s">
        <v>5</v>
      </c>
      <c r="B87" s="105" t="s">
        <v>244</v>
      </c>
      <c r="C87" s="140"/>
      <c r="D87" s="144">
        <v>7310105</v>
      </c>
      <c r="E87" s="143">
        <v>44043</v>
      </c>
      <c r="F87" s="44" t="s">
        <v>224</v>
      </c>
      <c r="G87" s="108">
        <v>44043</v>
      </c>
      <c r="H87" s="50"/>
      <c r="I87" s="50"/>
      <c r="J87" s="50"/>
      <c r="K87" s="50"/>
      <c r="L87" s="50"/>
      <c r="M87" s="50"/>
      <c r="N87" s="50"/>
      <c r="O87" s="50"/>
      <c r="P87" s="166"/>
      <c r="Q87" s="157"/>
      <c r="R87" s="50">
        <v>-62.17</v>
      </c>
      <c r="S87" s="157"/>
      <c r="T87" s="379"/>
      <c r="U87" s="139">
        <f t="shared" si="6"/>
        <v>-62.17</v>
      </c>
      <c r="V87" s="112" t="s">
        <v>235</v>
      </c>
      <c r="W87" s="66" t="s">
        <v>93</v>
      </c>
      <c r="X87" s="83" t="s">
        <v>18</v>
      </c>
      <c r="Y87" s="180"/>
      <c r="Z87" s="2"/>
      <c r="AA87" s="2"/>
      <c r="AB87" s="2"/>
    </row>
    <row r="88" spans="1:28" s="161" customFormat="1" ht="13.5" customHeight="1" thickBot="1" x14ac:dyDescent="0.35">
      <c r="A88" s="182"/>
      <c r="B88" s="183"/>
      <c r="C88" s="299"/>
      <c r="D88" s="184"/>
      <c r="E88" s="185"/>
      <c r="F88" s="184"/>
      <c r="G88" s="186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187"/>
      <c r="T88" s="187"/>
      <c r="U88" s="114"/>
      <c r="V88" s="300" t="s">
        <v>214</v>
      </c>
      <c r="W88" s="61">
        <f>SUM(U76:U87)</f>
        <v>4690.6900000000005</v>
      </c>
      <c r="X88" s="313">
        <f>W88/V88</f>
        <v>6.558754439441819E-2</v>
      </c>
      <c r="Y88" s="294"/>
      <c r="Z88" s="2"/>
      <c r="AA88" s="2"/>
      <c r="AB88" s="2"/>
    </row>
    <row r="89" spans="1:28" s="2" customFormat="1" ht="14.1" customHeight="1" x14ac:dyDescent="0.3">
      <c r="A89" s="100" t="s">
        <v>48</v>
      </c>
      <c r="B89" s="105" t="s">
        <v>138</v>
      </c>
      <c r="C89" s="140"/>
      <c r="D89" s="144">
        <v>7310251</v>
      </c>
      <c r="E89" s="143">
        <v>44043</v>
      </c>
      <c r="F89" s="44" t="s">
        <v>21</v>
      </c>
      <c r="G89" s="108">
        <v>44044</v>
      </c>
      <c r="H89" s="50"/>
      <c r="I89" s="52"/>
      <c r="J89" s="52"/>
      <c r="K89" s="52"/>
      <c r="L89" s="52"/>
      <c r="M89" s="50"/>
      <c r="N89" s="52"/>
      <c r="O89" s="50"/>
      <c r="P89" s="166"/>
      <c r="Q89" s="49"/>
      <c r="R89" s="50">
        <v>131</v>
      </c>
      <c r="S89" s="49"/>
      <c r="T89" s="51">
        <v>10.81</v>
      </c>
      <c r="U89" s="139">
        <f t="shared" ref="U89:U98" si="7">SUM(H89:T89)</f>
        <v>141.81</v>
      </c>
      <c r="V89" s="112" t="s">
        <v>39</v>
      </c>
      <c r="W89" s="66" t="s">
        <v>139</v>
      </c>
      <c r="X89" s="83" t="s">
        <v>18</v>
      </c>
      <c r="Y89" s="180"/>
      <c r="Z89" s="181"/>
    </row>
    <row r="90" spans="1:28" s="2" customFormat="1" ht="14.1" customHeight="1" x14ac:dyDescent="0.3">
      <c r="A90" s="100" t="s">
        <v>8</v>
      </c>
      <c r="B90" s="105" t="s">
        <v>130</v>
      </c>
      <c r="C90" s="140"/>
      <c r="D90" s="144">
        <v>8010053</v>
      </c>
      <c r="E90" s="143">
        <v>44044</v>
      </c>
      <c r="F90" s="44" t="s">
        <v>141</v>
      </c>
      <c r="G90" s="108">
        <v>44044</v>
      </c>
      <c r="H90" s="50"/>
      <c r="I90" s="52"/>
      <c r="J90" s="52"/>
      <c r="K90" s="52"/>
      <c r="L90" s="52"/>
      <c r="M90" s="50"/>
      <c r="N90" s="52">
        <v>275</v>
      </c>
      <c r="O90" s="50"/>
      <c r="P90" s="166"/>
      <c r="Q90" s="49"/>
      <c r="R90" s="50"/>
      <c r="S90" s="49"/>
      <c r="T90" s="51"/>
      <c r="U90" s="139">
        <f t="shared" si="7"/>
        <v>275</v>
      </c>
      <c r="V90" s="112" t="s">
        <v>29</v>
      </c>
      <c r="W90" s="66" t="s">
        <v>8</v>
      </c>
      <c r="X90" s="83" t="s">
        <v>18</v>
      </c>
      <c r="Y90" s="180"/>
      <c r="Z90" s="181"/>
    </row>
    <row r="91" spans="1:28" s="2" customFormat="1" ht="14.1" customHeight="1" x14ac:dyDescent="0.3">
      <c r="A91" s="100" t="s">
        <v>14</v>
      </c>
      <c r="B91" s="105" t="s">
        <v>76</v>
      </c>
      <c r="C91" s="140" t="s">
        <v>82</v>
      </c>
      <c r="D91" s="144">
        <v>8030051</v>
      </c>
      <c r="E91" s="143">
        <v>44046</v>
      </c>
      <c r="F91" s="44" t="s">
        <v>51</v>
      </c>
      <c r="G91" s="108">
        <v>44046</v>
      </c>
      <c r="H91" s="50"/>
      <c r="I91" s="52"/>
      <c r="J91" s="52"/>
      <c r="K91" s="52"/>
      <c r="L91" s="52"/>
      <c r="M91" s="50">
        <v>237</v>
      </c>
      <c r="N91" s="52"/>
      <c r="O91" s="50"/>
      <c r="P91" s="166"/>
      <c r="Q91" s="49"/>
      <c r="R91" s="50"/>
      <c r="S91" s="49"/>
      <c r="T91" s="51"/>
      <c r="U91" s="139">
        <f t="shared" si="7"/>
        <v>237</v>
      </c>
      <c r="V91" s="112" t="s">
        <v>29</v>
      </c>
      <c r="W91" s="66" t="s">
        <v>14</v>
      </c>
      <c r="X91" s="83" t="s">
        <v>290</v>
      </c>
      <c r="Y91" s="180"/>
      <c r="Z91" s="181"/>
    </row>
    <row r="92" spans="1:28" s="2" customFormat="1" ht="14.1" customHeight="1" thickBot="1" x14ac:dyDescent="0.35">
      <c r="A92" s="100" t="s">
        <v>44</v>
      </c>
      <c r="B92" s="105" t="s">
        <v>218</v>
      </c>
      <c r="C92" s="140"/>
      <c r="D92" s="144">
        <v>8030101</v>
      </c>
      <c r="E92" s="143">
        <v>44046</v>
      </c>
      <c r="F92" s="44" t="s">
        <v>21</v>
      </c>
      <c r="G92" s="108">
        <v>44046</v>
      </c>
      <c r="H92" s="50"/>
      <c r="I92" s="52"/>
      <c r="J92" s="52"/>
      <c r="K92" s="52"/>
      <c r="L92" s="52"/>
      <c r="M92" s="50"/>
      <c r="N92" s="52"/>
      <c r="O92" s="50"/>
      <c r="P92" s="166"/>
      <c r="Q92" s="49"/>
      <c r="R92" s="50">
        <v>117</v>
      </c>
      <c r="S92" s="49">
        <v>12</v>
      </c>
      <c r="T92" s="51">
        <v>9.8000000000000007</v>
      </c>
      <c r="U92" s="139">
        <f t="shared" si="7"/>
        <v>138.80000000000001</v>
      </c>
      <c r="V92" s="112" t="s">
        <v>36</v>
      </c>
      <c r="W92" s="66" t="s">
        <v>5</v>
      </c>
      <c r="X92" s="83" t="s">
        <v>18</v>
      </c>
      <c r="Y92" s="180"/>
      <c r="Z92" s="181"/>
    </row>
    <row r="93" spans="1:28" s="2" customFormat="1" ht="14.1" customHeight="1" thickBot="1" x14ac:dyDescent="0.35">
      <c r="A93" s="100" t="s">
        <v>93</v>
      </c>
      <c r="B93" s="105" t="s">
        <v>188</v>
      </c>
      <c r="C93" s="140"/>
      <c r="D93" s="144">
        <v>8050103</v>
      </c>
      <c r="E93" s="143">
        <v>44048</v>
      </c>
      <c r="F93" s="44" t="s">
        <v>21</v>
      </c>
      <c r="G93" s="108">
        <v>44048</v>
      </c>
      <c r="H93" s="50"/>
      <c r="I93" s="52"/>
      <c r="J93" s="52"/>
      <c r="K93" s="52"/>
      <c r="L93" s="52"/>
      <c r="M93" s="50"/>
      <c r="N93" s="52"/>
      <c r="O93" s="50"/>
      <c r="P93" s="166"/>
      <c r="Q93" s="49"/>
      <c r="R93" s="50">
        <v>40.049999999999997</v>
      </c>
      <c r="S93" s="49"/>
      <c r="T93" s="51">
        <v>4.95</v>
      </c>
      <c r="U93" s="139">
        <f t="shared" si="7"/>
        <v>45</v>
      </c>
      <c r="V93" s="112" t="s">
        <v>64</v>
      </c>
      <c r="W93" s="66" t="s">
        <v>81</v>
      </c>
      <c r="X93" s="311" t="s">
        <v>79</v>
      </c>
      <c r="Y93" s="180"/>
      <c r="Z93" s="181"/>
    </row>
    <row r="94" spans="1:28" s="2" customFormat="1" ht="14.1" customHeight="1" x14ac:dyDescent="0.3">
      <c r="A94" s="100" t="s">
        <v>5</v>
      </c>
      <c r="B94" s="105" t="s">
        <v>103</v>
      </c>
      <c r="C94" s="140"/>
      <c r="D94" s="144">
        <v>8070101</v>
      </c>
      <c r="E94" s="143">
        <v>44050</v>
      </c>
      <c r="F94" s="44" t="s">
        <v>21</v>
      </c>
      <c r="G94" s="108">
        <v>44050</v>
      </c>
      <c r="H94" s="50"/>
      <c r="I94" s="52"/>
      <c r="J94" s="52"/>
      <c r="K94" s="52"/>
      <c r="L94" s="52"/>
      <c r="M94" s="50"/>
      <c r="N94" s="52"/>
      <c r="O94" s="50"/>
      <c r="P94" s="166"/>
      <c r="Q94" s="49"/>
      <c r="R94" s="50">
        <v>57</v>
      </c>
      <c r="S94" s="49"/>
      <c r="T94" s="51">
        <v>4.42</v>
      </c>
      <c r="U94" s="139">
        <f t="shared" si="7"/>
        <v>61.42</v>
      </c>
      <c r="V94" s="112" t="s">
        <v>36</v>
      </c>
      <c r="W94" s="66" t="s">
        <v>80</v>
      </c>
      <c r="X94" s="83" t="s">
        <v>322</v>
      </c>
      <c r="Y94" s="180"/>
      <c r="Z94" s="181"/>
    </row>
    <row r="95" spans="1:28" s="2" customFormat="1" ht="14.1" customHeight="1" x14ac:dyDescent="0.3">
      <c r="A95" s="100" t="s">
        <v>35</v>
      </c>
      <c r="B95" s="105" t="s">
        <v>212</v>
      </c>
      <c r="C95" s="140"/>
      <c r="D95" s="144">
        <v>8040291</v>
      </c>
      <c r="E95" s="143">
        <v>44047</v>
      </c>
      <c r="F95" s="44" t="s">
        <v>21</v>
      </c>
      <c r="G95" s="108">
        <v>44050</v>
      </c>
      <c r="H95" s="50"/>
      <c r="I95" s="52"/>
      <c r="J95" s="52"/>
      <c r="K95" s="52"/>
      <c r="L95" s="52"/>
      <c r="M95" s="50"/>
      <c r="N95" s="52"/>
      <c r="O95" s="50"/>
      <c r="P95" s="166"/>
      <c r="Q95" s="49"/>
      <c r="R95" s="50">
        <v>195</v>
      </c>
      <c r="S95" s="49">
        <v>45</v>
      </c>
      <c r="T95" s="51"/>
      <c r="U95" s="139">
        <f t="shared" si="7"/>
        <v>240</v>
      </c>
      <c r="V95" s="112" t="s">
        <v>36</v>
      </c>
      <c r="W95" s="66" t="s">
        <v>5</v>
      </c>
      <c r="X95" s="83" t="s">
        <v>18</v>
      </c>
      <c r="Y95" s="180"/>
      <c r="Z95" s="181"/>
    </row>
    <row r="96" spans="1:28" s="2" customFormat="1" ht="14.1" customHeight="1" x14ac:dyDescent="0.3">
      <c r="A96" s="100" t="s">
        <v>8</v>
      </c>
      <c r="B96" s="105" t="s">
        <v>227</v>
      </c>
      <c r="C96" s="140"/>
      <c r="D96" s="144">
        <v>8100053</v>
      </c>
      <c r="E96" s="143">
        <v>44053</v>
      </c>
      <c r="F96" s="44" t="s">
        <v>51</v>
      </c>
      <c r="G96" s="108">
        <v>44053</v>
      </c>
      <c r="H96" s="50"/>
      <c r="I96" s="52"/>
      <c r="J96" s="52"/>
      <c r="K96" s="52"/>
      <c r="L96" s="52"/>
      <c r="M96" s="50">
        <v>500</v>
      </c>
      <c r="N96" s="52"/>
      <c r="O96" s="50"/>
      <c r="P96" s="166"/>
      <c r="Q96" s="49"/>
      <c r="R96" s="50"/>
      <c r="S96" s="49"/>
      <c r="T96" s="51"/>
      <c r="U96" s="139">
        <f t="shared" si="7"/>
        <v>500</v>
      </c>
      <c r="V96" s="112" t="s">
        <v>29</v>
      </c>
      <c r="W96" s="66" t="s">
        <v>8</v>
      </c>
      <c r="X96" s="83" t="s">
        <v>18</v>
      </c>
      <c r="Y96" s="180"/>
      <c r="Z96" s="181"/>
    </row>
    <row r="97" spans="1:26" s="2" customFormat="1" ht="14.1" customHeight="1" x14ac:dyDescent="0.3">
      <c r="A97" s="100" t="s">
        <v>5</v>
      </c>
      <c r="B97" s="105" t="s">
        <v>117</v>
      </c>
      <c r="C97" s="140" t="s">
        <v>293</v>
      </c>
      <c r="D97" s="144">
        <v>8100101</v>
      </c>
      <c r="E97" s="143">
        <v>44053</v>
      </c>
      <c r="F97" s="44" t="s">
        <v>21</v>
      </c>
      <c r="G97" s="108">
        <v>44053</v>
      </c>
      <c r="H97" s="50"/>
      <c r="I97" s="52"/>
      <c r="J97" s="52"/>
      <c r="K97" s="52"/>
      <c r="L97" s="52"/>
      <c r="M97" s="50"/>
      <c r="N97" s="52"/>
      <c r="O97" s="50"/>
      <c r="P97" s="166"/>
      <c r="Q97" s="49"/>
      <c r="R97" s="50">
        <v>78</v>
      </c>
      <c r="S97" s="49"/>
      <c r="T97" s="51">
        <v>7.41</v>
      </c>
      <c r="U97" s="139">
        <f t="shared" si="7"/>
        <v>85.41</v>
      </c>
      <c r="V97" s="112" t="s">
        <v>36</v>
      </c>
      <c r="W97" s="66" t="s">
        <v>80</v>
      </c>
      <c r="X97" s="83" t="s">
        <v>312</v>
      </c>
      <c r="Y97" s="180"/>
      <c r="Z97" s="181"/>
    </row>
    <row r="98" spans="1:26" s="2" customFormat="1" ht="14.1" customHeight="1" x14ac:dyDescent="0.3">
      <c r="A98" s="100" t="s">
        <v>5</v>
      </c>
      <c r="B98" s="105" t="s">
        <v>229</v>
      </c>
      <c r="C98" s="140"/>
      <c r="D98" s="144">
        <v>8110105</v>
      </c>
      <c r="E98" s="143">
        <v>44054</v>
      </c>
      <c r="F98" s="44" t="s">
        <v>21</v>
      </c>
      <c r="G98" s="108">
        <v>44054</v>
      </c>
      <c r="H98" s="50"/>
      <c r="I98" s="52"/>
      <c r="J98" s="52"/>
      <c r="K98" s="52"/>
      <c r="L98" s="52"/>
      <c r="M98" s="50"/>
      <c r="N98" s="52"/>
      <c r="O98" s="50"/>
      <c r="P98" s="166"/>
      <c r="Q98" s="49"/>
      <c r="R98" s="50">
        <v>125.5</v>
      </c>
      <c r="S98" s="49"/>
      <c r="T98" s="51">
        <v>11.61</v>
      </c>
      <c r="U98" s="139">
        <f t="shared" si="7"/>
        <v>137.11000000000001</v>
      </c>
      <c r="V98" s="112" t="s">
        <v>36</v>
      </c>
      <c r="W98" s="66" t="s">
        <v>5</v>
      </c>
      <c r="X98" s="83" t="s">
        <v>18</v>
      </c>
      <c r="Y98" s="180"/>
      <c r="Z98" s="181"/>
    </row>
    <row r="99" spans="1:26" s="2" customFormat="1" ht="14.1" customHeight="1" x14ac:dyDescent="0.3">
      <c r="A99" s="100" t="s">
        <v>48</v>
      </c>
      <c r="B99" s="105" t="s">
        <v>126</v>
      </c>
      <c r="C99" s="140" t="s">
        <v>140</v>
      </c>
      <c r="D99" s="144">
        <v>8120261</v>
      </c>
      <c r="E99" s="143">
        <v>44055</v>
      </c>
      <c r="F99" s="44" t="s">
        <v>45</v>
      </c>
      <c r="G99" s="108">
        <v>44056</v>
      </c>
      <c r="H99" s="50"/>
      <c r="I99" s="52"/>
      <c r="J99" s="52"/>
      <c r="K99" s="52"/>
      <c r="L99" s="52"/>
      <c r="M99" s="50"/>
      <c r="N99" s="52"/>
      <c r="O99" s="50"/>
      <c r="P99" s="166">
        <v>180</v>
      </c>
      <c r="Q99" s="49">
        <v>90</v>
      </c>
      <c r="R99" s="50"/>
      <c r="S99" s="49"/>
      <c r="T99" s="51"/>
      <c r="U99" s="139">
        <f t="shared" ref="U99:U112" si="8">SUM(H99:T99)</f>
        <v>270</v>
      </c>
      <c r="V99" s="112" t="s">
        <v>7</v>
      </c>
      <c r="W99" s="66" t="s">
        <v>48</v>
      </c>
      <c r="X99" s="83" t="s">
        <v>323</v>
      </c>
      <c r="Y99" s="180"/>
      <c r="Z99" s="181"/>
    </row>
    <row r="100" spans="1:26" s="2" customFormat="1" ht="14.1" customHeight="1" x14ac:dyDescent="0.3">
      <c r="A100" s="100" t="s">
        <v>5</v>
      </c>
      <c r="B100" s="105" t="s">
        <v>53</v>
      </c>
      <c r="C100" s="140"/>
      <c r="D100" s="144">
        <v>8130101</v>
      </c>
      <c r="E100" s="143">
        <v>44056</v>
      </c>
      <c r="F100" s="44" t="s">
        <v>21</v>
      </c>
      <c r="G100" s="108">
        <v>44056</v>
      </c>
      <c r="H100" s="50"/>
      <c r="I100" s="52"/>
      <c r="J100" s="52"/>
      <c r="K100" s="52"/>
      <c r="L100" s="52"/>
      <c r="M100" s="50"/>
      <c r="N100" s="52"/>
      <c r="O100" s="50"/>
      <c r="P100" s="166"/>
      <c r="Q100" s="49"/>
      <c r="R100" s="50">
        <v>63</v>
      </c>
      <c r="S100" s="49"/>
      <c r="T100" s="51">
        <v>5.36</v>
      </c>
      <c r="U100" s="139">
        <f t="shared" si="8"/>
        <v>68.36</v>
      </c>
      <c r="V100" s="112" t="s">
        <v>36</v>
      </c>
      <c r="W100" s="66" t="s">
        <v>5</v>
      </c>
      <c r="X100" s="83" t="s">
        <v>312</v>
      </c>
      <c r="Y100" s="180"/>
      <c r="Z100" s="181"/>
    </row>
    <row r="101" spans="1:26" s="2" customFormat="1" ht="14.1" customHeight="1" x14ac:dyDescent="0.3">
      <c r="A101" s="100" t="s">
        <v>5</v>
      </c>
      <c r="B101" s="105" t="s">
        <v>230</v>
      </c>
      <c r="C101" s="140"/>
      <c r="D101" s="144">
        <v>8130105</v>
      </c>
      <c r="E101" s="143">
        <v>44056</v>
      </c>
      <c r="F101" s="44" t="s">
        <v>21</v>
      </c>
      <c r="G101" s="108">
        <v>44056</v>
      </c>
      <c r="H101" s="50"/>
      <c r="I101" s="52"/>
      <c r="J101" s="52"/>
      <c r="K101" s="52"/>
      <c r="L101" s="52"/>
      <c r="M101" s="50"/>
      <c r="N101" s="52"/>
      <c r="O101" s="50"/>
      <c r="P101" s="166"/>
      <c r="Q101" s="49"/>
      <c r="R101" s="50">
        <v>54</v>
      </c>
      <c r="S101" s="49">
        <v>9</v>
      </c>
      <c r="T101" s="51">
        <v>4.8600000000000003</v>
      </c>
      <c r="U101" s="139">
        <f t="shared" si="8"/>
        <v>67.86</v>
      </c>
      <c r="V101" s="112" t="s">
        <v>36</v>
      </c>
      <c r="W101" s="66" t="s">
        <v>5</v>
      </c>
      <c r="X101" s="83" t="s">
        <v>18</v>
      </c>
      <c r="Y101" s="180"/>
      <c r="Z101" s="181"/>
    </row>
    <row r="102" spans="1:26" s="2" customFormat="1" ht="14.1" customHeight="1" x14ac:dyDescent="0.3">
      <c r="A102" s="100" t="s">
        <v>93</v>
      </c>
      <c r="B102" s="105" t="s">
        <v>231</v>
      </c>
      <c r="C102" s="140"/>
      <c r="D102" s="144">
        <v>8130291</v>
      </c>
      <c r="E102" s="143">
        <v>44056</v>
      </c>
      <c r="F102" s="44" t="s">
        <v>21</v>
      </c>
      <c r="G102" s="108">
        <v>44056</v>
      </c>
      <c r="H102" s="50"/>
      <c r="I102" s="52"/>
      <c r="J102" s="52"/>
      <c r="K102" s="52"/>
      <c r="L102" s="52"/>
      <c r="M102" s="50"/>
      <c r="N102" s="52"/>
      <c r="O102" s="50"/>
      <c r="P102" s="166"/>
      <c r="Q102" s="49"/>
      <c r="R102" s="50">
        <v>98</v>
      </c>
      <c r="S102" s="49">
        <v>18</v>
      </c>
      <c r="T102" s="51">
        <v>8.09</v>
      </c>
      <c r="U102" s="139">
        <f t="shared" si="8"/>
        <v>124.09</v>
      </c>
      <c r="V102" s="112" t="s">
        <v>36</v>
      </c>
      <c r="W102" s="66" t="s">
        <v>93</v>
      </c>
      <c r="X102" s="83" t="s">
        <v>18</v>
      </c>
      <c r="Y102" s="180"/>
      <c r="Z102" s="181"/>
    </row>
    <row r="103" spans="1:26" s="2" customFormat="1" ht="14.1" customHeight="1" x14ac:dyDescent="0.3">
      <c r="A103" s="100" t="s">
        <v>93</v>
      </c>
      <c r="B103" s="105" t="s">
        <v>232</v>
      </c>
      <c r="C103" s="140" t="s">
        <v>233</v>
      </c>
      <c r="D103" s="144">
        <v>8140294</v>
      </c>
      <c r="E103" s="143">
        <v>44057</v>
      </c>
      <c r="F103" s="44" t="s">
        <v>21</v>
      </c>
      <c r="G103" s="108">
        <v>44057</v>
      </c>
      <c r="H103" s="50"/>
      <c r="I103" s="52"/>
      <c r="J103" s="52"/>
      <c r="K103" s="52"/>
      <c r="L103" s="52"/>
      <c r="M103" s="50"/>
      <c r="N103" s="52"/>
      <c r="O103" s="50"/>
      <c r="P103" s="166"/>
      <c r="Q103" s="49"/>
      <c r="R103" s="50">
        <v>55</v>
      </c>
      <c r="S103" s="49"/>
      <c r="T103" s="51">
        <v>4.8099999999999996</v>
      </c>
      <c r="U103" s="139">
        <f t="shared" si="8"/>
        <v>59.81</v>
      </c>
      <c r="V103" s="112" t="s">
        <v>36</v>
      </c>
      <c r="W103" s="66" t="s">
        <v>5</v>
      </c>
      <c r="X103" s="83" t="s">
        <v>18</v>
      </c>
      <c r="Y103" s="180"/>
      <c r="Z103" s="181"/>
    </row>
    <row r="104" spans="1:26" s="2" customFormat="1" ht="14.1" customHeight="1" thickBot="1" x14ac:dyDescent="0.35">
      <c r="A104" s="100" t="s">
        <v>78</v>
      </c>
      <c r="B104" s="105" t="s">
        <v>192</v>
      </c>
      <c r="C104" s="140" t="s">
        <v>225</v>
      </c>
      <c r="D104" s="144">
        <v>8140305</v>
      </c>
      <c r="E104" s="143">
        <v>44057</v>
      </c>
      <c r="F104" s="44" t="s">
        <v>234</v>
      </c>
      <c r="G104" s="108">
        <v>44057</v>
      </c>
      <c r="H104" s="50"/>
      <c r="I104" s="52"/>
      <c r="J104" s="52"/>
      <c r="K104" s="52"/>
      <c r="L104" s="52"/>
      <c r="M104" s="50"/>
      <c r="N104" s="52"/>
      <c r="O104" s="50">
        <v>-95</v>
      </c>
      <c r="P104" s="166"/>
      <c r="Q104" s="49"/>
      <c r="R104" s="50"/>
      <c r="S104" s="49"/>
      <c r="T104" s="51">
        <v>-9.0299999999999994</v>
      </c>
      <c r="U104" s="139">
        <f t="shared" si="8"/>
        <v>-104.03</v>
      </c>
      <c r="V104" s="112" t="s">
        <v>235</v>
      </c>
      <c r="W104" s="66" t="s">
        <v>5</v>
      </c>
      <c r="X104" s="83" t="s">
        <v>326</v>
      </c>
      <c r="Y104" s="180"/>
      <c r="Z104" s="181"/>
    </row>
    <row r="105" spans="1:26" s="2" customFormat="1" ht="14.1" customHeight="1" thickBot="1" x14ac:dyDescent="0.35">
      <c r="A105" s="100" t="s">
        <v>5</v>
      </c>
      <c r="B105" s="105" t="s">
        <v>189</v>
      </c>
      <c r="C105" s="140"/>
      <c r="D105" s="144" t="s">
        <v>238</v>
      </c>
      <c r="E105" s="143">
        <v>44058</v>
      </c>
      <c r="F105" s="44" t="s">
        <v>51</v>
      </c>
      <c r="G105" s="108">
        <v>44058</v>
      </c>
      <c r="H105" s="50"/>
      <c r="I105" s="52"/>
      <c r="J105" s="52"/>
      <c r="K105" s="52"/>
      <c r="L105" s="52"/>
      <c r="M105" s="50">
        <v>2100</v>
      </c>
      <c r="N105" s="52"/>
      <c r="O105" s="50"/>
      <c r="P105" s="166"/>
      <c r="Q105" s="49"/>
      <c r="R105" s="50"/>
      <c r="S105" s="49"/>
      <c r="T105" s="51"/>
      <c r="U105" s="139">
        <f t="shared" si="8"/>
        <v>2100</v>
      </c>
      <c r="V105" s="112" t="s">
        <v>29</v>
      </c>
      <c r="W105" s="66" t="s">
        <v>78</v>
      </c>
      <c r="X105" s="381" t="s">
        <v>79</v>
      </c>
      <c r="Y105" s="180"/>
      <c r="Z105" s="181"/>
    </row>
    <row r="106" spans="1:26" s="2" customFormat="1" ht="14.1" customHeight="1" x14ac:dyDescent="0.3">
      <c r="A106" s="98" t="s">
        <v>5</v>
      </c>
      <c r="B106" s="3" t="s">
        <v>103</v>
      </c>
      <c r="C106" s="4"/>
      <c r="D106" s="70">
        <v>8170103</v>
      </c>
      <c r="E106" s="136">
        <v>44060</v>
      </c>
      <c r="F106" s="48" t="s">
        <v>21</v>
      </c>
      <c r="G106" s="79">
        <v>44060</v>
      </c>
      <c r="H106" s="46"/>
      <c r="I106" s="28"/>
      <c r="J106" s="28"/>
      <c r="K106" s="28"/>
      <c r="L106" s="28"/>
      <c r="M106" s="46"/>
      <c r="N106" s="28"/>
      <c r="O106" s="46"/>
      <c r="P106" s="7"/>
      <c r="Q106" s="47"/>
      <c r="R106" s="46">
        <v>104</v>
      </c>
      <c r="S106" s="47"/>
      <c r="T106" s="32">
        <v>8.06</v>
      </c>
      <c r="U106" s="71">
        <f t="shared" si="8"/>
        <v>112.06</v>
      </c>
      <c r="V106" s="82" t="s">
        <v>36</v>
      </c>
      <c r="W106" s="2" t="s">
        <v>5</v>
      </c>
      <c r="X106" s="83" t="s">
        <v>18</v>
      </c>
      <c r="Y106" s="180"/>
      <c r="Z106" s="181"/>
    </row>
    <row r="107" spans="1:26" s="2" customFormat="1" ht="14.1" customHeight="1" x14ac:dyDescent="0.3">
      <c r="A107" s="98" t="s">
        <v>5</v>
      </c>
      <c r="B107" s="3" t="s">
        <v>239</v>
      </c>
      <c r="C107" s="4"/>
      <c r="D107" s="70">
        <v>8180101</v>
      </c>
      <c r="E107" s="136">
        <v>44061</v>
      </c>
      <c r="F107" s="48" t="s">
        <v>21</v>
      </c>
      <c r="G107" s="79">
        <v>44061</v>
      </c>
      <c r="H107" s="46"/>
      <c r="I107" s="28"/>
      <c r="J107" s="28"/>
      <c r="K107" s="28"/>
      <c r="L107" s="28"/>
      <c r="M107" s="46"/>
      <c r="N107" s="28"/>
      <c r="O107" s="46"/>
      <c r="P107" s="7"/>
      <c r="Q107" s="47"/>
      <c r="R107" s="46">
        <v>70.5</v>
      </c>
      <c r="S107" s="47"/>
      <c r="T107" s="32">
        <v>5.99</v>
      </c>
      <c r="U107" s="71">
        <f t="shared" si="8"/>
        <v>76.489999999999995</v>
      </c>
      <c r="V107" s="82" t="s">
        <v>36</v>
      </c>
      <c r="W107" s="2" t="s">
        <v>5</v>
      </c>
      <c r="X107" s="83" t="s">
        <v>18</v>
      </c>
      <c r="Y107" s="180"/>
      <c r="Z107" s="181"/>
    </row>
    <row r="108" spans="1:26" s="2" customFormat="1" ht="14.1" customHeight="1" x14ac:dyDescent="0.3">
      <c r="A108" s="98" t="s">
        <v>6</v>
      </c>
      <c r="B108" s="3" t="s">
        <v>226</v>
      </c>
      <c r="C108" s="4"/>
      <c r="D108" s="70">
        <v>8190051</v>
      </c>
      <c r="E108" s="136">
        <v>44062</v>
      </c>
      <c r="F108" s="48" t="s">
        <v>242</v>
      </c>
      <c r="G108" s="79">
        <v>44062</v>
      </c>
      <c r="H108" s="46"/>
      <c r="I108" s="28"/>
      <c r="J108" s="28"/>
      <c r="K108" s="28">
        <v>79</v>
      </c>
      <c r="L108" s="28"/>
      <c r="M108" s="46"/>
      <c r="N108" s="28"/>
      <c r="O108" s="46"/>
      <c r="P108" s="7"/>
      <c r="Q108" s="47"/>
      <c r="R108" s="46"/>
      <c r="S108" s="47"/>
      <c r="T108" s="32"/>
      <c r="U108" s="71">
        <f t="shared" si="8"/>
        <v>79</v>
      </c>
      <c r="V108" s="82" t="s">
        <v>29</v>
      </c>
      <c r="W108" s="2" t="s">
        <v>6</v>
      </c>
      <c r="X108" s="83" t="s">
        <v>18</v>
      </c>
      <c r="Y108" s="180"/>
      <c r="Z108" s="181"/>
    </row>
    <row r="109" spans="1:26" s="2" customFormat="1" ht="14.1" customHeight="1" x14ac:dyDescent="0.3">
      <c r="A109" s="98" t="s">
        <v>5</v>
      </c>
      <c r="B109" s="3" t="s">
        <v>243</v>
      </c>
      <c r="C109" s="4"/>
      <c r="D109" s="70">
        <v>8190105</v>
      </c>
      <c r="E109" s="136">
        <v>44062</v>
      </c>
      <c r="F109" s="48" t="s">
        <v>21</v>
      </c>
      <c r="G109" s="79">
        <v>44062</v>
      </c>
      <c r="H109" s="46"/>
      <c r="I109" s="28"/>
      <c r="J109" s="28"/>
      <c r="K109" s="28"/>
      <c r="L109" s="28"/>
      <c r="M109" s="46"/>
      <c r="N109" s="28"/>
      <c r="O109" s="46"/>
      <c r="P109" s="7"/>
      <c r="Q109" s="47"/>
      <c r="R109" s="46">
        <v>114</v>
      </c>
      <c r="S109" s="47">
        <v>18</v>
      </c>
      <c r="T109" s="32">
        <v>8.84</v>
      </c>
      <c r="U109" s="71">
        <f t="shared" si="8"/>
        <v>140.84</v>
      </c>
      <c r="V109" s="82" t="s">
        <v>36</v>
      </c>
      <c r="W109" s="2" t="s">
        <v>5</v>
      </c>
      <c r="X109" s="83" t="s">
        <v>18</v>
      </c>
      <c r="Y109" s="180"/>
      <c r="Z109" s="181"/>
    </row>
    <row r="110" spans="1:26" s="2" customFormat="1" ht="14.1" customHeight="1" x14ac:dyDescent="0.3">
      <c r="A110" s="98" t="s">
        <v>8</v>
      </c>
      <c r="B110" s="3" t="s">
        <v>246</v>
      </c>
      <c r="C110" s="4"/>
      <c r="D110" s="70">
        <v>8060011</v>
      </c>
      <c r="E110" s="136">
        <v>44049</v>
      </c>
      <c r="F110" s="48" t="s">
        <v>236</v>
      </c>
      <c r="G110" s="79">
        <v>44063</v>
      </c>
      <c r="H110" s="46">
        <v>1495</v>
      </c>
      <c r="I110" s="28"/>
      <c r="J110" s="28">
        <v>360</v>
      </c>
      <c r="K110" s="28"/>
      <c r="L110" s="28"/>
      <c r="M110" s="46"/>
      <c r="N110" s="28"/>
      <c r="O110" s="46"/>
      <c r="P110" s="7"/>
      <c r="Q110" s="47"/>
      <c r="R110" s="46"/>
      <c r="S110" s="47"/>
      <c r="T110" s="32">
        <v>108.39</v>
      </c>
      <c r="U110" s="71">
        <f t="shared" si="8"/>
        <v>1963.39</v>
      </c>
      <c r="V110" s="82" t="s">
        <v>7</v>
      </c>
      <c r="W110" s="2" t="s">
        <v>32</v>
      </c>
      <c r="X110" s="83" t="s">
        <v>18</v>
      </c>
      <c r="Y110" s="180"/>
      <c r="Z110" s="181"/>
    </row>
    <row r="111" spans="1:26" s="2" customFormat="1" ht="14.1" customHeight="1" x14ac:dyDescent="0.3">
      <c r="A111" s="98" t="s">
        <v>93</v>
      </c>
      <c r="B111" s="3" t="s">
        <v>247</v>
      </c>
      <c r="C111" s="4" t="s">
        <v>248</v>
      </c>
      <c r="D111" s="70">
        <v>8200292</v>
      </c>
      <c r="E111" s="136">
        <v>44063</v>
      </c>
      <c r="F111" s="48" t="s">
        <v>21</v>
      </c>
      <c r="G111" s="79">
        <v>44063</v>
      </c>
      <c r="H111" s="46"/>
      <c r="I111" s="28"/>
      <c r="J111" s="28"/>
      <c r="K111" s="28"/>
      <c r="L111" s="28"/>
      <c r="M111" s="46"/>
      <c r="N111" s="28"/>
      <c r="O111" s="46"/>
      <c r="P111" s="7"/>
      <c r="Q111" s="47"/>
      <c r="R111" s="46">
        <v>79</v>
      </c>
      <c r="S111" s="47">
        <v>18</v>
      </c>
      <c r="T111" s="32">
        <v>6.62</v>
      </c>
      <c r="U111" s="71">
        <f t="shared" si="8"/>
        <v>103.62</v>
      </c>
      <c r="V111" s="82" t="s">
        <v>36</v>
      </c>
      <c r="W111" s="2" t="s">
        <v>5</v>
      </c>
      <c r="X111" s="83" t="s">
        <v>18</v>
      </c>
      <c r="Y111" s="180"/>
      <c r="Z111" s="181"/>
    </row>
    <row r="112" spans="1:26" s="2" customFormat="1" ht="14.1" customHeight="1" x14ac:dyDescent="0.3">
      <c r="A112" s="98" t="s">
        <v>48</v>
      </c>
      <c r="B112" s="3" t="s">
        <v>219</v>
      </c>
      <c r="C112" s="4" t="s">
        <v>249</v>
      </c>
      <c r="D112" s="70">
        <v>8200251</v>
      </c>
      <c r="E112" s="136">
        <v>44063</v>
      </c>
      <c r="F112" s="48" t="s">
        <v>21</v>
      </c>
      <c r="G112" s="79">
        <v>44063</v>
      </c>
      <c r="H112" s="46"/>
      <c r="I112" s="28"/>
      <c r="J112" s="28"/>
      <c r="K112" s="28"/>
      <c r="L112" s="28"/>
      <c r="M112" s="46"/>
      <c r="N112" s="28"/>
      <c r="O112" s="46"/>
      <c r="P112" s="7"/>
      <c r="Q112" s="47"/>
      <c r="R112" s="46">
        <v>122</v>
      </c>
      <c r="S112" s="47"/>
      <c r="T112" s="32">
        <v>11.9</v>
      </c>
      <c r="U112" s="71">
        <f t="shared" si="8"/>
        <v>133.9</v>
      </c>
      <c r="V112" s="82" t="s">
        <v>36</v>
      </c>
      <c r="W112" s="2" t="s">
        <v>5</v>
      </c>
      <c r="X112" s="83" t="s">
        <v>328</v>
      </c>
      <c r="Y112" s="180"/>
      <c r="Z112" s="181"/>
    </row>
    <row r="113" spans="1:26" s="2" customFormat="1" ht="14.1" customHeight="1" x14ac:dyDescent="0.3">
      <c r="A113" s="98" t="s">
        <v>5</v>
      </c>
      <c r="B113" s="3" t="s">
        <v>219</v>
      </c>
      <c r="C113" s="4" t="s">
        <v>250</v>
      </c>
      <c r="D113" s="70">
        <v>8200101</v>
      </c>
      <c r="E113" s="136">
        <v>44063</v>
      </c>
      <c r="F113" s="48" t="s">
        <v>21</v>
      </c>
      <c r="G113" s="79">
        <v>44063</v>
      </c>
      <c r="H113" s="46"/>
      <c r="I113" s="28"/>
      <c r="J113" s="28"/>
      <c r="K113" s="28"/>
      <c r="L113" s="28"/>
      <c r="M113" s="46"/>
      <c r="N113" s="28"/>
      <c r="O113" s="46"/>
      <c r="P113" s="7"/>
      <c r="Q113" s="47"/>
      <c r="R113" s="46">
        <v>97</v>
      </c>
      <c r="S113" s="47"/>
      <c r="T113" s="32">
        <v>8.73</v>
      </c>
      <c r="U113" s="71">
        <f t="shared" ref="U113:U142" si="9">SUM(H113:T113)</f>
        <v>105.73</v>
      </c>
      <c r="V113" s="82" t="s">
        <v>36</v>
      </c>
      <c r="W113" s="2" t="s">
        <v>5</v>
      </c>
      <c r="X113" s="83" t="s">
        <v>328</v>
      </c>
      <c r="Y113" s="180"/>
      <c r="Z113" s="181"/>
    </row>
    <row r="114" spans="1:26" s="2" customFormat="1" ht="14.1" customHeight="1" x14ac:dyDescent="0.3">
      <c r="A114" s="98" t="s">
        <v>49</v>
      </c>
      <c r="B114" s="3" t="s">
        <v>206</v>
      </c>
      <c r="C114" s="4"/>
      <c r="D114" s="70">
        <v>8210104</v>
      </c>
      <c r="E114" s="136">
        <v>44064</v>
      </c>
      <c r="F114" s="48" t="s">
        <v>21</v>
      </c>
      <c r="G114" s="79">
        <v>44064</v>
      </c>
      <c r="H114" s="46"/>
      <c r="I114" s="28"/>
      <c r="J114" s="28"/>
      <c r="K114" s="28"/>
      <c r="L114" s="28"/>
      <c r="M114" s="46"/>
      <c r="N114" s="28"/>
      <c r="O114" s="46"/>
      <c r="P114" s="7"/>
      <c r="Q114" s="47"/>
      <c r="R114" s="46">
        <v>286</v>
      </c>
      <c r="S114" s="47"/>
      <c r="T114" s="32">
        <v>23.6</v>
      </c>
      <c r="U114" s="71">
        <f t="shared" si="9"/>
        <v>309.60000000000002</v>
      </c>
      <c r="V114" s="82" t="s">
        <v>36</v>
      </c>
      <c r="W114" s="2" t="s">
        <v>5</v>
      </c>
      <c r="X114" s="83" t="s">
        <v>320</v>
      </c>
      <c r="Y114" s="180"/>
      <c r="Z114" s="181"/>
    </row>
    <row r="115" spans="1:26" s="2" customFormat="1" ht="14.1" customHeight="1" x14ac:dyDescent="0.3">
      <c r="A115" s="98" t="s">
        <v>6</v>
      </c>
      <c r="B115" s="3" t="s">
        <v>252</v>
      </c>
      <c r="C115" s="4"/>
      <c r="D115" s="70">
        <v>8240051</v>
      </c>
      <c r="E115" s="136">
        <v>44067</v>
      </c>
      <c r="F115" s="48" t="s">
        <v>51</v>
      </c>
      <c r="G115" s="79">
        <v>44067</v>
      </c>
      <c r="H115" s="46"/>
      <c r="I115" s="28"/>
      <c r="J115" s="28"/>
      <c r="K115" s="28"/>
      <c r="L115" s="28"/>
      <c r="M115" s="46">
        <v>750</v>
      </c>
      <c r="N115" s="28"/>
      <c r="O115" s="46"/>
      <c r="P115" s="7"/>
      <c r="Q115" s="47"/>
      <c r="R115" s="46"/>
      <c r="S115" s="47"/>
      <c r="T115" s="32"/>
      <c r="U115" s="71">
        <f t="shared" si="9"/>
        <v>750</v>
      </c>
      <c r="V115" s="82" t="s">
        <v>29</v>
      </c>
      <c r="W115" s="2" t="s">
        <v>32</v>
      </c>
      <c r="X115" s="83" t="s">
        <v>18</v>
      </c>
      <c r="Y115" s="180"/>
      <c r="Z115" s="181"/>
    </row>
    <row r="116" spans="1:26" s="2" customFormat="1" ht="14.1" customHeight="1" x14ac:dyDescent="0.3">
      <c r="A116" s="98" t="s">
        <v>253</v>
      </c>
      <c r="B116" s="3" t="s">
        <v>217</v>
      </c>
      <c r="C116" s="4" t="s">
        <v>254</v>
      </c>
      <c r="D116" s="70">
        <v>8240053</v>
      </c>
      <c r="E116" s="136">
        <v>44067</v>
      </c>
      <c r="F116" s="48" t="s">
        <v>51</v>
      </c>
      <c r="G116" s="79">
        <v>44067</v>
      </c>
      <c r="H116" s="46"/>
      <c r="I116" s="28"/>
      <c r="J116" s="28"/>
      <c r="K116" s="28"/>
      <c r="L116" s="28"/>
      <c r="M116" s="46">
        <v>600</v>
      </c>
      <c r="N116" s="28"/>
      <c r="O116" s="46"/>
      <c r="P116" s="7"/>
      <c r="Q116" s="47"/>
      <c r="R116" s="46"/>
      <c r="S116" s="47"/>
      <c r="T116" s="32"/>
      <c r="U116" s="71">
        <f t="shared" si="9"/>
        <v>600</v>
      </c>
      <c r="V116" s="82" t="s">
        <v>29</v>
      </c>
      <c r="W116" s="2" t="s">
        <v>255</v>
      </c>
      <c r="X116" s="83" t="s">
        <v>18</v>
      </c>
      <c r="Y116" s="180"/>
      <c r="Z116" s="181"/>
    </row>
    <row r="117" spans="1:26" s="2" customFormat="1" ht="14.1" customHeight="1" x14ac:dyDescent="0.3">
      <c r="A117" s="98" t="s">
        <v>253</v>
      </c>
      <c r="B117" s="3" t="s">
        <v>217</v>
      </c>
      <c r="C117" s="4" t="s">
        <v>256</v>
      </c>
      <c r="D117" s="70">
        <v>8240052</v>
      </c>
      <c r="E117" s="136">
        <v>44067</v>
      </c>
      <c r="F117" s="48" t="s">
        <v>51</v>
      </c>
      <c r="G117" s="79">
        <v>44067</v>
      </c>
      <c r="H117" s="46"/>
      <c r="I117" s="28"/>
      <c r="J117" s="28"/>
      <c r="K117" s="28"/>
      <c r="L117" s="28"/>
      <c r="M117" s="46">
        <v>600</v>
      </c>
      <c r="N117" s="28"/>
      <c r="O117" s="46"/>
      <c r="P117" s="7"/>
      <c r="Q117" s="47"/>
      <c r="R117" s="46"/>
      <c r="S117" s="47"/>
      <c r="T117" s="32"/>
      <c r="U117" s="71">
        <f t="shared" si="9"/>
        <v>600</v>
      </c>
      <c r="V117" s="82" t="s">
        <v>29</v>
      </c>
      <c r="W117" s="2" t="s">
        <v>32</v>
      </c>
      <c r="X117" s="83" t="s">
        <v>18</v>
      </c>
      <c r="Y117" s="180"/>
      <c r="Z117" s="181"/>
    </row>
    <row r="118" spans="1:26" s="2" customFormat="1" ht="14.1" customHeight="1" x14ac:dyDescent="0.3">
      <c r="A118" s="98" t="s">
        <v>93</v>
      </c>
      <c r="B118" s="3" t="s">
        <v>257</v>
      </c>
      <c r="C118" s="4" t="s">
        <v>258</v>
      </c>
      <c r="D118" s="70">
        <v>8240291</v>
      </c>
      <c r="E118" s="136">
        <v>44067</v>
      </c>
      <c r="F118" s="48" t="s">
        <v>97</v>
      </c>
      <c r="G118" s="79">
        <v>44067</v>
      </c>
      <c r="H118" s="46"/>
      <c r="I118" s="28"/>
      <c r="J118" s="28"/>
      <c r="K118" s="28"/>
      <c r="L118" s="28"/>
      <c r="M118" s="46"/>
      <c r="N118" s="28"/>
      <c r="O118" s="46">
        <v>65</v>
      </c>
      <c r="P118" s="7">
        <v>90</v>
      </c>
      <c r="Q118" s="47"/>
      <c r="R118" s="46"/>
      <c r="S118" s="47"/>
      <c r="T118" s="32">
        <v>5.69</v>
      </c>
      <c r="U118" s="71">
        <f t="shared" si="9"/>
        <v>160.69</v>
      </c>
      <c r="V118" s="82" t="s">
        <v>39</v>
      </c>
      <c r="W118" s="2" t="s">
        <v>259</v>
      </c>
      <c r="X118" s="83" t="s">
        <v>328</v>
      </c>
      <c r="Y118" s="180"/>
      <c r="Z118" s="181"/>
    </row>
    <row r="119" spans="1:26" s="2" customFormat="1" ht="14.1" customHeight="1" x14ac:dyDescent="0.3">
      <c r="A119" s="98" t="s">
        <v>93</v>
      </c>
      <c r="B119" s="3" t="s">
        <v>157</v>
      </c>
      <c r="C119" s="4" t="s">
        <v>260</v>
      </c>
      <c r="D119" s="70">
        <v>8240293</v>
      </c>
      <c r="E119" s="136">
        <v>44067</v>
      </c>
      <c r="F119" s="48" t="s">
        <v>21</v>
      </c>
      <c r="G119" s="79">
        <v>44067</v>
      </c>
      <c r="H119" s="46"/>
      <c r="I119" s="28"/>
      <c r="J119" s="28"/>
      <c r="K119" s="28"/>
      <c r="L119" s="28"/>
      <c r="M119" s="46"/>
      <c r="N119" s="28"/>
      <c r="O119" s="46"/>
      <c r="P119" s="7"/>
      <c r="Q119" s="47"/>
      <c r="R119" s="46">
        <v>22.5</v>
      </c>
      <c r="S119" s="47"/>
      <c r="T119" s="32">
        <v>1.86</v>
      </c>
      <c r="U119" s="71">
        <f t="shared" si="9"/>
        <v>24.36</v>
      </c>
      <c r="V119" s="82" t="s">
        <v>39</v>
      </c>
      <c r="W119" s="2" t="s">
        <v>223</v>
      </c>
      <c r="X119" s="83" t="s">
        <v>18</v>
      </c>
      <c r="Y119" s="180"/>
      <c r="Z119" s="181"/>
    </row>
    <row r="120" spans="1:26" s="2" customFormat="1" ht="14.1" customHeight="1" x14ac:dyDescent="0.3">
      <c r="A120" s="98" t="s">
        <v>93</v>
      </c>
      <c r="B120" s="3" t="s">
        <v>262</v>
      </c>
      <c r="C120" s="4"/>
      <c r="D120" s="70">
        <v>8240101</v>
      </c>
      <c r="E120" s="136">
        <v>44067</v>
      </c>
      <c r="F120" s="48" t="s">
        <v>21</v>
      </c>
      <c r="G120" s="79">
        <v>44067</v>
      </c>
      <c r="H120" s="46"/>
      <c r="I120" s="28"/>
      <c r="J120" s="28"/>
      <c r="K120" s="28"/>
      <c r="L120" s="28"/>
      <c r="M120" s="46"/>
      <c r="N120" s="28"/>
      <c r="O120" s="46"/>
      <c r="P120" s="7"/>
      <c r="Q120" s="47"/>
      <c r="R120" s="46">
        <v>174</v>
      </c>
      <c r="S120" s="47"/>
      <c r="T120" s="32">
        <v>16.97</v>
      </c>
      <c r="U120" s="71">
        <f t="shared" si="9"/>
        <v>190.97</v>
      </c>
      <c r="V120" s="82" t="s">
        <v>39</v>
      </c>
      <c r="W120" s="2" t="s">
        <v>223</v>
      </c>
      <c r="X120" s="83" t="s">
        <v>18</v>
      </c>
      <c r="Y120" s="180"/>
      <c r="Z120" s="181"/>
    </row>
    <row r="121" spans="1:26" s="2" customFormat="1" ht="14.1" customHeight="1" x14ac:dyDescent="0.3">
      <c r="A121" s="98" t="s">
        <v>93</v>
      </c>
      <c r="B121" s="3" t="s">
        <v>247</v>
      </c>
      <c r="C121" s="4" t="s">
        <v>248</v>
      </c>
      <c r="D121" s="70">
        <v>8240295</v>
      </c>
      <c r="E121" s="136">
        <v>44067</v>
      </c>
      <c r="F121" s="48" t="s">
        <v>21</v>
      </c>
      <c r="G121" s="79">
        <v>44067</v>
      </c>
      <c r="H121" s="46"/>
      <c r="I121" s="28"/>
      <c r="J121" s="28"/>
      <c r="K121" s="28"/>
      <c r="L121" s="28"/>
      <c r="M121" s="46"/>
      <c r="N121" s="28"/>
      <c r="O121" s="46"/>
      <c r="P121" s="7"/>
      <c r="Q121" s="47"/>
      <c r="R121" s="46">
        <v>50</v>
      </c>
      <c r="S121" s="47">
        <v>9</v>
      </c>
      <c r="T121" s="32">
        <v>4.1900000000000004</v>
      </c>
      <c r="U121" s="71">
        <f t="shared" si="9"/>
        <v>63.19</v>
      </c>
      <c r="V121" s="82" t="s">
        <v>7</v>
      </c>
      <c r="W121" s="2" t="s">
        <v>93</v>
      </c>
      <c r="X121" s="83" t="s">
        <v>18</v>
      </c>
      <c r="Y121" s="180"/>
      <c r="Z121" s="181"/>
    </row>
    <row r="122" spans="1:26" s="2" customFormat="1" ht="14.1" customHeight="1" x14ac:dyDescent="0.3">
      <c r="A122" s="98" t="s">
        <v>5</v>
      </c>
      <c r="B122" s="3" t="s">
        <v>40</v>
      </c>
      <c r="C122" s="4"/>
      <c r="D122" s="70">
        <v>8250102</v>
      </c>
      <c r="E122" s="136">
        <v>44068</v>
      </c>
      <c r="F122" s="48" t="s">
        <v>21</v>
      </c>
      <c r="G122" s="79">
        <v>44068</v>
      </c>
      <c r="H122" s="46"/>
      <c r="I122" s="28"/>
      <c r="J122" s="28"/>
      <c r="K122" s="28"/>
      <c r="L122" s="28"/>
      <c r="M122" s="46"/>
      <c r="N122" s="28"/>
      <c r="O122" s="46"/>
      <c r="P122" s="7"/>
      <c r="Q122" s="47"/>
      <c r="R122" s="46">
        <v>451</v>
      </c>
      <c r="S122" s="47"/>
      <c r="T122" s="32"/>
      <c r="U122" s="71">
        <f t="shared" si="9"/>
        <v>451</v>
      </c>
      <c r="V122" s="82" t="s">
        <v>36</v>
      </c>
      <c r="W122" s="2" t="s">
        <v>5</v>
      </c>
      <c r="X122" s="83" t="s">
        <v>322</v>
      </c>
      <c r="Y122" s="180"/>
      <c r="Z122" s="181"/>
    </row>
    <row r="123" spans="1:26" s="2" customFormat="1" ht="14.1" customHeight="1" x14ac:dyDescent="0.3">
      <c r="A123" s="98" t="s">
        <v>5</v>
      </c>
      <c r="B123" s="3" t="s">
        <v>263</v>
      </c>
      <c r="C123" s="4"/>
      <c r="D123" s="70">
        <v>8250103</v>
      </c>
      <c r="E123" s="136">
        <v>44068</v>
      </c>
      <c r="F123" s="48" t="s">
        <v>21</v>
      </c>
      <c r="G123" s="79">
        <v>44068</v>
      </c>
      <c r="H123" s="46"/>
      <c r="I123" s="28"/>
      <c r="J123" s="28"/>
      <c r="K123" s="28"/>
      <c r="L123" s="28"/>
      <c r="M123" s="46"/>
      <c r="N123" s="28"/>
      <c r="O123" s="46"/>
      <c r="P123" s="7"/>
      <c r="Q123" s="47"/>
      <c r="R123" s="46">
        <v>59</v>
      </c>
      <c r="S123" s="47"/>
      <c r="T123" s="32"/>
      <c r="U123" s="71">
        <f t="shared" si="9"/>
        <v>59</v>
      </c>
      <c r="V123" s="82" t="s">
        <v>36</v>
      </c>
      <c r="W123" s="2" t="s">
        <v>5</v>
      </c>
      <c r="X123" s="83" t="s">
        <v>328</v>
      </c>
      <c r="Y123" s="180"/>
      <c r="Z123" s="181"/>
    </row>
    <row r="124" spans="1:26" s="2" customFormat="1" ht="14.1" customHeight="1" x14ac:dyDescent="0.3">
      <c r="A124" s="98" t="s">
        <v>5</v>
      </c>
      <c r="B124" s="3" t="s">
        <v>129</v>
      </c>
      <c r="C124" s="4" t="s">
        <v>174</v>
      </c>
      <c r="D124" s="70">
        <v>8250104</v>
      </c>
      <c r="E124" s="136">
        <v>44068</v>
      </c>
      <c r="F124" s="48" t="s">
        <v>21</v>
      </c>
      <c r="G124" s="79">
        <v>44068</v>
      </c>
      <c r="H124" s="46"/>
      <c r="I124" s="28"/>
      <c r="J124" s="28"/>
      <c r="K124" s="28"/>
      <c r="L124" s="28"/>
      <c r="M124" s="46"/>
      <c r="N124" s="28"/>
      <c r="O124" s="46"/>
      <c r="P124" s="7"/>
      <c r="Q124" s="47"/>
      <c r="R124" s="46">
        <v>90</v>
      </c>
      <c r="S124" s="47">
        <v>17</v>
      </c>
      <c r="T124" s="32">
        <v>8.33</v>
      </c>
      <c r="U124" s="71">
        <f t="shared" si="9"/>
        <v>115.33</v>
      </c>
      <c r="V124" s="82" t="s">
        <v>36</v>
      </c>
      <c r="W124" s="2" t="s">
        <v>5</v>
      </c>
      <c r="X124" s="83" t="s">
        <v>330</v>
      </c>
      <c r="Y124" s="180"/>
      <c r="Z124" s="181"/>
    </row>
    <row r="125" spans="1:26" s="2" customFormat="1" ht="14.1" customHeight="1" x14ac:dyDescent="0.3">
      <c r="A125" s="98" t="s">
        <v>5</v>
      </c>
      <c r="B125" s="3" t="s">
        <v>264</v>
      </c>
      <c r="C125" s="4"/>
      <c r="D125" s="70">
        <v>8250106</v>
      </c>
      <c r="E125" s="136">
        <v>44068</v>
      </c>
      <c r="F125" s="48" t="s">
        <v>21</v>
      </c>
      <c r="G125" s="79">
        <v>44068</v>
      </c>
      <c r="H125" s="46"/>
      <c r="I125" s="28"/>
      <c r="J125" s="28"/>
      <c r="K125" s="28"/>
      <c r="L125" s="28"/>
      <c r="M125" s="46"/>
      <c r="N125" s="28"/>
      <c r="O125" s="46"/>
      <c r="P125" s="7"/>
      <c r="Q125" s="47"/>
      <c r="R125" s="46">
        <v>78</v>
      </c>
      <c r="S125" s="47">
        <v>18</v>
      </c>
      <c r="T125" s="32">
        <v>6.63</v>
      </c>
      <c r="U125" s="71">
        <f t="shared" si="9"/>
        <v>102.63</v>
      </c>
      <c r="V125" s="82" t="s">
        <v>36</v>
      </c>
      <c r="W125" s="2" t="s">
        <v>5</v>
      </c>
      <c r="X125" s="83" t="s">
        <v>318</v>
      </c>
      <c r="Y125" s="180"/>
      <c r="Z125" s="181"/>
    </row>
    <row r="126" spans="1:26" s="2" customFormat="1" ht="14.1" customHeight="1" x14ac:dyDescent="0.3">
      <c r="A126" s="98" t="s">
        <v>5</v>
      </c>
      <c r="B126" s="3" t="s">
        <v>257</v>
      </c>
      <c r="C126" s="4" t="s">
        <v>265</v>
      </c>
      <c r="D126" s="70">
        <v>8250061</v>
      </c>
      <c r="E126" s="136">
        <v>44068</v>
      </c>
      <c r="F126" s="48" t="s">
        <v>266</v>
      </c>
      <c r="G126" s="79">
        <v>44068</v>
      </c>
      <c r="H126" s="46">
        <v>375</v>
      </c>
      <c r="I126" s="28"/>
      <c r="J126" s="28"/>
      <c r="K126" s="28"/>
      <c r="L126" s="28"/>
      <c r="M126" s="46"/>
      <c r="N126" s="28"/>
      <c r="O126" s="46"/>
      <c r="P126" s="7"/>
      <c r="Q126" s="47"/>
      <c r="R126" s="46"/>
      <c r="S126" s="47"/>
      <c r="T126" s="32">
        <v>33.75</v>
      </c>
      <c r="U126" s="71">
        <f t="shared" si="9"/>
        <v>408.75</v>
      </c>
      <c r="V126" s="82" t="s">
        <v>39</v>
      </c>
      <c r="W126" s="2" t="s">
        <v>267</v>
      </c>
      <c r="X126" s="83" t="s">
        <v>328</v>
      </c>
      <c r="Y126" s="180"/>
      <c r="Z126" s="181"/>
    </row>
    <row r="127" spans="1:26" s="2" customFormat="1" ht="14.1" customHeight="1" x14ac:dyDescent="0.3">
      <c r="A127" s="98" t="s">
        <v>5</v>
      </c>
      <c r="B127" s="3" t="s">
        <v>257</v>
      </c>
      <c r="C127" s="4" t="s">
        <v>268</v>
      </c>
      <c r="D127" s="70">
        <v>8250062</v>
      </c>
      <c r="E127" s="136">
        <v>44068</v>
      </c>
      <c r="F127" s="48" t="s">
        <v>266</v>
      </c>
      <c r="G127" s="79">
        <v>44068</v>
      </c>
      <c r="H127" s="46">
        <v>375</v>
      </c>
      <c r="I127" s="28"/>
      <c r="J127" s="28"/>
      <c r="K127" s="28"/>
      <c r="L127" s="28"/>
      <c r="M127" s="46"/>
      <c r="N127" s="28"/>
      <c r="O127" s="46"/>
      <c r="P127" s="7"/>
      <c r="Q127" s="47"/>
      <c r="R127" s="46"/>
      <c r="S127" s="47"/>
      <c r="T127" s="32">
        <v>33.75</v>
      </c>
      <c r="U127" s="71">
        <f t="shared" si="9"/>
        <v>408.75</v>
      </c>
      <c r="V127" s="82" t="s">
        <v>39</v>
      </c>
      <c r="W127" s="2" t="s">
        <v>267</v>
      </c>
      <c r="X127" s="83" t="s">
        <v>328</v>
      </c>
      <c r="Y127" s="180"/>
      <c r="Z127" s="181"/>
    </row>
    <row r="128" spans="1:26" s="2" customFormat="1" ht="14.1" customHeight="1" x14ac:dyDescent="0.3">
      <c r="A128" s="98" t="s">
        <v>5</v>
      </c>
      <c r="B128" s="3" t="s">
        <v>257</v>
      </c>
      <c r="C128" s="4" t="s">
        <v>258</v>
      </c>
      <c r="D128" s="70">
        <v>8250063</v>
      </c>
      <c r="E128" s="136">
        <v>44068</v>
      </c>
      <c r="F128" s="48" t="s">
        <v>266</v>
      </c>
      <c r="G128" s="79">
        <v>44068</v>
      </c>
      <c r="H128" s="46">
        <v>375</v>
      </c>
      <c r="I128" s="28"/>
      <c r="J128" s="28"/>
      <c r="K128" s="28"/>
      <c r="L128" s="28"/>
      <c r="M128" s="46"/>
      <c r="N128" s="28"/>
      <c r="O128" s="46"/>
      <c r="P128" s="7"/>
      <c r="Q128" s="47"/>
      <c r="R128" s="46"/>
      <c r="S128" s="47"/>
      <c r="T128" s="32">
        <v>33.75</v>
      </c>
      <c r="U128" s="71">
        <f t="shared" si="9"/>
        <v>408.75</v>
      </c>
      <c r="V128" s="82" t="s">
        <v>39</v>
      </c>
      <c r="W128" s="2" t="s">
        <v>267</v>
      </c>
      <c r="X128" s="83" t="s">
        <v>328</v>
      </c>
      <c r="Y128" s="180"/>
      <c r="Z128" s="181"/>
    </row>
    <row r="129" spans="1:26" s="2" customFormat="1" ht="14.1" customHeight="1" x14ac:dyDescent="0.3">
      <c r="A129" s="98" t="s">
        <v>5</v>
      </c>
      <c r="B129" s="3" t="s">
        <v>257</v>
      </c>
      <c r="C129" s="4" t="s">
        <v>203</v>
      </c>
      <c r="D129" s="70">
        <v>8250064</v>
      </c>
      <c r="E129" s="136">
        <v>44068</v>
      </c>
      <c r="F129" s="48" t="s">
        <v>266</v>
      </c>
      <c r="G129" s="79">
        <v>44068</v>
      </c>
      <c r="H129" s="46">
        <v>375</v>
      </c>
      <c r="I129" s="28"/>
      <c r="J129" s="28"/>
      <c r="K129" s="28"/>
      <c r="L129" s="28"/>
      <c r="M129" s="46"/>
      <c r="N129" s="28"/>
      <c r="O129" s="46"/>
      <c r="P129" s="7"/>
      <c r="Q129" s="47"/>
      <c r="R129" s="46"/>
      <c r="S129" s="47"/>
      <c r="T129" s="32">
        <v>33.75</v>
      </c>
      <c r="U129" s="71">
        <f t="shared" si="9"/>
        <v>408.75</v>
      </c>
      <c r="V129" s="82" t="s">
        <v>39</v>
      </c>
      <c r="W129" s="2" t="s">
        <v>267</v>
      </c>
      <c r="X129" s="83" t="s">
        <v>328</v>
      </c>
      <c r="Y129" s="180"/>
      <c r="Z129" s="181"/>
    </row>
    <row r="130" spans="1:26" s="2" customFormat="1" ht="14.1" customHeight="1" x14ac:dyDescent="0.3">
      <c r="A130" s="98" t="s">
        <v>5</v>
      </c>
      <c r="B130" s="3" t="s">
        <v>257</v>
      </c>
      <c r="C130" s="4" t="s">
        <v>269</v>
      </c>
      <c r="D130" s="70">
        <v>8250065</v>
      </c>
      <c r="E130" s="136">
        <v>44068</v>
      </c>
      <c r="F130" s="48" t="s">
        <v>266</v>
      </c>
      <c r="G130" s="79">
        <v>44068</v>
      </c>
      <c r="H130" s="46">
        <v>375</v>
      </c>
      <c r="I130" s="28"/>
      <c r="J130" s="28"/>
      <c r="K130" s="28"/>
      <c r="L130" s="28"/>
      <c r="M130" s="46"/>
      <c r="N130" s="28"/>
      <c r="O130" s="46"/>
      <c r="P130" s="7"/>
      <c r="Q130" s="47"/>
      <c r="R130" s="46"/>
      <c r="S130" s="47"/>
      <c r="T130" s="32">
        <v>33.75</v>
      </c>
      <c r="U130" s="71">
        <f t="shared" si="9"/>
        <v>408.75</v>
      </c>
      <c r="V130" s="82" t="s">
        <v>39</v>
      </c>
      <c r="W130" s="2" t="s">
        <v>267</v>
      </c>
      <c r="X130" s="83" t="s">
        <v>328</v>
      </c>
      <c r="Y130" s="180"/>
      <c r="Z130" s="181"/>
    </row>
    <row r="131" spans="1:26" s="2" customFormat="1" ht="14.1" customHeight="1" x14ac:dyDescent="0.3">
      <c r="A131" s="98" t="s">
        <v>5</v>
      </c>
      <c r="B131" s="3" t="s">
        <v>257</v>
      </c>
      <c r="C131" s="4" t="s">
        <v>270</v>
      </c>
      <c r="D131" s="70">
        <v>8250066</v>
      </c>
      <c r="E131" s="136">
        <v>44068</v>
      </c>
      <c r="F131" s="48" t="s">
        <v>266</v>
      </c>
      <c r="G131" s="79">
        <v>44068</v>
      </c>
      <c r="H131" s="46">
        <v>375</v>
      </c>
      <c r="I131" s="28"/>
      <c r="J131" s="28"/>
      <c r="K131" s="28"/>
      <c r="L131" s="28"/>
      <c r="M131" s="46"/>
      <c r="N131" s="28"/>
      <c r="O131" s="46"/>
      <c r="P131" s="7"/>
      <c r="Q131" s="47"/>
      <c r="R131" s="46"/>
      <c r="S131" s="47"/>
      <c r="T131" s="32">
        <v>33.75</v>
      </c>
      <c r="U131" s="71">
        <f t="shared" si="9"/>
        <v>408.75</v>
      </c>
      <c r="V131" s="82" t="s">
        <v>39</v>
      </c>
      <c r="W131" s="2" t="s">
        <v>267</v>
      </c>
      <c r="X131" s="83" t="s">
        <v>328</v>
      </c>
      <c r="Y131" s="180"/>
      <c r="Z131" s="181"/>
    </row>
    <row r="132" spans="1:26" s="2" customFormat="1" ht="14.1" customHeight="1" x14ac:dyDescent="0.3">
      <c r="A132" s="98" t="s">
        <v>14</v>
      </c>
      <c r="B132" s="3" t="s">
        <v>272</v>
      </c>
      <c r="C132" s="4" t="s">
        <v>273</v>
      </c>
      <c r="D132" s="70">
        <v>8260059</v>
      </c>
      <c r="E132" s="136">
        <v>44069</v>
      </c>
      <c r="F132" s="48" t="s">
        <v>237</v>
      </c>
      <c r="G132" s="79">
        <v>44069</v>
      </c>
      <c r="H132" s="46"/>
      <c r="I132" s="28"/>
      <c r="J132" s="28"/>
      <c r="K132" s="28"/>
      <c r="L132" s="28"/>
      <c r="M132" s="46">
        <v>67.62</v>
      </c>
      <c r="N132" s="28"/>
      <c r="O132" s="46"/>
      <c r="P132" s="7"/>
      <c r="Q132" s="47"/>
      <c r="R132" s="46"/>
      <c r="S132" s="47"/>
      <c r="T132" s="32"/>
      <c r="U132" s="71">
        <f t="shared" si="9"/>
        <v>67.62</v>
      </c>
      <c r="V132" s="82" t="s">
        <v>29</v>
      </c>
      <c r="W132" s="2" t="s">
        <v>14</v>
      </c>
      <c r="X132" s="83" t="s">
        <v>18</v>
      </c>
      <c r="Y132" s="180" t="s">
        <v>278</v>
      </c>
      <c r="Z132" s="181"/>
    </row>
    <row r="133" spans="1:26" s="2" customFormat="1" ht="14.1" customHeight="1" x14ac:dyDescent="0.3">
      <c r="A133" s="98" t="s">
        <v>44</v>
      </c>
      <c r="B133" s="3" t="s">
        <v>129</v>
      </c>
      <c r="C133" s="4" t="s">
        <v>174</v>
      </c>
      <c r="D133" s="70">
        <v>8260261</v>
      </c>
      <c r="E133" s="136">
        <v>44069</v>
      </c>
      <c r="F133" s="48" t="s">
        <v>45</v>
      </c>
      <c r="G133" s="79">
        <v>44069</v>
      </c>
      <c r="H133" s="46"/>
      <c r="I133" s="28"/>
      <c r="J133" s="28"/>
      <c r="K133" s="28"/>
      <c r="L133" s="28"/>
      <c r="M133" s="46"/>
      <c r="N133" s="28"/>
      <c r="O133" s="46"/>
      <c r="P133" s="7">
        <v>180</v>
      </c>
      <c r="Q133" s="47">
        <v>90</v>
      </c>
      <c r="R133" s="46"/>
      <c r="S133" s="47"/>
      <c r="T133" s="32"/>
      <c r="U133" s="71">
        <f t="shared" si="9"/>
        <v>270</v>
      </c>
      <c r="V133" s="82" t="s">
        <v>7</v>
      </c>
      <c r="W133" s="2" t="s">
        <v>44</v>
      </c>
      <c r="X133" s="83" t="s">
        <v>18</v>
      </c>
      <c r="Y133" s="180"/>
      <c r="Z133" s="181"/>
    </row>
    <row r="134" spans="1:26" s="2" customFormat="1" ht="14.1" customHeight="1" x14ac:dyDescent="0.3">
      <c r="A134" s="98" t="s">
        <v>44</v>
      </c>
      <c r="B134" s="3" t="s">
        <v>274</v>
      </c>
      <c r="C134" s="4" t="s">
        <v>275</v>
      </c>
      <c r="D134" s="70">
        <v>8260293</v>
      </c>
      <c r="E134" s="136">
        <v>44069</v>
      </c>
      <c r="F134" s="48" t="s">
        <v>21</v>
      </c>
      <c r="G134" s="79">
        <v>44069</v>
      </c>
      <c r="H134" s="46"/>
      <c r="I134" s="28"/>
      <c r="J134" s="28"/>
      <c r="K134" s="28"/>
      <c r="L134" s="28"/>
      <c r="M134" s="46"/>
      <c r="N134" s="28"/>
      <c r="O134" s="46"/>
      <c r="P134" s="7"/>
      <c r="Q134" s="47"/>
      <c r="R134" s="46">
        <v>49.95</v>
      </c>
      <c r="S134" s="47"/>
      <c r="T134" s="32">
        <v>4.62</v>
      </c>
      <c r="U134" s="71">
        <f t="shared" si="9"/>
        <v>54.57</v>
      </c>
      <c r="V134" s="82" t="s">
        <v>36</v>
      </c>
      <c r="W134" s="2" t="s">
        <v>93</v>
      </c>
      <c r="X134" s="83" t="s">
        <v>321</v>
      </c>
      <c r="Y134" s="180"/>
      <c r="Z134" s="181"/>
    </row>
    <row r="135" spans="1:26" s="2" customFormat="1" ht="14.1" customHeight="1" x14ac:dyDescent="0.3">
      <c r="A135" s="98" t="s">
        <v>93</v>
      </c>
      <c r="B135" s="3" t="s">
        <v>276</v>
      </c>
      <c r="C135" s="4"/>
      <c r="D135" s="70">
        <v>8260292</v>
      </c>
      <c r="E135" s="136">
        <v>44069</v>
      </c>
      <c r="F135" s="48" t="s">
        <v>21</v>
      </c>
      <c r="G135" s="79">
        <v>44069</v>
      </c>
      <c r="H135" s="46"/>
      <c r="I135" s="28"/>
      <c r="J135" s="28"/>
      <c r="K135" s="28"/>
      <c r="L135" s="28"/>
      <c r="M135" s="46"/>
      <c r="N135" s="28"/>
      <c r="O135" s="46"/>
      <c r="P135" s="7"/>
      <c r="Q135" s="47"/>
      <c r="R135" s="46">
        <v>110</v>
      </c>
      <c r="S135" s="47"/>
      <c r="T135" s="32">
        <v>9.35</v>
      </c>
      <c r="U135" s="71">
        <f t="shared" si="9"/>
        <v>119.35</v>
      </c>
      <c r="V135" s="82" t="s">
        <v>36</v>
      </c>
      <c r="W135" s="2" t="s">
        <v>5</v>
      </c>
      <c r="X135" s="83" t="s">
        <v>319</v>
      </c>
      <c r="Y135" s="180"/>
      <c r="Z135" s="181"/>
    </row>
    <row r="136" spans="1:26" s="2" customFormat="1" ht="14.1" customHeight="1" x14ac:dyDescent="0.3">
      <c r="A136" s="98" t="s">
        <v>32</v>
      </c>
      <c r="B136" s="3" t="s">
        <v>252</v>
      </c>
      <c r="C136" s="4"/>
      <c r="D136" s="70">
        <v>8270061</v>
      </c>
      <c r="E136" s="136">
        <v>44070</v>
      </c>
      <c r="F136" s="48" t="s">
        <v>45</v>
      </c>
      <c r="G136" s="79">
        <v>44070</v>
      </c>
      <c r="H136" s="46"/>
      <c r="I136" s="28"/>
      <c r="J136" s="28"/>
      <c r="K136" s="28"/>
      <c r="L136" s="28"/>
      <c r="M136" s="46"/>
      <c r="N136" s="28"/>
      <c r="O136" s="46"/>
      <c r="P136" s="7"/>
      <c r="Q136" s="47">
        <v>90</v>
      </c>
      <c r="R136" s="46"/>
      <c r="S136" s="47"/>
      <c r="T136" s="32"/>
      <c r="U136" s="71">
        <f t="shared" si="9"/>
        <v>90</v>
      </c>
      <c r="V136" s="82" t="s">
        <v>7</v>
      </c>
      <c r="W136" s="2" t="s">
        <v>32</v>
      </c>
      <c r="X136" s="83" t="s">
        <v>18</v>
      </c>
      <c r="Y136" s="180"/>
      <c r="Z136" s="181"/>
    </row>
    <row r="137" spans="1:26" s="2" customFormat="1" ht="14.1" customHeight="1" x14ac:dyDescent="0.3">
      <c r="A137" s="98" t="s">
        <v>48</v>
      </c>
      <c r="B137" s="3" t="s">
        <v>251</v>
      </c>
      <c r="C137" s="4"/>
      <c r="D137" s="70">
        <v>8260071</v>
      </c>
      <c r="E137" s="136">
        <v>44069</v>
      </c>
      <c r="F137" s="48" t="s">
        <v>45</v>
      </c>
      <c r="G137" s="79">
        <v>44069</v>
      </c>
      <c r="H137" s="46"/>
      <c r="I137" s="28"/>
      <c r="J137" s="28"/>
      <c r="K137" s="28"/>
      <c r="L137" s="28"/>
      <c r="M137" s="46"/>
      <c r="N137" s="28"/>
      <c r="O137" s="46"/>
      <c r="P137" s="7">
        <v>180</v>
      </c>
      <c r="Q137" s="47"/>
      <c r="R137" s="46"/>
      <c r="S137" s="47"/>
      <c r="T137" s="32"/>
      <c r="U137" s="71">
        <f t="shared" si="9"/>
        <v>180</v>
      </c>
      <c r="V137" s="82" t="s">
        <v>7</v>
      </c>
      <c r="W137" s="2" t="s">
        <v>6</v>
      </c>
      <c r="X137" s="83" t="s">
        <v>325</v>
      </c>
      <c r="Y137" s="180"/>
      <c r="Z137" s="181"/>
    </row>
    <row r="138" spans="1:26" s="2" customFormat="1" ht="14.1" customHeight="1" x14ac:dyDescent="0.3">
      <c r="A138" s="98" t="s">
        <v>44</v>
      </c>
      <c r="B138" s="3" t="s">
        <v>137</v>
      </c>
      <c r="C138" s="4"/>
      <c r="D138" s="70">
        <v>8270261</v>
      </c>
      <c r="E138" s="136">
        <v>44070</v>
      </c>
      <c r="F138" s="48" t="s">
        <v>21</v>
      </c>
      <c r="G138" s="79">
        <v>44070</v>
      </c>
      <c r="H138" s="46"/>
      <c r="I138" s="28"/>
      <c r="J138" s="28"/>
      <c r="K138" s="28"/>
      <c r="L138" s="28"/>
      <c r="M138" s="46"/>
      <c r="N138" s="28"/>
      <c r="O138" s="46"/>
      <c r="P138" s="7"/>
      <c r="Q138" s="47"/>
      <c r="R138" s="46">
        <v>69</v>
      </c>
      <c r="S138" s="47"/>
      <c r="T138" s="32">
        <v>5.87</v>
      </c>
      <c r="U138" s="71">
        <f t="shared" si="9"/>
        <v>74.87</v>
      </c>
      <c r="V138" s="82" t="s">
        <v>7</v>
      </c>
      <c r="W138" s="2" t="s">
        <v>44</v>
      </c>
      <c r="X138" s="83" t="s">
        <v>18</v>
      </c>
      <c r="Y138" s="180"/>
      <c r="Z138" s="181"/>
    </row>
    <row r="139" spans="1:26" s="2" customFormat="1" ht="14.1" customHeight="1" x14ac:dyDescent="0.3">
      <c r="A139" s="98" t="s">
        <v>93</v>
      </c>
      <c r="B139" s="3" t="s">
        <v>279</v>
      </c>
      <c r="C139" s="4"/>
      <c r="D139" s="70">
        <v>8270291</v>
      </c>
      <c r="E139" s="136">
        <v>44070</v>
      </c>
      <c r="F139" s="48" t="s">
        <v>21</v>
      </c>
      <c r="G139" s="79">
        <v>44070</v>
      </c>
      <c r="H139" s="46"/>
      <c r="I139" s="28"/>
      <c r="J139" s="28"/>
      <c r="K139" s="28"/>
      <c r="L139" s="28"/>
      <c r="M139" s="46"/>
      <c r="N139" s="28"/>
      <c r="O139" s="46"/>
      <c r="P139" s="7"/>
      <c r="Q139" s="47"/>
      <c r="R139" s="46">
        <v>164</v>
      </c>
      <c r="S139" s="47"/>
      <c r="T139" s="32">
        <v>14.76</v>
      </c>
      <c r="U139" s="71">
        <f t="shared" si="9"/>
        <v>178.76</v>
      </c>
      <c r="V139" s="82" t="s">
        <v>36</v>
      </c>
      <c r="W139" s="2" t="s">
        <v>5</v>
      </c>
      <c r="X139" s="83" t="s">
        <v>328</v>
      </c>
      <c r="Y139" s="180"/>
      <c r="Z139" s="181"/>
    </row>
    <row r="140" spans="1:26" s="2" customFormat="1" ht="14.1" customHeight="1" x14ac:dyDescent="0.3">
      <c r="A140" s="98" t="s">
        <v>44</v>
      </c>
      <c r="B140" s="3" t="s">
        <v>202</v>
      </c>
      <c r="C140" s="4"/>
      <c r="D140" s="70">
        <v>8280261</v>
      </c>
      <c r="E140" s="136">
        <v>44071</v>
      </c>
      <c r="F140" s="48" t="s">
        <v>45</v>
      </c>
      <c r="G140" s="79">
        <v>44071</v>
      </c>
      <c r="H140" s="46"/>
      <c r="I140" s="28"/>
      <c r="J140" s="28"/>
      <c r="K140" s="28"/>
      <c r="L140" s="28"/>
      <c r="M140" s="46"/>
      <c r="N140" s="28"/>
      <c r="O140" s="46"/>
      <c r="P140" s="7">
        <v>180</v>
      </c>
      <c r="Q140" s="47">
        <v>90</v>
      </c>
      <c r="R140" s="46"/>
      <c r="S140" s="47"/>
      <c r="T140" s="32"/>
      <c r="U140" s="71">
        <f t="shared" si="9"/>
        <v>270</v>
      </c>
      <c r="V140" s="82" t="s">
        <v>7</v>
      </c>
      <c r="W140" s="2" t="s">
        <v>44</v>
      </c>
      <c r="X140" s="83" t="s">
        <v>18</v>
      </c>
      <c r="Y140" s="180"/>
      <c r="Z140" s="181"/>
    </row>
    <row r="141" spans="1:26" s="2" customFormat="1" ht="14.1" customHeight="1" x14ac:dyDescent="0.3">
      <c r="A141" s="98" t="s">
        <v>44</v>
      </c>
      <c r="B141" s="3" t="s">
        <v>280</v>
      </c>
      <c r="C141" s="4" t="s">
        <v>245</v>
      </c>
      <c r="D141" s="70">
        <v>8280297</v>
      </c>
      <c r="E141" s="136">
        <v>44071</v>
      </c>
      <c r="F141" s="48" t="s">
        <v>45</v>
      </c>
      <c r="G141" s="79">
        <v>44071</v>
      </c>
      <c r="H141" s="46"/>
      <c r="I141" s="28"/>
      <c r="J141" s="28"/>
      <c r="K141" s="28"/>
      <c r="L141" s="28"/>
      <c r="M141" s="46"/>
      <c r="N141" s="28"/>
      <c r="O141" s="46"/>
      <c r="P141" s="7">
        <v>180</v>
      </c>
      <c r="Q141" s="47">
        <v>90</v>
      </c>
      <c r="R141" s="46"/>
      <c r="S141" s="47"/>
      <c r="T141" s="32"/>
      <c r="U141" s="71">
        <f t="shared" si="9"/>
        <v>270</v>
      </c>
      <c r="V141" s="82" t="s">
        <v>7</v>
      </c>
      <c r="W141" s="2" t="s">
        <v>44</v>
      </c>
      <c r="X141" s="83" t="s">
        <v>298</v>
      </c>
      <c r="Y141" s="180"/>
      <c r="Z141" s="181"/>
    </row>
    <row r="142" spans="1:26" s="2" customFormat="1" ht="14.1" customHeight="1" x14ac:dyDescent="0.3">
      <c r="A142" s="98" t="s">
        <v>48</v>
      </c>
      <c r="B142" s="3" t="s">
        <v>50</v>
      </c>
      <c r="C142" s="4" t="s">
        <v>271</v>
      </c>
      <c r="D142" s="70">
        <v>8280251</v>
      </c>
      <c r="E142" s="136">
        <v>44071</v>
      </c>
      <c r="F142" s="48" t="s">
        <v>196</v>
      </c>
      <c r="G142" s="79">
        <v>44071</v>
      </c>
      <c r="H142" s="46"/>
      <c r="I142" s="28"/>
      <c r="J142" s="28"/>
      <c r="K142" s="28"/>
      <c r="L142" s="28"/>
      <c r="M142" s="46"/>
      <c r="N142" s="28"/>
      <c r="O142" s="46"/>
      <c r="P142" s="7">
        <v>90</v>
      </c>
      <c r="Q142" s="47"/>
      <c r="R142" s="46"/>
      <c r="S142" s="47"/>
      <c r="T142" s="32"/>
      <c r="U142" s="71">
        <f t="shared" si="9"/>
        <v>90</v>
      </c>
      <c r="V142" s="82" t="s">
        <v>7</v>
      </c>
      <c r="W142" s="2" t="s">
        <v>48</v>
      </c>
      <c r="X142" s="83" t="s">
        <v>18</v>
      </c>
      <c r="Y142" s="180"/>
      <c r="Z142" s="181"/>
    </row>
    <row r="143" spans="1:26" s="2" customFormat="1" ht="14.1" customHeight="1" x14ac:dyDescent="0.3">
      <c r="A143" s="98" t="s">
        <v>93</v>
      </c>
      <c r="B143" s="3" t="s">
        <v>124</v>
      </c>
      <c r="C143" s="4"/>
      <c r="D143" s="70">
        <v>8280292</v>
      </c>
      <c r="E143" s="136">
        <v>44071</v>
      </c>
      <c r="F143" s="48" t="s">
        <v>21</v>
      </c>
      <c r="G143" s="79">
        <v>44071</v>
      </c>
      <c r="H143" s="46"/>
      <c r="I143" s="28"/>
      <c r="J143" s="28"/>
      <c r="K143" s="28"/>
      <c r="L143" s="28"/>
      <c r="M143" s="46"/>
      <c r="N143" s="28"/>
      <c r="O143" s="46"/>
      <c r="P143" s="7"/>
      <c r="Q143" s="47"/>
      <c r="R143" s="46">
        <v>202</v>
      </c>
      <c r="S143" s="47"/>
      <c r="T143" s="32">
        <v>17.68</v>
      </c>
      <c r="U143" s="71">
        <f t="shared" ref="U143:U151" si="10">SUM(H143:T143)</f>
        <v>219.68</v>
      </c>
      <c r="V143" s="82" t="s">
        <v>7</v>
      </c>
      <c r="W143" s="2" t="s">
        <v>6</v>
      </c>
      <c r="X143" s="83" t="s">
        <v>18</v>
      </c>
      <c r="Y143" s="180"/>
      <c r="Z143" s="181"/>
    </row>
    <row r="144" spans="1:26" s="2" customFormat="1" ht="14.1" customHeight="1" x14ac:dyDescent="0.3">
      <c r="A144" s="98" t="s">
        <v>5</v>
      </c>
      <c r="B144" s="3" t="s">
        <v>138</v>
      </c>
      <c r="C144" s="4"/>
      <c r="D144" s="70">
        <v>8280103</v>
      </c>
      <c r="E144" s="136">
        <v>44071</v>
      </c>
      <c r="F144" s="48" t="s">
        <v>21</v>
      </c>
      <c r="G144" s="79">
        <v>44071</v>
      </c>
      <c r="H144" s="46"/>
      <c r="I144" s="28"/>
      <c r="J144" s="28"/>
      <c r="K144" s="28"/>
      <c r="L144" s="28"/>
      <c r="M144" s="46"/>
      <c r="N144" s="28"/>
      <c r="O144" s="46"/>
      <c r="P144" s="7"/>
      <c r="Q144" s="47"/>
      <c r="R144" s="46">
        <v>223</v>
      </c>
      <c r="S144" s="47"/>
      <c r="T144" s="32">
        <v>18.399999999999999</v>
      </c>
      <c r="U144" s="71">
        <f t="shared" si="10"/>
        <v>241.4</v>
      </c>
      <c r="V144" s="82" t="s">
        <v>39</v>
      </c>
      <c r="W144" s="2" t="s">
        <v>277</v>
      </c>
      <c r="X144" s="83" t="s">
        <v>18</v>
      </c>
      <c r="Y144" s="180"/>
      <c r="Z144" s="181"/>
    </row>
    <row r="145" spans="1:28" s="2" customFormat="1" ht="14.1" customHeight="1" x14ac:dyDescent="0.3">
      <c r="A145" s="98" t="s">
        <v>93</v>
      </c>
      <c r="B145" s="3" t="s">
        <v>281</v>
      </c>
      <c r="C145" s="4"/>
      <c r="D145" s="70">
        <v>8280293</v>
      </c>
      <c r="E145" s="136">
        <v>44071</v>
      </c>
      <c r="F145" s="48" t="s">
        <v>21</v>
      </c>
      <c r="G145" s="79">
        <v>44071</v>
      </c>
      <c r="H145" s="46"/>
      <c r="I145" s="28"/>
      <c r="J145" s="28"/>
      <c r="K145" s="28"/>
      <c r="L145" s="28"/>
      <c r="M145" s="46"/>
      <c r="N145" s="28"/>
      <c r="O145" s="46"/>
      <c r="P145" s="7"/>
      <c r="Q145" s="47"/>
      <c r="R145" s="46">
        <v>49</v>
      </c>
      <c r="S145" s="47">
        <v>9</v>
      </c>
      <c r="T145" s="32">
        <v>4.04</v>
      </c>
      <c r="U145" s="71">
        <f t="shared" si="10"/>
        <v>62.04</v>
      </c>
      <c r="V145" s="82" t="s">
        <v>36</v>
      </c>
      <c r="W145" s="2" t="s">
        <v>5</v>
      </c>
      <c r="X145" s="83" t="s">
        <v>18</v>
      </c>
      <c r="Y145" s="180"/>
      <c r="Z145" s="181"/>
    </row>
    <row r="146" spans="1:28" s="2" customFormat="1" ht="14.1" customHeight="1" x14ac:dyDescent="0.3">
      <c r="A146" s="98" t="s">
        <v>48</v>
      </c>
      <c r="B146" s="3" t="s">
        <v>282</v>
      </c>
      <c r="C146" s="4"/>
      <c r="D146" s="70">
        <v>8310252</v>
      </c>
      <c r="E146" s="136">
        <v>44074</v>
      </c>
      <c r="F146" s="48" t="s">
        <v>196</v>
      </c>
      <c r="G146" s="79">
        <v>44074</v>
      </c>
      <c r="H146" s="46"/>
      <c r="I146" s="28"/>
      <c r="J146" s="28"/>
      <c r="K146" s="28"/>
      <c r="L146" s="28"/>
      <c r="M146" s="46"/>
      <c r="N146" s="28"/>
      <c r="O146" s="46"/>
      <c r="P146" s="7">
        <v>90</v>
      </c>
      <c r="Q146" s="47"/>
      <c r="R146" s="46"/>
      <c r="S146" s="47"/>
      <c r="T146" s="32"/>
      <c r="U146" s="71">
        <f t="shared" si="10"/>
        <v>90</v>
      </c>
      <c r="V146" s="82" t="s">
        <v>29</v>
      </c>
      <c r="W146" s="2" t="s">
        <v>48</v>
      </c>
      <c r="X146" s="83" t="s">
        <v>18</v>
      </c>
      <c r="Y146" s="180"/>
      <c r="Z146" s="181"/>
    </row>
    <row r="147" spans="1:28" s="2" customFormat="1" ht="14.1" customHeight="1" x14ac:dyDescent="0.3">
      <c r="A147" s="98" t="s">
        <v>6</v>
      </c>
      <c r="B147" s="3" t="s">
        <v>77</v>
      </c>
      <c r="C147" s="4"/>
      <c r="D147" s="70">
        <v>8310251</v>
      </c>
      <c r="E147" s="136">
        <v>44074</v>
      </c>
      <c r="F147" s="48" t="s">
        <v>196</v>
      </c>
      <c r="G147" s="79">
        <v>44074</v>
      </c>
      <c r="H147" s="46"/>
      <c r="I147" s="28"/>
      <c r="J147" s="28"/>
      <c r="K147" s="28"/>
      <c r="L147" s="28"/>
      <c r="M147" s="46"/>
      <c r="N147" s="28"/>
      <c r="O147" s="46"/>
      <c r="P147" s="7">
        <v>75</v>
      </c>
      <c r="Q147" s="47"/>
      <c r="R147" s="46"/>
      <c r="S147" s="47"/>
      <c r="T147" s="32"/>
      <c r="U147" s="71">
        <f t="shared" si="10"/>
        <v>75</v>
      </c>
      <c r="V147" s="82" t="s">
        <v>29</v>
      </c>
      <c r="W147" s="2" t="s">
        <v>48</v>
      </c>
      <c r="X147" s="83" t="s">
        <v>18</v>
      </c>
      <c r="Y147" s="180"/>
      <c r="Z147" s="181"/>
    </row>
    <row r="148" spans="1:28" s="2" customFormat="1" ht="14.1" customHeight="1" x14ac:dyDescent="0.3">
      <c r="A148" s="98" t="s">
        <v>6</v>
      </c>
      <c r="B148" s="3" t="s">
        <v>283</v>
      </c>
      <c r="C148" s="4"/>
      <c r="D148" s="70">
        <v>8220071</v>
      </c>
      <c r="E148" s="136">
        <v>44065</v>
      </c>
      <c r="F148" s="48" t="s">
        <v>45</v>
      </c>
      <c r="G148" s="79">
        <v>44065</v>
      </c>
      <c r="H148" s="46"/>
      <c r="I148" s="28"/>
      <c r="J148" s="28"/>
      <c r="K148" s="28"/>
      <c r="L148" s="28"/>
      <c r="M148" s="46"/>
      <c r="N148" s="28"/>
      <c r="O148" s="46"/>
      <c r="P148" s="7">
        <v>180</v>
      </c>
      <c r="Q148" s="47"/>
      <c r="R148" s="46"/>
      <c r="S148" s="47"/>
      <c r="T148" s="32"/>
      <c r="U148" s="71">
        <f t="shared" si="10"/>
        <v>180</v>
      </c>
      <c r="V148" s="82" t="s">
        <v>7</v>
      </c>
      <c r="W148" s="2" t="s">
        <v>6</v>
      </c>
      <c r="X148" s="83" t="s">
        <v>18</v>
      </c>
      <c r="Y148" s="180"/>
      <c r="Z148" s="181"/>
    </row>
    <row r="149" spans="1:28" s="2" customFormat="1" ht="14.1" customHeight="1" x14ac:dyDescent="0.3">
      <c r="A149" s="98" t="s">
        <v>5</v>
      </c>
      <c r="B149" s="3" t="s">
        <v>261</v>
      </c>
      <c r="C149" s="4"/>
      <c r="D149" s="70">
        <v>8310101</v>
      </c>
      <c r="E149" s="136">
        <v>44074</v>
      </c>
      <c r="F149" s="48" t="s">
        <v>21</v>
      </c>
      <c r="G149" s="79">
        <v>44074</v>
      </c>
      <c r="H149" s="46"/>
      <c r="I149" s="28"/>
      <c r="J149" s="28"/>
      <c r="K149" s="28"/>
      <c r="L149" s="28"/>
      <c r="M149" s="46"/>
      <c r="N149" s="28"/>
      <c r="O149" s="46"/>
      <c r="P149" s="7"/>
      <c r="Q149" s="47"/>
      <c r="R149" s="46">
        <v>42</v>
      </c>
      <c r="S149" s="47"/>
      <c r="T149" s="32">
        <v>3.78</v>
      </c>
      <c r="U149" s="71">
        <f t="shared" si="10"/>
        <v>45.78</v>
      </c>
      <c r="V149" s="82" t="s">
        <v>36</v>
      </c>
      <c r="W149" s="2" t="s">
        <v>80</v>
      </c>
      <c r="X149" s="83" t="s">
        <v>18</v>
      </c>
      <c r="Y149" s="180"/>
      <c r="Z149" s="181"/>
    </row>
    <row r="150" spans="1:28" s="2" customFormat="1" ht="14.1" customHeight="1" x14ac:dyDescent="0.3">
      <c r="A150" s="98" t="s">
        <v>5</v>
      </c>
      <c r="B150" s="3" t="s">
        <v>284</v>
      </c>
      <c r="C150" s="4"/>
      <c r="D150" s="70">
        <v>8310103</v>
      </c>
      <c r="E150" s="136">
        <v>44074</v>
      </c>
      <c r="F150" s="48" t="s">
        <v>21</v>
      </c>
      <c r="G150" s="79">
        <v>44074</v>
      </c>
      <c r="H150" s="46"/>
      <c r="I150" s="28"/>
      <c r="J150" s="28"/>
      <c r="K150" s="28"/>
      <c r="L150" s="28"/>
      <c r="M150" s="46"/>
      <c r="N150" s="28"/>
      <c r="O150" s="46"/>
      <c r="P150" s="7"/>
      <c r="Q150" s="47"/>
      <c r="R150" s="46">
        <v>165.5</v>
      </c>
      <c r="S150" s="47"/>
      <c r="T150" s="32">
        <v>13.65</v>
      </c>
      <c r="U150" s="71">
        <f t="shared" si="10"/>
        <v>179.15</v>
      </c>
      <c r="V150" s="82" t="s">
        <v>36</v>
      </c>
      <c r="W150" s="2" t="s">
        <v>5</v>
      </c>
      <c r="X150" s="83" t="s">
        <v>18</v>
      </c>
      <c r="Y150" s="180"/>
      <c r="Z150" s="181"/>
    </row>
    <row r="151" spans="1:28" s="2" customFormat="1" ht="14.1" customHeight="1" x14ac:dyDescent="0.3">
      <c r="A151" s="98" t="s">
        <v>74</v>
      </c>
      <c r="B151" s="3" t="s">
        <v>285</v>
      </c>
      <c r="C151" s="4"/>
      <c r="D151" s="70">
        <v>8280304</v>
      </c>
      <c r="E151" s="136">
        <v>44071</v>
      </c>
      <c r="F151" s="48" t="s">
        <v>45</v>
      </c>
      <c r="G151" s="79">
        <v>44074</v>
      </c>
      <c r="H151" s="46"/>
      <c r="I151" s="28"/>
      <c r="J151" s="28"/>
      <c r="K151" s="28"/>
      <c r="L151" s="28"/>
      <c r="M151" s="46"/>
      <c r="N151" s="28"/>
      <c r="O151" s="46"/>
      <c r="P151" s="7">
        <v>120</v>
      </c>
      <c r="Q151" s="47">
        <v>60</v>
      </c>
      <c r="R151" s="46"/>
      <c r="S151" s="47"/>
      <c r="T151" s="32"/>
      <c r="U151" s="71">
        <f t="shared" si="10"/>
        <v>180</v>
      </c>
      <c r="V151" s="82" t="s">
        <v>7</v>
      </c>
      <c r="W151" s="2" t="s">
        <v>74</v>
      </c>
      <c r="X151" s="83" t="s">
        <v>326</v>
      </c>
      <c r="Y151" s="180"/>
      <c r="Z151" s="181"/>
    </row>
    <row r="152" spans="1:28" ht="13.5" customHeight="1" thickBot="1" x14ac:dyDescent="0.25">
      <c r="A152" s="348"/>
      <c r="B152" s="348"/>
      <c r="C152" s="348"/>
      <c r="D152" s="355"/>
      <c r="E152" s="349"/>
      <c r="F152" s="356"/>
      <c r="G152" s="350"/>
      <c r="H152" s="351"/>
      <c r="I152" s="351"/>
      <c r="J152" s="351"/>
      <c r="K152" s="351"/>
      <c r="L152" s="351"/>
      <c r="M152" s="351"/>
      <c r="N152" s="351"/>
      <c r="O152" s="351"/>
      <c r="P152" s="352"/>
      <c r="Q152" s="353"/>
      <c r="R152" s="347"/>
      <c r="S152" s="354"/>
      <c r="T152" s="361"/>
      <c r="U152" s="93"/>
      <c r="V152" s="347"/>
      <c r="X152" s="347"/>
    </row>
    <row r="153" spans="1:28" s="161" customFormat="1" ht="14.1" customHeight="1" thickBot="1" x14ac:dyDescent="0.35">
      <c r="A153" s="94"/>
      <c r="B153" s="285"/>
      <c r="C153" s="286"/>
      <c r="D153" s="296"/>
      <c r="E153" s="287"/>
      <c r="F153" s="296"/>
      <c r="G153" s="288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90"/>
      <c r="T153" s="290"/>
      <c r="U153" s="80"/>
      <c r="V153" s="300" t="s">
        <v>287</v>
      </c>
      <c r="W153" s="61">
        <f>SUM(U89:U151)</f>
        <v>15980.160000000003</v>
      </c>
      <c r="X153" s="313">
        <f>W153/V153</f>
        <v>0.17126432100485497</v>
      </c>
      <c r="Y153" s="294"/>
      <c r="Z153" s="2"/>
      <c r="AA153" s="2"/>
      <c r="AB153" s="2"/>
    </row>
    <row r="154" spans="1:28" s="161" customFormat="1" ht="19.5" customHeight="1" thickBot="1" x14ac:dyDescent="0.4">
      <c r="A154" s="314"/>
      <c r="B154" s="315" t="s">
        <v>10</v>
      </c>
      <c r="C154" s="315"/>
      <c r="D154" s="45"/>
      <c r="E154" s="45"/>
      <c r="F154" s="357"/>
      <c r="G154" s="45"/>
      <c r="H154" s="316">
        <f t="shared" ref="H154:U154" si="11">SUM(H3:H151)</f>
        <v>6930</v>
      </c>
      <c r="I154" s="316">
        <f t="shared" si="11"/>
        <v>0</v>
      </c>
      <c r="J154" s="316">
        <f t="shared" si="11"/>
        <v>360</v>
      </c>
      <c r="K154" s="316">
        <f t="shared" si="11"/>
        <v>196</v>
      </c>
      <c r="L154" s="316">
        <f t="shared" si="11"/>
        <v>0</v>
      </c>
      <c r="M154" s="316">
        <f t="shared" si="11"/>
        <v>10518.62</v>
      </c>
      <c r="N154" s="316">
        <f t="shared" si="11"/>
        <v>2767</v>
      </c>
      <c r="O154" s="316">
        <f t="shared" si="11"/>
        <v>2916.5</v>
      </c>
      <c r="P154" s="316">
        <f t="shared" si="11"/>
        <v>3600</v>
      </c>
      <c r="Q154" s="316">
        <f t="shared" si="11"/>
        <v>1069</v>
      </c>
      <c r="R154" s="316">
        <f t="shared" si="11"/>
        <v>9756.4600000000009</v>
      </c>
      <c r="S154" s="316">
        <f t="shared" si="11"/>
        <v>371</v>
      </c>
      <c r="T154" s="316">
        <f t="shared" si="11"/>
        <v>1356.2399999999998</v>
      </c>
      <c r="U154" s="316">
        <f t="shared" si="11"/>
        <v>39540.820000000022</v>
      </c>
      <c r="V154" s="317"/>
      <c r="W154" s="26"/>
      <c r="X154" s="3"/>
      <c r="Y154" s="318"/>
      <c r="Z154" s="318"/>
      <c r="AA154" s="318"/>
      <c r="AB154" s="318"/>
    </row>
    <row r="155" spans="1:28" s="161" customFormat="1" ht="14.1" customHeight="1" thickBot="1" x14ac:dyDescent="0.35">
      <c r="A155" s="3"/>
      <c r="B155" s="3"/>
      <c r="C155" s="3"/>
      <c r="D155" s="41"/>
      <c r="E155" s="5"/>
      <c r="F155" s="358"/>
      <c r="G155" s="40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3"/>
      <c r="S155" s="2"/>
      <c r="T155" s="109"/>
      <c r="U155" s="39"/>
      <c r="V155" s="319">
        <f>SUM(U3:U151)</f>
        <v>39540.820000000022</v>
      </c>
      <c r="W155" s="3"/>
      <c r="X155" s="3"/>
      <c r="Y155" s="3"/>
      <c r="Z155" s="3"/>
      <c r="AA155" s="3"/>
      <c r="AB155" s="3"/>
    </row>
    <row r="156" spans="1:28" s="161" customFormat="1" ht="14.1" customHeight="1" x14ac:dyDescent="0.3">
      <c r="A156" s="3"/>
      <c r="B156" s="3"/>
      <c r="C156" s="3"/>
      <c r="D156" s="41"/>
      <c r="E156" s="5"/>
      <c r="F156" s="358"/>
      <c r="G156" s="40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3"/>
      <c r="S156" s="2"/>
      <c r="T156" s="109"/>
      <c r="U156" s="39"/>
      <c r="V156" s="26"/>
      <c r="W156" s="2"/>
      <c r="X156" s="3"/>
      <c r="Y156" s="3"/>
      <c r="Z156" s="3"/>
      <c r="AA156" s="3"/>
      <c r="AB156" s="3"/>
    </row>
    <row r="157" spans="1:28" s="161" customFormat="1" ht="14.1" customHeight="1" x14ac:dyDescent="0.3">
      <c r="A157" s="3"/>
      <c r="B157" s="3"/>
      <c r="C157" s="3"/>
      <c r="D157" s="41"/>
      <c r="E157" s="5"/>
      <c r="F157" s="358"/>
      <c r="G157" s="40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3"/>
      <c r="S157" s="2"/>
      <c r="T157" s="109"/>
      <c r="U157" s="39"/>
      <c r="V157" s="26"/>
      <c r="W157" s="2"/>
      <c r="X157" s="3"/>
      <c r="Y157" s="3"/>
      <c r="Z157" s="3"/>
      <c r="AA157" s="3"/>
      <c r="AB157" s="3"/>
    </row>
    <row r="158" spans="1:28" s="161" customFormat="1" ht="14.1" customHeight="1" x14ac:dyDescent="0.3">
      <c r="A158" s="3"/>
      <c r="B158" s="3"/>
      <c r="C158" s="3"/>
      <c r="D158" s="41"/>
      <c r="E158" s="5"/>
      <c r="F158" s="358"/>
      <c r="G158" s="40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3"/>
      <c r="S158" s="2"/>
      <c r="T158" s="109"/>
      <c r="U158" s="39"/>
      <c r="V158" s="26"/>
      <c r="W158" s="2"/>
      <c r="X158" s="3"/>
      <c r="Y158" s="3"/>
      <c r="Z158" s="3"/>
      <c r="AA158" s="3"/>
      <c r="AB158" s="3"/>
    </row>
    <row r="159" spans="1:28" s="161" customFormat="1" ht="14.1" customHeight="1" x14ac:dyDescent="0.3">
      <c r="A159" s="221"/>
      <c r="B159" s="221"/>
      <c r="C159" s="229"/>
      <c r="D159" s="229"/>
      <c r="E159" s="222"/>
      <c r="F159" s="229"/>
      <c r="G159" s="227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4"/>
      <c r="U159" s="233"/>
      <c r="V159" s="221"/>
      <c r="Y159" s="228"/>
    </row>
    <row r="160" spans="1:28" s="161" customFormat="1" ht="14.1" customHeight="1" x14ac:dyDescent="0.3">
      <c r="A160" s="221"/>
      <c r="B160" s="221"/>
      <c r="C160" s="229"/>
      <c r="D160" s="229"/>
      <c r="E160" s="222"/>
      <c r="F160" s="229"/>
      <c r="G160" s="227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4"/>
      <c r="U160" s="233"/>
      <c r="V160" s="221"/>
      <c r="Y160" s="228"/>
    </row>
    <row r="161" spans="1:25" s="161" customFormat="1" ht="14.1" customHeight="1" x14ac:dyDescent="0.3">
      <c r="A161" s="221"/>
      <c r="B161" s="221"/>
      <c r="C161" s="229"/>
      <c r="D161" s="229"/>
      <c r="E161" s="222"/>
      <c r="F161" s="229"/>
      <c r="G161" s="227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4"/>
      <c r="U161" s="233"/>
      <c r="V161" s="221"/>
      <c r="Y161" s="228"/>
    </row>
    <row r="162" spans="1:25" s="161" customFormat="1" ht="14.1" customHeight="1" x14ac:dyDescent="0.3">
      <c r="A162" s="221"/>
      <c r="B162" s="221"/>
      <c r="C162" s="229"/>
      <c r="D162" s="229"/>
      <c r="E162" s="222"/>
      <c r="F162" s="229"/>
      <c r="G162" s="227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4"/>
      <c r="U162" s="233"/>
      <c r="V162" s="221"/>
      <c r="Y162" s="228"/>
    </row>
    <row r="163" spans="1:25" s="161" customFormat="1" ht="14.1" customHeight="1" x14ac:dyDescent="0.3">
      <c r="A163" s="221"/>
      <c r="B163" s="221"/>
      <c r="C163" s="229"/>
      <c r="D163" s="229"/>
      <c r="E163" s="222"/>
      <c r="F163" s="229"/>
      <c r="G163" s="227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4"/>
      <c r="U163" s="233"/>
      <c r="V163" s="221"/>
      <c r="Y163" s="228"/>
    </row>
    <row r="164" spans="1:25" s="161" customFormat="1" ht="14.1" customHeight="1" x14ac:dyDescent="0.3">
      <c r="A164" s="221"/>
      <c r="B164" s="221"/>
      <c r="C164" s="229"/>
      <c r="D164" s="229"/>
      <c r="E164" s="222"/>
      <c r="F164" s="229"/>
      <c r="G164" s="227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4"/>
      <c r="U164" s="233"/>
      <c r="V164" s="221"/>
      <c r="Y164" s="228"/>
    </row>
    <row r="165" spans="1:25" s="161" customFormat="1" ht="14.1" customHeight="1" x14ac:dyDescent="0.3">
      <c r="A165" s="221"/>
      <c r="B165" s="221"/>
      <c r="C165" s="229"/>
      <c r="D165" s="229"/>
      <c r="E165" s="222"/>
      <c r="F165" s="229"/>
      <c r="G165" s="227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4"/>
      <c r="U165" s="233"/>
      <c r="V165" s="221"/>
      <c r="Y165" s="228"/>
    </row>
    <row r="166" spans="1:25" s="161" customFormat="1" ht="14.1" customHeight="1" x14ac:dyDescent="0.3">
      <c r="A166" s="221"/>
      <c r="B166" s="221"/>
      <c r="C166" s="229"/>
      <c r="D166" s="229"/>
      <c r="E166" s="222"/>
      <c r="F166" s="229"/>
      <c r="G166" s="227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4"/>
      <c r="U166" s="233"/>
      <c r="V166" s="221"/>
      <c r="Y166" s="228"/>
    </row>
    <row r="167" spans="1:25" s="161" customFormat="1" ht="14.1" customHeight="1" x14ac:dyDescent="0.3">
      <c r="A167" s="221"/>
      <c r="B167" s="221"/>
      <c r="C167" s="229"/>
      <c r="D167" s="229"/>
      <c r="E167" s="222"/>
      <c r="F167" s="229"/>
      <c r="G167" s="227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4"/>
      <c r="U167" s="233"/>
      <c r="V167" s="221"/>
      <c r="Y167" s="228"/>
    </row>
    <row r="168" spans="1:25" s="161" customFormat="1" ht="14.1" customHeight="1" x14ac:dyDescent="0.3">
      <c r="A168" s="221"/>
      <c r="B168" s="221"/>
      <c r="C168" s="229"/>
      <c r="D168" s="229"/>
      <c r="E168" s="222"/>
      <c r="F168" s="229"/>
      <c r="G168" s="227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4"/>
      <c r="U168" s="233"/>
      <c r="V168" s="221"/>
      <c r="Y168" s="228"/>
    </row>
    <row r="169" spans="1:25" s="161" customFormat="1" ht="14.1" customHeight="1" x14ac:dyDescent="0.3">
      <c r="A169" s="221"/>
      <c r="B169" s="221"/>
      <c r="C169" s="229"/>
      <c r="D169" s="229"/>
      <c r="E169" s="222"/>
      <c r="F169" s="229"/>
      <c r="G169" s="227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4"/>
      <c r="U169" s="233"/>
      <c r="V169" s="221"/>
      <c r="Y169" s="228"/>
    </row>
    <row r="170" spans="1:25" s="161" customFormat="1" ht="14.1" customHeight="1" x14ac:dyDescent="0.3">
      <c r="A170" s="221"/>
      <c r="B170" s="221"/>
      <c r="C170" s="229"/>
      <c r="D170" s="229"/>
      <c r="E170" s="222"/>
      <c r="F170" s="229"/>
      <c r="G170" s="227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4"/>
      <c r="U170" s="233"/>
      <c r="V170" s="221"/>
      <c r="Y170" s="228"/>
    </row>
    <row r="171" spans="1:25" s="161" customFormat="1" ht="14.1" customHeight="1" x14ac:dyDescent="0.3">
      <c r="A171" s="221"/>
      <c r="B171" s="221"/>
      <c r="C171" s="229"/>
      <c r="D171" s="229"/>
      <c r="E171" s="222"/>
      <c r="F171" s="229"/>
      <c r="G171" s="227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4"/>
      <c r="U171" s="233"/>
      <c r="V171" s="221"/>
      <c r="Y171" s="228"/>
    </row>
    <row r="172" spans="1:25" s="161" customFormat="1" ht="14.1" customHeight="1" x14ac:dyDescent="0.3">
      <c r="A172" s="221"/>
      <c r="B172" s="221"/>
      <c r="C172" s="229"/>
      <c r="D172" s="229"/>
      <c r="E172" s="222"/>
      <c r="F172" s="229"/>
      <c r="G172" s="227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4"/>
      <c r="U172" s="233"/>
      <c r="V172" s="221"/>
      <c r="Y172" s="228"/>
    </row>
    <row r="173" spans="1:25" s="161" customFormat="1" ht="14.1" customHeight="1" x14ac:dyDescent="0.3">
      <c r="A173" s="221"/>
      <c r="B173" s="221"/>
      <c r="C173" s="229"/>
      <c r="D173" s="229"/>
      <c r="E173" s="222"/>
      <c r="F173" s="229"/>
      <c r="G173" s="227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4"/>
      <c r="U173" s="233"/>
      <c r="V173" s="221"/>
      <c r="Y173" s="228"/>
    </row>
    <row r="174" spans="1:25" s="161" customFormat="1" ht="14.1" customHeight="1" x14ac:dyDescent="0.3">
      <c r="A174" s="221"/>
      <c r="B174" s="221"/>
      <c r="C174" s="229"/>
      <c r="D174" s="229"/>
      <c r="E174" s="222"/>
      <c r="F174" s="229"/>
      <c r="G174" s="227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4"/>
      <c r="U174" s="233"/>
      <c r="V174" s="221"/>
      <c r="Y174" s="228"/>
    </row>
    <row r="175" spans="1:25" s="161" customFormat="1" ht="14.1" customHeight="1" x14ac:dyDescent="0.3">
      <c r="A175" s="221"/>
      <c r="B175" s="221"/>
      <c r="C175" s="229"/>
      <c r="D175" s="229"/>
      <c r="E175" s="222"/>
      <c r="F175" s="229"/>
      <c r="G175" s="227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4"/>
      <c r="U175" s="233"/>
      <c r="V175" s="221"/>
      <c r="Y175" s="228"/>
    </row>
    <row r="176" spans="1:25" s="161" customFormat="1" ht="14.1" customHeight="1" x14ac:dyDescent="0.3">
      <c r="A176" s="221"/>
      <c r="B176" s="221"/>
      <c r="C176" s="229"/>
      <c r="D176" s="229"/>
      <c r="E176" s="222"/>
      <c r="F176" s="229"/>
      <c r="G176" s="227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4"/>
      <c r="U176" s="233"/>
      <c r="V176" s="221"/>
      <c r="Y176" s="228"/>
    </row>
    <row r="177" spans="1:25" s="161" customFormat="1" ht="14.1" customHeight="1" x14ac:dyDescent="0.3">
      <c r="A177" s="221"/>
      <c r="B177" s="221"/>
      <c r="C177" s="229"/>
      <c r="D177" s="229"/>
      <c r="E177" s="222"/>
      <c r="F177" s="229"/>
      <c r="G177" s="227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4"/>
      <c r="U177" s="233"/>
      <c r="V177" s="221"/>
      <c r="Y177" s="228"/>
    </row>
    <row r="178" spans="1:25" s="161" customFormat="1" ht="14.1" customHeight="1" x14ac:dyDescent="0.3">
      <c r="A178" s="221"/>
      <c r="B178" s="221"/>
      <c r="C178" s="229"/>
      <c r="D178" s="229"/>
      <c r="E178" s="222"/>
      <c r="F178" s="229"/>
      <c r="G178" s="227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4"/>
      <c r="U178" s="233"/>
      <c r="V178" s="221"/>
      <c r="Y178" s="228"/>
    </row>
    <row r="179" spans="1:25" s="161" customFormat="1" ht="14.1" customHeight="1" x14ac:dyDescent="0.3">
      <c r="A179" s="221"/>
      <c r="B179" s="221"/>
      <c r="C179" s="229"/>
      <c r="D179" s="229"/>
      <c r="E179" s="222"/>
      <c r="F179" s="229"/>
      <c r="G179" s="227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4"/>
      <c r="U179" s="233"/>
      <c r="V179" s="221"/>
      <c r="Y179" s="228"/>
    </row>
    <row r="180" spans="1:25" s="161" customFormat="1" ht="14.1" customHeight="1" x14ac:dyDescent="0.3">
      <c r="A180" s="221"/>
      <c r="B180" s="221"/>
      <c r="C180" s="229"/>
      <c r="D180" s="229"/>
      <c r="E180" s="222"/>
      <c r="F180" s="229"/>
      <c r="G180" s="227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4"/>
      <c r="U180" s="233"/>
      <c r="V180" s="221"/>
      <c r="Y180" s="228"/>
    </row>
    <row r="181" spans="1:25" s="161" customFormat="1" ht="14.1" customHeight="1" x14ac:dyDescent="0.3">
      <c r="A181" s="221"/>
      <c r="B181" s="221"/>
      <c r="C181" s="229"/>
      <c r="D181" s="229"/>
      <c r="E181" s="222"/>
      <c r="F181" s="229"/>
      <c r="G181" s="227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4"/>
      <c r="U181" s="233"/>
      <c r="V181" s="221"/>
      <c r="Y181" s="228"/>
    </row>
    <row r="182" spans="1:25" s="161" customFormat="1" ht="14.1" customHeight="1" x14ac:dyDescent="0.3">
      <c r="A182" s="221"/>
      <c r="B182" s="221"/>
      <c r="C182" s="229"/>
      <c r="D182" s="229"/>
      <c r="E182" s="222"/>
      <c r="F182" s="229"/>
      <c r="G182" s="227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4"/>
      <c r="U182" s="233"/>
      <c r="V182" s="221"/>
      <c r="Y182" s="228"/>
    </row>
    <row r="183" spans="1:25" s="161" customFormat="1" ht="14.1" customHeight="1" x14ac:dyDescent="0.3">
      <c r="A183" s="221"/>
      <c r="B183" s="221"/>
      <c r="C183" s="229"/>
      <c r="D183" s="229"/>
      <c r="E183" s="222"/>
      <c r="F183" s="229"/>
      <c r="G183" s="227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4"/>
      <c r="U183" s="233"/>
      <c r="V183" s="221"/>
      <c r="Y183" s="228"/>
    </row>
    <row r="184" spans="1:25" s="161" customFormat="1" ht="14.1" customHeight="1" x14ac:dyDescent="0.3">
      <c r="A184" s="221"/>
      <c r="B184" s="221"/>
      <c r="C184" s="229"/>
      <c r="D184" s="229"/>
      <c r="E184" s="222"/>
      <c r="F184" s="229"/>
      <c r="G184" s="227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4"/>
      <c r="U184" s="233"/>
      <c r="V184" s="221"/>
      <c r="Y184" s="228"/>
    </row>
    <row r="185" spans="1:25" s="161" customFormat="1" ht="14.1" customHeight="1" x14ac:dyDescent="0.3">
      <c r="A185" s="221"/>
      <c r="B185" s="221"/>
      <c r="C185" s="229"/>
      <c r="D185" s="229"/>
      <c r="E185" s="222"/>
      <c r="F185" s="229"/>
      <c r="G185" s="227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4"/>
      <c r="U185" s="233"/>
      <c r="V185" s="221"/>
      <c r="Y185" s="228"/>
    </row>
    <row r="186" spans="1:25" s="161" customFormat="1" ht="14.1" customHeight="1" x14ac:dyDescent="0.3">
      <c r="A186" s="221"/>
      <c r="B186" s="221"/>
      <c r="C186" s="229"/>
      <c r="D186" s="229"/>
      <c r="E186" s="222"/>
      <c r="F186" s="229"/>
      <c r="G186" s="227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4"/>
      <c r="U186" s="233"/>
      <c r="V186" s="221"/>
      <c r="Y186" s="228"/>
    </row>
    <row r="187" spans="1:25" s="161" customFormat="1" ht="14.1" customHeight="1" x14ac:dyDescent="0.3">
      <c r="A187" s="221"/>
      <c r="B187" s="221"/>
      <c r="C187" s="229"/>
      <c r="D187" s="229"/>
      <c r="E187" s="222"/>
      <c r="F187" s="229"/>
      <c r="G187" s="227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4"/>
      <c r="U187" s="233"/>
      <c r="V187" s="221"/>
      <c r="Y187" s="228"/>
    </row>
    <row r="188" spans="1:25" s="161" customFormat="1" ht="14.1" customHeight="1" x14ac:dyDescent="0.3">
      <c r="A188" s="221"/>
      <c r="B188" s="221"/>
      <c r="C188" s="229"/>
      <c r="D188" s="229"/>
      <c r="E188" s="222"/>
      <c r="F188" s="229"/>
      <c r="G188" s="227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4"/>
      <c r="U188" s="233"/>
      <c r="V188" s="221"/>
      <c r="Y188" s="228"/>
    </row>
    <row r="189" spans="1:25" s="161" customFormat="1" ht="14.1" customHeight="1" x14ac:dyDescent="0.3">
      <c r="A189" s="221"/>
      <c r="B189" s="221"/>
      <c r="C189" s="229"/>
      <c r="D189" s="229"/>
      <c r="E189" s="222"/>
      <c r="F189" s="229"/>
      <c r="G189" s="227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4"/>
      <c r="U189" s="233"/>
      <c r="V189" s="221"/>
      <c r="Y189" s="228"/>
    </row>
    <row r="190" spans="1:25" s="161" customFormat="1" ht="14.1" customHeight="1" x14ac:dyDescent="0.3">
      <c r="A190" s="221"/>
      <c r="B190" s="221"/>
      <c r="C190" s="229"/>
      <c r="D190" s="229"/>
      <c r="E190" s="222"/>
      <c r="F190" s="229"/>
      <c r="G190" s="227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4"/>
      <c r="U190" s="233"/>
      <c r="V190" s="221"/>
      <c r="Y190" s="228"/>
    </row>
    <row r="191" spans="1:25" s="161" customFormat="1" ht="14.1" customHeight="1" x14ac:dyDescent="0.3">
      <c r="A191" s="221"/>
      <c r="B191" s="221"/>
      <c r="C191" s="229"/>
      <c r="D191" s="229"/>
      <c r="E191" s="222"/>
      <c r="F191" s="229"/>
      <c r="G191" s="227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4"/>
      <c r="U191" s="233"/>
      <c r="V191" s="221"/>
      <c r="Y191" s="228"/>
    </row>
    <row r="192" spans="1:25" s="161" customFormat="1" ht="14.1" customHeight="1" x14ac:dyDescent="0.3">
      <c r="A192" s="221"/>
      <c r="B192" s="221"/>
      <c r="C192" s="229"/>
      <c r="D192" s="229"/>
      <c r="E192" s="222"/>
      <c r="F192" s="229"/>
      <c r="G192" s="227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4"/>
      <c r="U192" s="233"/>
      <c r="V192" s="221"/>
      <c r="Y192" s="228"/>
    </row>
    <row r="193" spans="1:25" s="161" customFormat="1" ht="14.1" customHeight="1" x14ac:dyDescent="0.3">
      <c r="A193" s="221"/>
      <c r="B193" s="221"/>
      <c r="C193" s="229"/>
      <c r="D193" s="229"/>
      <c r="E193" s="222"/>
      <c r="F193" s="229"/>
      <c r="G193" s="227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4"/>
      <c r="U193" s="233"/>
      <c r="V193" s="221"/>
      <c r="Y193" s="228"/>
    </row>
    <row r="194" spans="1:25" s="161" customFormat="1" ht="14.1" customHeight="1" x14ac:dyDescent="0.3">
      <c r="A194" s="221"/>
      <c r="B194" s="221"/>
      <c r="C194" s="229"/>
      <c r="D194" s="229"/>
      <c r="E194" s="222"/>
      <c r="F194" s="229"/>
      <c r="G194" s="227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4"/>
      <c r="U194" s="233"/>
      <c r="V194" s="221"/>
      <c r="Y194" s="228"/>
    </row>
    <row r="195" spans="1:25" s="161" customFormat="1" ht="14.1" customHeight="1" x14ac:dyDescent="0.3">
      <c r="A195" s="221"/>
      <c r="B195" s="221"/>
      <c r="C195" s="229"/>
      <c r="D195" s="229"/>
      <c r="E195" s="222"/>
      <c r="F195" s="229"/>
      <c r="G195" s="227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4"/>
      <c r="U195" s="233"/>
      <c r="V195" s="221"/>
      <c r="Y195" s="228"/>
    </row>
    <row r="196" spans="1:25" s="161" customFormat="1" ht="14.1" customHeight="1" x14ac:dyDescent="0.3">
      <c r="A196" s="221"/>
      <c r="B196" s="221"/>
      <c r="C196" s="229"/>
      <c r="D196" s="229"/>
      <c r="E196" s="222"/>
      <c r="F196" s="229"/>
      <c r="G196" s="227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4"/>
      <c r="U196" s="233"/>
      <c r="V196" s="221"/>
      <c r="Y196" s="228"/>
    </row>
    <row r="197" spans="1:25" s="161" customFormat="1" ht="14.1" customHeight="1" x14ac:dyDescent="0.3">
      <c r="A197" s="221"/>
      <c r="B197" s="221"/>
      <c r="C197" s="229"/>
      <c r="D197" s="229"/>
      <c r="E197" s="222"/>
      <c r="F197" s="229"/>
      <c r="G197" s="227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4"/>
      <c r="U197" s="233"/>
      <c r="V197" s="221"/>
      <c r="Y197" s="228"/>
    </row>
    <row r="198" spans="1:25" s="161" customFormat="1" ht="14.1" customHeight="1" x14ac:dyDescent="0.3">
      <c r="A198" s="221"/>
      <c r="B198" s="221"/>
      <c r="C198" s="229"/>
      <c r="D198" s="229"/>
      <c r="E198" s="222"/>
      <c r="F198" s="229"/>
      <c r="G198" s="227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4"/>
      <c r="U198" s="233"/>
      <c r="V198" s="221"/>
      <c r="Y198" s="228"/>
    </row>
    <row r="199" spans="1:25" s="161" customFormat="1" ht="14.1" customHeight="1" x14ac:dyDescent="0.3">
      <c r="A199" s="221"/>
      <c r="B199" s="221"/>
      <c r="C199" s="229"/>
      <c r="D199" s="229"/>
      <c r="E199" s="222"/>
      <c r="F199" s="229"/>
      <c r="G199" s="227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4"/>
      <c r="U199" s="233"/>
      <c r="V199" s="221"/>
      <c r="Y199" s="228"/>
    </row>
    <row r="200" spans="1:25" s="161" customFormat="1" ht="14.1" customHeight="1" x14ac:dyDescent="0.3">
      <c r="A200" s="221"/>
      <c r="B200" s="221"/>
      <c r="C200" s="229"/>
      <c r="D200" s="229"/>
      <c r="E200" s="222"/>
      <c r="F200" s="229"/>
      <c r="G200" s="227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4"/>
      <c r="U200" s="233"/>
      <c r="V200" s="221"/>
      <c r="Y200" s="228"/>
    </row>
    <row r="201" spans="1:25" s="161" customFormat="1" ht="14.1" customHeight="1" x14ac:dyDescent="0.3">
      <c r="A201" s="221"/>
      <c r="B201" s="221"/>
      <c r="C201" s="229"/>
      <c r="D201" s="229"/>
      <c r="E201" s="222"/>
      <c r="F201" s="229"/>
      <c r="G201" s="227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4"/>
      <c r="U201" s="233"/>
      <c r="V201" s="221"/>
      <c r="Y201" s="228"/>
    </row>
    <row r="202" spans="1:25" s="161" customFormat="1" ht="14.1" customHeight="1" x14ac:dyDescent="0.3">
      <c r="A202" s="221"/>
      <c r="B202" s="221"/>
      <c r="C202" s="229"/>
      <c r="D202" s="229"/>
      <c r="E202" s="222"/>
      <c r="F202" s="229"/>
      <c r="G202" s="227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4"/>
      <c r="U202" s="233"/>
      <c r="V202" s="221"/>
      <c r="Y202" s="228"/>
    </row>
    <row r="203" spans="1:25" s="161" customFormat="1" ht="14.1" customHeight="1" x14ac:dyDescent="0.3">
      <c r="A203" s="221"/>
      <c r="B203" s="221"/>
      <c r="C203" s="229"/>
      <c r="D203" s="229"/>
      <c r="E203" s="222"/>
      <c r="F203" s="229"/>
      <c r="G203" s="227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4"/>
      <c r="U203" s="233"/>
      <c r="V203" s="221"/>
      <c r="Y203" s="228"/>
    </row>
    <row r="204" spans="1:25" s="161" customFormat="1" ht="14.1" customHeight="1" x14ac:dyDescent="0.3">
      <c r="A204" s="221"/>
      <c r="B204" s="221"/>
      <c r="C204" s="229"/>
      <c r="D204" s="229"/>
      <c r="E204" s="222"/>
      <c r="F204" s="229"/>
      <c r="G204" s="227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4"/>
      <c r="U204" s="233"/>
      <c r="V204" s="221"/>
      <c r="Y204" s="228"/>
    </row>
    <row r="205" spans="1:25" s="161" customFormat="1" ht="14.1" customHeight="1" x14ac:dyDescent="0.3">
      <c r="A205" s="221"/>
      <c r="B205" s="221"/>
      <c r="C205" s="229"/>
      <c r="D205" s="229"/>
      <c r="E205" s="222"/>
      <c r="F205" s="229"/>
      <c r="G205" s="227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4"/>
      <c r="U205" s="233"/>
      <c r="V205" s="221"/>
      <c r="Y205" s="228"/>
    </row>
    <row r="206" spans="1:25" s="161" customFormat="1" ht="14.1" customHeight="1" x14ac:dyDescent="0.3">
      <c r="A206" s="221"/>
      <c r="B206" s="221"/>
      <c r="C206" s="229"/>
      <c r="D206" s="229"/>
      <c r="E206" s="222"/>
      <c r="F206" s="229"/>
      <c r="G206" s="227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4"/>
      <c r="U206" s="233"/>
      <c r="V206" s="221"/>
      <c r="Y206" s="228"/>
    </row>
    <row r="207" spans="1:25" s="161" customFormat="1" ht="14.1" customHeight="1" x14ac:dyDescent="0.3">
      <c r="A207" s="221"/>
      <c r="B207" s="221"/>
      <c r="C207" s="229"/>
      <c r="D207" s="229"/>
      <c r="E207" s="222"/>
      <c r="F207" s="229"/>
      <c r="G207" s="227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4"/>
      <c r="U207" s="233"/>
      <c r="V207" s="221"/>
      <c r="Y207" s="228"/>
    </row>
    <row r="208" spans="1:25" s="161" customFormat="1" ht="14.1" customHeight="1" x14ac:dyDescent="0.3">
      <c r="A208" s="221"/>
      <c r="B208" s="221"/>
      <c r="C208" s="229"/>
      <c r="D208" s="229"/>
      <c r="E208" s="222"/>
      <c r="F208" s="229"/>
      <c r="G208" s="227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4"/>
      <c r="U208" s="233"/>
      <c r="V208" s="221"/>
      <c r="Y208" s="228"/>
    </row>
    <row r="209" spans="1:25" s="161" customFormat="1" ht="14.1" customHeight="1" x14ac:dyDescent="0.3">
      <c r="A209" s="221"/>
      <c r="B209" s="221"/>
      <c r="C209" s="229"/>
      <c r="D209" s="229"/>
      <c r="E209" s="222"/>
      <c r="F209" s="229"/>
      <c r="G209" s="227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4"/>
      <c r="U209" s="233"/>
      <c r="V209" s="221"/>
      <c r="Y209" s="228"/>
    </row>
    <row r="210" spans="1:25" s="161" customFormat="1" ht="14.1" customHeight="1" x14ac:dyDescent="0.3">
      <c r="A210" s="221"/>
      <c r="B210" s="221"/>
      <c r="C210" s="226"/>
      <c r="D210" s="229"/>
      <c r="E210" s="222"/>
      <c r="F210" s="229"/>
      <c r="G210" s="227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4"/>
      <c r="T210" s="224"/>
      <c r="V210" s="234"/>
      <c r="W210" s="225"/>
      <c r="X210" s="235"/>
    </row>
    <row r="211" spans="1:25" s="161" customFormat="1" ht="14.1" customHeight="1" x14ac:dyDescent="0.3">
      <c r="A211" s="221"/>
      <c r="B211" s="221"/>
      <c r="C211" s="229"/>
      <c r="D211" s="229"/>
      <c r="E211" s="222"/>
      <c r="F211" s="229"/>
      <c r="G211" s="227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4"/>
      <c r="U211" s="233"/>
      <c r="V211" s="221"/>
      <c r="Y211" s="228"/>
    </row>
    <row r="212" spans="1:25" s="161" customFormat="1" ht="14.1" customHeight="1" x14ac:dyDescent="0.3">
      <c r="A212" s="221"/>
      <c r="B212" s="221"/>
      <c r="C212" s="229"/>
      <c r="D212" s="229"/>
      <c r="E212" s="222"/>
      <c r="F212" s="229"/>
      <c r="G212" s="227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4"/>
      <c r="U212" s="233"/>
      <c r="V212" s="221"/>
      <c r="Y212" s="228"/>
    </row>
    <row r="213" spans="1:25" s="161" customFormat="1" ht="14.1" customHeight="1" x14ac:dyDescent="0.3">
      <c r="A213" s="221"/>
      <c r="B213" s="221"/>
      <c r="C213" s="229"/>
      <c r="D213" s="229"/>
      <c r="E213" s="222"/>
      <c r="F213" s="229"/>
      <c r="G213" s="227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4"/>
      <c r="U213" s="233"/>
      <c r="V213" s="221"/>
      <c r="Y213" s="228"/>
    </row>
    <row r="214" spans="1:25" s="161" customFormat="1" ht="14.1" customHeight="1" x14ac:dyDescent="0.3">
      <c r="A214" s="221"/>
      <c r="B214" s="221"/>
      <c r="C214" s="229"/>
      <c r="D214" s="229"/>
      <c r="E214" s="222"/>
      <c r="F214" s="229"/>
      <c r="G214" s="227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4"/>
      <c r="U214" s="233"/>
      <c r="V214" s="221"/>
      <c r="Y214" s="228"/>
    </row>
    <row r="215" spans="1:25" s="161" customFormat="1" ht="14.1" customHeight="1" x14ac:dyDescent="0.3">
      <c r="A215" s="221"/>
      <c r="B215" s="221"/>
      <c r="C215" s="229"/>
      <c r="D215" s="229"/>
      <c r="E215" s="222"/>
      <c r="F215" s="229"/>
      <c r="G215" s="227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4"/>
      <c r="U215" s="233"/>
      <c r="V215" s="221"/>
      <c r="Y215" s="228"/>
    </row>
    <row r="216" spans="1:25" s="161" customFormat="1" ht="14.1" customHeight="1" x14ac:dyDescent="0.3">
      <c r="A216" s="221"/>
      <c r="B216" s="221"/>
      <c r="C216" s="229"/>
      <c r="D216" s="229"/>
      <c r="E216" s="222"/>
      <c r="F216" s="229"/>
      <c r="G216" s="227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4"/>
      <c r="U216" s="233"/>
      <c r="V216" s="221"/>
      <c r="Y216" s="228"/>
    </row>
    <row r="217" spans="1:25" s="161" customFormat="1" ht="14.1" customHeight="1" x14ac:dyDescent="0.3">
      <c r="A217" s="221"/>
      <c r="B217" s="221"/>
      <c r="C217" s="229"/>
      <c r="D217" s="229"/>
      <c r="E217" s="222"/>
      <c r="F217" s="229"/>
      <c r="G217" s="227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4"/>
      <c r="U217" s="233"/>
      <c r="V217" s="221"/>
      <c r="Y217" s="228"/>
    </row>
    <row r="218" spans="1:25" s="161" customFormat="1" ht="14.1" customHeight="1" x14ac:dyDescent="0.3">
      <c r="A218" s="221"/>
      <c r="B218" s="221"/>
      <c r="C218" s="229"/>
      <c r="D218" s="229"/>
      <c r="E218" s="222"/>
      <c r="F218" s="229"/>
      <c r="G218" s="227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4"/>
      <c r="U218" s="233"/>
      <c r="V218" s="221"/>
      <c r="Y218" s="228"/>
    </row>
    <row r="219" spans="1:25" s="161" customFormat="1" ht="14.1" customHeight="1" x14ac:dyDescent="0.3">
      <c r="A219" s="221"/>
      <c r="B219" s="221"/>
      <c r="C219" s="229"/>
      <c r="D219" s="229"/>
      <c r="E219" s="222"/>
      <c r="F219" s="229"/>
      <c r="G219" s="227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4"/>
      <c r="U219" s="233"/>
      <c r="V219" s="221"/>
      <c r="Y219" s="228"/>
    </row>
    <row r="220" spans="1:25" s="161" customFormat="1" ht="14.1" customHeight="1" x14ac:dyDescent="0.3">
      <c r="A220" s="221"/>
      <c r="B220" s="221"/>
      <c r="C220" s="229"/>
      <c r="D220" s="229"/>
      <c r="E220" s="222"/>
      <c r="F220" s="229"/>
      <c r="G220" s="227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4"/>
      <c r="U220" s="233"/>
      <c r="V220" s="221"/>
      <c r="Y220" s="228"/>
    </row>
    <row r="221" spans="1:25" s="161" customFormat="1" ht="14.1" customHeight="1" x14ac:dyDescent="0.3">
      <c r="A221" s="221"/>
      <c r="B221" s="221"/>
      <c r="C221" s="229"/>
      <c r="D221" s="229"/>
      <c r="E221" s="222"/>
      <c r="F221" s="229"/>
      <c r="G221" s="227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4"/>
      <c r="U221" s="233"/>
      <c r="V221" s="221"/>
      <c r="Y221" s="228"/>
    </row>
    <row r="222" spans="1:25" s="161" customFormat="1" ht="14.1" customHeight="1" x14ac:dyDescent="0.3">
      <c r="A222" s="221"/>
      <c r="B222" s="221"/>
      <c r="C222" s="229"/>
      <c r="D222" s="229"/>
      <c r="E222" s="222"/>
      <c r="F222" s="229"/>
      <c r="G222" s="227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4"/>
      <c r="U222" s="233"/>
      <c r="V222" s="221"/>
      <c r="Y222" s="228"/>
    </row>
    <row r="223" spans="1:25" s="161" customFormat="1" ht="14.1" customHeight="1" x14ac:dyDescent="0.3">
      <c r="A223" s="221"/>
      <c r="B223" s="221"/>
      <c r="C223" s="229"/>
      <c r="D223" s="229"/>
      <c r="E223" s="222"/>
      <c r="F223" s="229"/>
      <c r="G223" s="227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4"/>
      <c r="U223" s="233"/>
      <c r="V223" s="221"/>
      <c r="Y223" s="228"/>
    </row>
    <row r="224" spans="1:25" s="161" customFormat="1" ht="14.1" customHeight="1" x14ac:dyDescent="0.3">
      <c r="A224" s="221"/>
      <c r="B224" s="221"/>
      <c r="C224" s="229"/>
      <c r="D224" s="229"/>
      <c r="E224" s="222"/>
      <c r="F224" s="229"/>
      <c r="G224" s="227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4"/>
      <c r="U224" s="233"/>
      <c r="V224" s="221"/>
      <c r="Y224" s="228"/>
    </row>
    <row r="225" spans="1:25" s="161" customFormat="1" ht="14.1" customHeight="1" x14ac:dyDescent="0.3">
      <c r="A225" s="221"/>
      <c r="B225" s="221"/>
      <c r="C225" s="229"/>
      <c r="D225" s="229"/>
      <c r="E225" s="222"/>
      <c r="F225" s="229"/>
      <c r="G225" s="227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4"/>
      <c r="U225" s="233"/>
      <c r="V225" s="221"/>
      <c r="Y225" s="228"/>
    </row>
    <row r="226" spans="1:25" s="161" customFormat="1" ht="14.1" customHeight="1" x14ac:dyDescent="0.3">
      <c r="A226" s="221"/>
      <c r="B226" s="221"/>
      <c r="C226" s="229"/>
      <c r="D226" s="229"/>
      <c r="E226" s="222"/>
      <c r="F226" s="229"/>
      <c r="G226" s="227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4"/>
      <c r="U226" s="233"/>
      <c r="V226" s="221"/>
      <c r="Y226" s="228"/>
    </row>
    <row r="227" spans="1:25" s="161" customFormat="1" ht="14.1" customHeight="1" x14ac:dyDescent="0.3">
      <c r="A227" s="221"/>
      <c r="B227" s="221"/>
      <c r="C227" s="229"/>
      <c r="D227" s="229"/>
      <c r="E227" s="222"/>
      <c r="F227" s="229"/>
      <c r="G227" s="227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4"/>
      <c r="U227" s="233"/>
      <c r="V227" s="221"/>
      <c r="Y227" s="228"/>
    </row>
    <row r="228" spans="1:25" s="161" customFormat="1" ht="14.1" customHeight="1" x14ac:dyDescent="0.3">
      <c r="A228" s="221"/>
      <c r="B228" s="221"/>
      <c r="C228" s="229"/>
      <c r="D228" s="229"/>
      <c r="E228" s="222"/>
      <c r="F228" s="229"/>
      <c r="G228" s="227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4"/>
      <c r="U228" s="233"/>
      <c r="V228" s="221"/>
      <c r="Y228" s="228"/>
    </row>
    <row r="229" spans="1:25" s="161" customFormat="1" ht="14.1" customHeight="1" x14ac:dyDescent="0.3">
      <c r="A229" s="221"/>
      <c r="B229" s="221"/>
      <c r="C229" s="229"/>
      <c r="D229" s="229"/>
      <c r="E229" s="222"/>
      <c r="F229" s="229"/>
      <c r="G229" s="227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4"/>
      <c r="U229" s="233"/>
      <c r="V229" s="221"/>
      <c r="Y229" s="228"/>
    </row>
    <row r="230" spans="1:25" s="161" customFormat="1" ht="14.1" customHeight="1" x14ac:dyDescent="0.3">
      <c r="A230" s="221"/>
      <c r="B230" s="221"/>
      <c r="C230" s="229"/>
      <c r="D230" s="229"/>
      <c r="E230" s="222"/>
      <c r="F230" s="229"/>
      <c r="G230" s="227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4"/>
      <c r="U230" s="233"/>
      <c r="V230" s="221"/>
      <c r="Y230" s="228"/>
    </row>
    <row r="231" spans="1:25" s="161" customFormat="1" ht="14.1" customHeight="1" x14ac:dyDescent="0.3">
      <c r="A231" s="221"/>
      <c r="B231" s="221"/>
      <c r="C231" s="229"/>
      <c r="D231" s="229"/>
      <c r="E231" s="222"/>
      <c r="F231" s="229"/>
      <c r="G231" s="227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4"/>
      <c r="U231" s="233"/>
      <c r="V231" s="221"/>
      <c r="Y231" s="228"/>
    </row>
    <row r="232" spans="1:25" s="161" customFormat="1" ht="14.1" customHeight="1" x14ac:dyDescent="0.3">
      <c r="A232" s="221"/>
      <c r="B232" s="221"/>
      <c r="C232" s="229"/>
      <c r="D232" s="229"/>
      <c r="E232" s="222"/>
      <c r="F232" s="229"/>
      <c r="G232" s="227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4"/>
      <c r="U232" s="233"/>
      <c r="V232" s="221"/>
      <c r="Y232" s="228"/>
    </row>
    <row r="233" spans="1:25" s="161" customFormat="1" ht="14.1" customHeight="1" x14ac:dyDescent="0.3">
      <c r="A233" s="221"/>
      <c r="B233" s="221"/>
      <c r="C233" s="229"/>
      <c r="D233" s="229"/>
      <c r="E233" s="222"/>
      <c r="F233" s="229"/>
      <c r="G233" s="227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4"/>
      <c r="U233" s="233"/>
      <c r="V233" s="221"/>
      <c r="Y233" s="228"/>
    </row>
    <row r="234" spans="1:25" s="161" customFormat="1" ht="14.1" customHeight="1" x14ac:dyDescent="0.3">
      <c r="A234" s="221"/>
      <c r="B234" s="221"/>
      <c r="C234" s="229"/>
      <c r="D234" s="229"/>
      <c r="E234" s="222"/>
      <c r="F234" s="229"/>
      <c r="G234" s="227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4"/>
      <c r="U234" s="233"/>
      <c r="V234" s="221"/>
      <c r="Y234" s="228"/>
    </row>
    <row r="235" spans="1:25" s="161" customFormat="1" ht="14.1" customHeight="1" x14ac:dyDescent="0.3">
      <c r="A235" s="221"/>
      <c r="B235" s="221"/>
      <c r="C235" s="229"/>
      <c r="D235" s="229"/>
      <c r="E235" s="222"/>
      <c r="F235" s="229"/>
      <c r="G235" s="227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4"/>
      <c r="U235" s="233"/>
      <c r="V235" s="221"/>
      <c r="Y235" s="228"/>
    </row>
    <row r="236" spans="1:25" s="161" customFormat="1" ht="14.1" customHeight="1" x14ac:dyDescent="0.3">
      <c r="A236" s="221"/>
      <c r="B236" s="221"/>
      <c r="C236" s="229"/>
      <c r="D236" s="229"/>
      <c r="E236" s="222"/>
      <c r="F236" s="229"/>
      <c r="G236" s="227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4"/>
      <c r="U236" s="233"/>
      <c r="V236" s="221"/>
      <c r="Y236" s="228"/>
    </row>
    <row r="237" spans="1:25" s="161" customFormat="1" ht="14.1" customHeight="1" x14ac:dyDescent="0.3">
      <c r="A237" s="221"/>
      <c r="B237" s="221"/>
      <c r="C237" s="229"/>
      <c r="D237" s="229"/>
      <c r="E237" s="222"/>
      <c r="F237" s="229"/>
      <c r="G237" s="227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4"/>
      <c r="U237" s="233"/>
      <c r="V237" s="221"/>
      <c r="Y237" s="228"/>
    </row>
    <row r="238" spans="1:25" s="161" customFormat="1" ht="14.1" customHeight="1" x14ac:dyDescent="0.3">
      <c r="A238" s="221"/>
      <c r="B238" s="221"/>
      <c r="C238" s="229"/>
      <c r="D238" s="229"/>
      <c r="E238" s="222"/>
      <c r="F238" s="229"/>
      <c r="G238" s="227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4"/>
      <c r="U238" s="233"/>
      <c r="V238" s="221"/>
      <c r="Y238" s="228"/>
    </row>
    <row r="239" spans="1:25" s="161" customFormat="1" ht="14.1" customHeight="1" x14ac:dyDescent="0.3">
      <c r="A239" s="221"/>
      <c r="B239" s="221"/>
      <c r="C239" s="229"/>
      <c r="D239" s="229"/>
      <c r="E239" s="222"/>
      <c r="F239" s="229"/>
      <c r="G239" s="227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4"/>
      <c r="U239" s="233"/>
      <c r="V239" s="221"/>
      <c r="Y239" s="228"/>
    </row>
    <row r="240" spans="1:25" s="161" customFormat="1" ht="14.1" customHeight="1" x14ac:dyDescent="0.3">
      <c r="A240" s="221"/>
      <c r="B240" s="221"/>
      <c r="C240" s="229"/>
      <c r="D240" s="229"/>
      <c r="E240" s="222"/>
      <c r="F240" s="229"/>
      <c r="G240" s="227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4"/>
      <c r="U240" s="233"/>
      <c r="V240" s="221"/>
      <c r="Y240" s="228"/>
    </row>
    <row r="241" spans="1:25" s="161" customFormat="1" ht="14.1" customHeight="1" x14ac:dyDescent="0.3">
      <c r="A241" s="221"/>
      <c r="B241" s="221"/>
      <c r="C241" s="229"/>
      <c r="D241" s="229"/>
      <c r="E241" s="222"/>
      <c r="F241" s="229"/>
      <c r="G241" s="227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4"/>
      <c r="U241" s="233"/>
      <c r="V241" s="221"/>
      <c r="Y241" s="228"/>
    </row>
    <row r="242" spans="1:25" s="161" customFormat="1" ht="14.1" customHeight="1" x14ac:dyDescent="0.3">
      <c r="A242" s="221"/>
      <c r="B242" s="221"/>
      <c r="C242" s="229"/>
      <c r="D242" s="229"/>
      <c r="E242" s="222"/>
      <c r="F242" s="229"/>
      <c r="G242" s="227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4"/>
      <c r="U242" s="233"/>
      <c r="V242" s="221"/>
      <c r="Y242" s="228"/>
    </row>
    <row r="243" spans="1:25" s="161" customFormat="1" ht="14.1" customHeight="1" x14ac:dyDescent="0.3">
      <c r="A243" s="221"/>
      <c r="B243" s="221"/>
      <c r="C243" s="229"/>
      <c r="D243" s="229"/>
      <c r="E243" s="222"/>
      <c r="F243" s="229"/>
      <c r="G243" s="227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4"/>
      <c r="U243" s="233"/>
      <c r="V243" s="221"/>
      <c r="Y243" s="228"/>
    </row>
    <row r="244" spans="1:25" s="161" customFormat="1" ht="14.1" customHeight="1" x14ac:dyDescent="0.3">
      <c r="A244" s="221"/>
      <c r="B244" s="221"/>
      <c r="C244" s="229"/>
      <c r="D244" s="229"/>
      <c r="E244" s="222"/>
      <c r="F244" s="229"/>
      <c r="G244" s="227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4"/>
      <c r="U244" s="233"/>
      <c r="V244" s="221"/>
      <c r="Y244" s="228"/>
    </row>
    <row r="245" spans="1:25" s="161" customFormat="1" ht="14.1" customHeight="1" x14ac:dyDescent="0.3">
      <c r="A245" s="221"/>
      <c r="B245" s="221"/>
      <c r="C245" s="229"/>
      <c r="D245" s="229"/>
      <c r="E245" s="222"/>
      <c r="F245" s="229"/>
      <c r="G245" s="227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4"/>
      <c r="U245" s="233"/>
      <c r="V245" s="221"/>
      <c r="Y245" s="228"/>
    </row>
    <row r="246" spans="1:25" s="161" customFormat="1" ht="14.1" customHeight="1" x14ac:dyDescent="0.3">
      <c r="A246" s="221"/>
      <c r="B246" s="221"/>
      <c r="C246" s="229"/>
      <c r="D246" s="229"/>
      <c r="E246" s="222"/>
      <c r="F246" s="229"/>
      <c r="G246" s="227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4"/>
      <c r="U246" s="233"/>
      <c r="V246" s="221"/>
      <c r="Y246" s="228"/>
    </row>
    <row r="247" spans="1:25" s="161" customFormat="1" ht="14.1" customHeight="1" x14ac:dyDescent="0.3">
      <c r="A247" s="221"/>
      <c r="B247" s="221"/>
      <c r="C247" s="229"/>
      <c r="D247" s="229"/>
      <c r="E247" s="222"/>
      <c r="F247" s="229"/>
      <c r="G247" s="227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4"/>
      <c r="U247" s="233"/>
      <c r="V247" s="221"/>
      <c r="Y247" s="228"/>
    </row>
    <row r="248" spans="1:25" s="161" customFormat="1" ht="14.1" customHeight="1" x14ac:dyDescent="0.3">
      <c r="A248" s="221"/>
      <c r="B248" s="221"/>
      <c r="C248" s="229"/>
      <c r="D248" s="229"/>
      <c r="E248" s="222"/>
      <c r="F248" s="229"/>
      <c r="G248" s="227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4"/>
      <c r="U248" s="233"/>
      <c r="V248" s="221"/>
      <c r="Y248" s="228"/>
    </row>
    <row r="249" spans="1:25" s="161" customFormat="1" ht="14.1" customHeight="1" x14ac:dyDescent="0.3">
      <c r="A249" s="221"/>
      <c r="B249" s="221"/>
      <c r="C249" s="229"/>
      <c r="D249" s="229"/>
      <c r="E249" s="222"/>
      <c r="F249" s="229"/>
      <c r="G249" s="227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4"/>
      <c r="U249" s="233"/>
      <c r="V249" s="221"/>
      <c r="Y249" s="228"/>
    </row>
    <row r="250" spans="1:25" s="161" customFormat="1" ht="14.1" customHeight="1" x14ac:dyDescent="0.3">
      <c r="A250" s="221"/>
      <c r="B250" s="221"/>
      <c r="C250" s="229"/>
      <c r="D250" s="229"/>
      <c r="E250" s="222"/>
      <c r="F250" s="229"/>
      <c r="G250" s="227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4"/>
      <c r="U250" s="233"/>
      <c r="V250" s="221"/>
      <c r="Y250" s="228"/>
    </row>
    <row r="251" spans="1:25" s="161" customFormat="1" ht="14.1" customHeight="1" x14ac:dyDescent="0.3">
      <c r="A251" s="221"/>
      <c r="B251" s="221"/>
      <c r="C251" s="229"/>
      <c r="D251" s="229"/>
      <c r="E251" s="222"/>
      <c r="F251" s="229"/>
      <c r="G251" s="227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4"/>
      <c r="U251" s="233"/>
      <c r="V251" s="221"/>
      <c r="Y251" s="228"/>
    </row>
    <row r="252" spans="1:25" s="161" customFormat="1" ht="14.1" customHeight="1" x14ac:dyDescent="0.3">
      <c r="A252" s="221"/>
      <c r="B252" s="221"/>
      <c r="C252" s="229"/>
      <c r="D252" s="229"/>
      <c r="E252" s="222"/>
      <c r="F252" s="229"/>
      <c r="G252" s="227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4"/>
      <c r="U252" s="233"/>
      <c r="V252" s="221"/>
      <c r="Y252" s="228"/>
    </row>
    <row r="253" spans="1:25" s="161" customFormat="1" ht="14.1" customHeight="1" x14ac:dyDescent="0.3">
      <c r="A253" s="221"/>
      <c r="B253" s="221"/>
      <c r="C253" s="229"/>
      <c r="D253" s="229"/>
      <c r="E253" s="222"/>
      <c r="F253" s="229"/>
      <c r="G253" s="227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4"/>
      <c r="U253" s="233"/>
      <c r="V253" s="221"/>
      <c r="Y253" s="228"/>
    </row>
    <row r="254" spans="1:25" s="161" customFormat="1" ht="14.1" customHeight="1" x14ac:dyDescent="0.3">
      <c r="A254" s="221"/>
      <c r="B254" s="221"/>
      <c r="C254" s="229"/>
      <c r="D254" s="229"/>
      <c r="E254" s="222"/>
      <c r="F254" s="229"/>
      <c r="G254" s="227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4"/>
      <c r="U254" s="233"/>
      <c r="V254" s="221"/>
      <c r="Y254" s="228"/>
    </row>
    <row r="255" spans="1:25" s="161" customFormat="1" ht="14.1" customHeight="1" x14ac:dyDescent="0.3">
      <c r="A255" s="221"/>
      <c r="B255" s="221"/>
      <c r="C255" s="229"/>
      <c r="D255" s="229"/>
      <c r="E255" s="222"/>
      <c r="F255" s="229"/>
      <c r="G255" s="227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4"/>
      <c r="U255" s="233"/>
      <c r="V255" s="221"/>
      <c r="Y255" s="228"/>
    </row>
    <row r="256" spans="1:25" s="161" customFormat="1" ht="14.1" customHeight="1" x14ac:dyDescent="0.3">
      <c r="A256" s="221"/>
      <c r="B256" s="221"/>
      <c r="C256" s="229"/>
      <c r="D256" s="229"/>
      <c r="E256" s="222"/>
      <c r="F256" s="229"/>
      <c r="G256" s="227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4"/>
      <c r="U256" s="233"/>
      <c r="V256" s="221"/>
      <c r="Y256" s="228"/>
    </row>
    <row r="257" spans="1:25" s="161" customFormat="1" ht="14.1" customHeight="1" x14ac:dyDescent="0.3">
      <c r="A257" s="221"/>
      <c r="B257" s="221"/>
      <c r="C257" s="229"/>
      <c r="D257" s="229"/>
      <c r="E257" s="222"/>
      <c r="F257" s="229"/>
      <c r="G257" s="227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4"/>
      <c r="U257" s="233"/>
      <c r="V257" s="221"/>
      <c r="Y257" s="228"/>
    </row>
    <row r="258" spans="1:25" s="161" customFormat="1" ht="14.1" customHeight="1" x14ac:dyDescent="0.3">
      <c r="A258" s="221"/>
      <c r="B258" s="221"/>
      <c r="C258" s="229"/>
      <c r="D258" s="229"/>
      <c r="E258" s="222"/>
      <c r="F258" s="229"/>
      <c r="G258" s="227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4"/>
      <c r="U258" s="233"/>
      <c r="V258" s="221"/>
      <c r="Y258" s="228"/>
    </row>
    <row r="259" spans="1:25" s="161" customFormat="1" ht="14.1" customHeight="1" x14ac:dyDescent="0.3">
      <c r="A259" s="221"/>
      <c r="B259" s="221"/>
      <c r="C259" s="229"/>
      <c r="D259" s="229"/>
      <c r="E259" s="222"/>
      <c r="F259" s="229"/>
      <c r="G259" s="227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4"/>
      <c r="U259" s="233"/>
      <c r="V259" s="221"/>
      <c r="Y259" s="228"/>
    </row>
    <row r="260" spans="1:25" s="161" customFormat="1" ht="14.1" customHeight="1" x14ac:dyDescent="0.3">
      <c r="A260" s="221"/>
      <c r="B260" s="221"/>
      <c r="C260" s="229"/>
      <c r="D260" s="229"/>
      <c r="E260" s="222"/>
      <c r="F260" s="229"/>
      <c r="G260" s="227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4"/>
      <c r="U260" s="233"/>
      <c r="V260" s="221"/>
      <c r="Y260" s="228"/>
    </row>
    <row r="261" spans="1:25" s="161" customFormat="1" ht="14.1" customHeight="1" x14ac:dyDescent="0.3">
      <c r="A261" s="221"/>
      <c r="B261" s="221"/>
      <c r="C261" s="229"/>
      <c r="D261" s="229"/>
      <c r="E261" s="222"/>
      <c r="F261" s="229"/>
      <c r="G261" s="227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4"/>
      <c r="U261" s="233"/>
      <c r="V261" s="221"/>
      <c r="Y261" s="228"/>
    </row>
    <row r="262" spans="1:25" s="161" customFormat="1" ht="14.1" customHeight="1" x14ac:dyDescent="0.3">
      <c r="A262" s="221"/>
      <c r="B262" s="221"/>
      <c r="C262" s="229"/>
      <c r="D262" s="229"/>
      <c r="E262" s="222"/>
      <c r="F262" s="229"/>
      <c r="G262" s="227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4"/>
      <c r="U262" s="233"/>
      <c r="V262" s="221"/>
      <c r="Y262" s="228"/>
    </row>
    <row r="263" spans="1:25" s="161" customFormat="1" ht="14.1" customHeight="1" x14ac:dyDescent="0.3">
      <c r="A263" s="221"/>
      <c r="B263" s="221"/>
      <c r="C263" s="229"/>
      <c r="D263" s="229"/>
      <c r="E263" s="222"/>
      <c r="F263" s="229"/>
      <c r="G263" s="227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4"/>
      <c r="U263" s="233"/>
      <c r="V263" s="221"/>
      <c r="Y263" s="228"/>
    </row>
    <row r="264" spans="1:25" s="161" customFormat="1" ht="14.1" customHeight="1" x14ac:dyDescent="0.3">
      <c r="A264" s="221"/>
      <c r="B264" s="221"/>
      <c r="C264" s="229"/>
      <c r="D264" s="229"/>
      <c r="E264" s="222"/>
      <c r="F264" s="229"/>
      <c r="G264" s="227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4"/>
      <c r="U264" s="233"/>
      <c r="V264" s="221"/>
      <c r="Y264" s="228"/>
    </row>
    <row r="265" spans="1:25" s="161" customFormat="1" ht="14.1" customHeight="1" x14ac:dyDescent="0.3">
      <c r="A265" s="221"/>
      <c r="B265" s="221"/>
      <c r="C265" s="229"/>
      <c r="D265" s="229"/>
      <c r="E265" s="222"/>
      <c r="F265" s="229"/>
      <c r="G265" s="227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4"/>
      <c r="U265" s="233"/>
      <c r="V265" s="221"/>
      <c r="Y265" s="228"/>
    </row>
    <row r="266" spans="1:25" s="161" customFormat="1" ht="14.1" customHeight="1" x14ac:dyDescent="0.3">
      <c r="A266" s="221"/>
      <c r="B266" s="221"/>
      <c r="C266" s="229"/>
      <c r="D266" s="229"/>
      <c r="E266" s="222"/>
      <c r="F266" s="229"/>
      <c r="G266" s="227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4"/>
      <c r="U266" s="233"/>
      <c r="V266" s="221"/>
      <c r="Y266" s="228"/>
    </row>
    <row r="267" spans="1:25" s="161" customFormat="1" ht="14.1" customHeight="1" x14ac:dyDescent="0.3">
      <c r="A267" s="221"/>
      <c r="B267" s="221"/>
      <c r="C267" s="229"/>
      <c r="D267" s="229"/>
      <c r="E267" s="222"/>
      <c r="F267" s="229"/>
      <c r="G267" s="227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4"/>
      <c r="U267" s="233"/>
      <c r="V267" s="221"/>
      <c r="Y267" s="228"/>
    </row>
    <row r="268" spans="1:25" s="161" customFormat="1" ht="14.1" customHeight="1" x14ac:dyDescent="0.3">
      <c r="A268" s="221"/>
      <c r="B268" s="221"/>
      <c r="C268" s="229"/>
      <c r="D268" s="229"/>
      <c r="E268" s="222"/>
      <c r="F268" s="229"/>
      <c r="G268" s="227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4"/>
      <c r="U268" s="233"/>
      <c r="V268" s="221"/>
      <c r="Y268" s="228"/>
    </row>
    <row r="269" spans="1:25" s="161" customFormat="1" ht="14.1" customHeight="1" x14ac:dyDescent="0.3">
      <c r="A269" s="221"/>
      <c r="B269" s="221"/>
      <c r="C269" s="229"/>
      <c r="D269" s="229"/>
      <c r="E269" s="222"/>
      <c r="F269" s="229"/>
      <c r="G269" s="227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4"/>
      <c r="U269" s="233"/>
      <c r="V269" s="221"/>
      <c r="Y269" s="228"/>
    </row>
    <row r="270" spans="1:25" s="161" customFormat="1" ht="14.1" customHeight="1" x14ac:dyDescent="0.3">
      <c r="A270" s="221"/>
      <c r="B270" s="221"/>
      <c r="C270" s="229"/>
      <c r="D270" s="229"/>
      <c r="E270" s="222"/>
      <c r="F270" s="229"/>
      <c r="G270" s="227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4"/>
      <c r="U270" s="233"/>
      <c r="V270" s="221"/>
      <c r="Y270" s="228"/>
    </row>
    <row r="271" spans="1:25" s="161" customFormat="1" ht="14.1" customHeight="1" x14ac:dyDescent="0.3">
      <c r="A271" s="221"/>
      <c r="B271" s="221"/>
      <c r="C271" s="229"/>
      <c r="D271" s="229"/>
      <c r="E271" s="222"/>
      <c r="F271" s="229"/>
      <c r="G271" s="227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4"/>
      <c r="U271" s="233"/>
      <c r="V271" s="221"/>
      <c r="Y271" s="228"/>
    </row>
    <row r="272" spans="1:25" s="161" customFormat="1" ht="14.1" customHeight="1" x14ac:dyDescent="0.3">
      <c r="A272" s="221"/>
      <c r="B272" s="221"/>
      <c r="C272" s="229"/>
      <c r="D272" s="229"/>
      <c r="E272" s="222"/>
      <c r="F272" s="229"/>
      <c r="G272" s="227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4"/>
      <c r="U272" s="233"/>
      <c r="V272" s="221"/>
      <c r="Y272" s="228"/>
    </row>
    <row r="273" spans="1:25" s="161" customFormat="1" ht="14.1" customHeight="1" x14ac:dyDescent="0.3">
      <c r="A273" s="221"/>
      <c r="B273" s="221"/>
      <c r="C273" s="229"/>
      <c r="D273" s="229"/>
      <c r="E273" s="222"/>
      <c r="F273" s="229"/>
      <c r="G273" s="227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4"/>
      <c r="U273" s="233"/>
      <c r="V273" s="221"/>
      <c r="Y273" s="228"/>
    </row>
    <row r="274" spans="1:25" s="161" customFormat="1" ht="14.1" customHeight="1" x14ac:dyDescent="0.3">
      <c r="A274" s="221"/>
      <c r="B274" s="221"/>
      <c r="C274" s="229"/>
      <c r="D274" s="229"/>
      <c r="E274" s="222"/>
      <c r="F274" s="229"/>
      <c r="G274" s="227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4"/>
      <c r="U274" s="233"/>
      <c r="V274" s="221"/>
      <c r="Y274" s="228"/>
    </row>
    <row r="275" spans="1:25" s="161" customFormat="1" ht="14.1" customHeight="1" x14ac:dyDescent="0.3">
      <c r="A275" s="221"/>
      <c r="B275" s="221"/>
      <c r="C275" s="229"/>
      <c r="D275" s="229"/>
      <c r="E275" s="222"/>
      <c r="F275" s="229"/>
      <c r="G275" s="227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4"/>
      <c r="U275" s="233"/>
      <c r="V275" s="221"/>
      <c r="Y275" s="228"/>
    </row>
    <row r="276" spans="1:25" s="161" customFormat="1" ht="14.1" customHeight="1" x14ac:dyDescent="0.3">
      <c r="A276" s="221"/>
      <c r="B276" s="221"/>
      <c r="C276" s="229"/>
      <c r="D276" s="229"/>
      <c r="E276" s="222"/>
      <c r="F276" s="229"/>
      <c r="G276" s="227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4"/>
      <c r="U276" s="233"/>
      <c r="V276" s="221"/>
      <c r="Y276" s="228"/>
    </row>
    <row r="277" spans="1:25" s="161" customFormat="1" ht="14.1" customHeight="1" x14ac:dyDescent="0.3">
      <c r="A277" s="221"/>
      <c r="B277" s="221"/>
      <c r="C277" s="229"/>
      <c r="D277" s="229"/>
      <c r="E277" s="222"/>
      <c r="F277" s="229"/>
      <c r="G277" s="227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4"/>
      <c r="U277" s="233"/>
      <c r="V277" s="221"/>
      <c r="Y277" s="228"/>
    </row>
    <row r="278" spans="1:25" s="161" customFormat="1" ht="14.1" customHeight="1" x14ac:dyDescent="0.3">
      <c r="A278" s="221"/>
      <c r="B278" s="221"/>
      <c r="C278" s="229"/>
      <c r="D278" s="229"/>
      <c r="E278" s="222"/>
      <c r="F278" s="229"/>
      <c r="G278" s="227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4"/>
      <c r="U278" s="233"/>
      <c r="V278" s="221"/>
      <c r="Y278" s="228"/>
    </row>
    <row r="279" spans="1:25" s="161" customFormat="1" ht="14.1" customHeight="1" x14ac:dyDescent="0.3">
      <c r="A279" s="221"/>
      <c r="B279" s="221"/>
      <c r="C279" s="229"/>
      <c r="D279" s="229"/>
      <c r="E279" s="222"/>
      <c r="F279" s="229"/>
      <c r="G279" s="227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4"/>
      <c r="U279" s="233"/>
      <c r="V279" s="221"/>
      <c r="Y279" s="228"/>
    </row>
    <row r="280" spans="1:25" s="161" customFormat="1" ht="14.1" customHeight="1" x14ac:dyDescent="0.3">
      <c r="A280" s="221"/>
      <c r="B280" s="221"/>
      <c r="C280" s="229"/>
      <c r="D280" s="229"/>
      <c r="E280" s="222"/>
      <c r="F280" s="229"/>
      <c r="G280" s="227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4"/>
      <c r="U280" s="233"/>
      <c r="V280" s="221"/>
      <c r="Y280" s="228"/>
    </row>
    <row r="281" spans="1:25" s="161" customFormat="1" ht="14.1" customHeight="1" x14ac:dyDescent="0.3">
      <c r="A281" s="221"/>
      <c r="B281" s="221"/>
      <c r="C281" s="229"/>
      <c r="D281" s="229"/>
      <c r="E281" s="222"/>
      <c r="F281" s="229"/>
      <c r="G281" s="227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4"/>
      <c r="U281" s="233"/>
      <c r="V281" s="221"/>
      <c r="Y281" s="228"/>
    </row>
    <row r="282" spans="1:25" s="161" customFormat="1" ht="14.1" customHeight="1" x14ac:dyDescent="0.3">
      <c r="A282" s="221"/>
      <c r="B282" s="221"/>
      <c r="C282" s="229"/>
      <c r="D282" s="229"/>
      <c r="E282" s="222"/>
      <c r="F282" s="229"/>
      <c r="G282" s="227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4"/>
      <c r="U282" s="233"/>
      <c r="V282" s="221"/>
      <c r="Y282" s="228"/>
    </row>
    <row r="283" spans="1:25" s="161" customFormat="1" ht="14.1" customHeight="1" x14ac:dyDescent="0.3">
      <c r="A283" s="221"/>
      <c r="B283" s="221"/>
      <c r="C283" s="229"/>
      <c r="D283" s="229"/>
      <c r="E283" s="222"/>
      <c r="F283" s="229"/>
      <c r="G283" s="227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4"/>
      <c r="U283" s="233"/>
      <c r="V283" s="221"/>
      <c r="Y283" s="228"/>
    </row>
    <row r="284" spans="1:25" s="161" customFormat="1" ht="14.1" customHeight="1" x14ac:dyDescent="0.3">
      <c r="A284" s="221"/>
      <c r="B284" s="221"/>
      <c r="C284" s="229"/>
      <c r="D284" s="229"/>
      <c r="E284" s="222"/>
      <c r="F284" s="229"/>
      <c r="G284" s="227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4"/>
      <c r="U284" s="233"/>
      <c r="V284" s="221"/>
      <c r="Y284" s="228"/>
    </row>
    <row r="285" spans="1:25" s="161" customFormat="1" ht="14.1" customHeight="1" x14ac:dyDescent="0.3">
      <c r="A285" s="221"/>
      <c r="B285" s="221"/>
      <c r="C285" s="229"/>
      <c r="D285" s="229"/>
      <c r="E285" s="222"/>
      <c r="F285" s="229"/>
      <c r="G285" s="227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4"/>
      <c r="U285" s="233"/>
      <c r="V285" s="221"/>
      <c r="Y285" s="228"/>
    </row>
    <row r="286" spans="1:25" s="161" customFormat="1" ht="14.1" customHeight="1" x14ac:dyDescent="0.3">
      <c r="A286" s="221"/>
      <c r="B286" s="221"/>
      <c r="C286" s="229"/>
      <c r="D286" s="229"/>
      <c r="E286" s="222"/>
      <c r="F286" s="229"/>
      <c r="G286" s="227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4"/>
      <c r="U286" s="233"/>
      <c r="V286" s="221"/>
      <c r="Y286" s="228"/>
    </row>
    <row r="287" spans="1:25" s="161" customFormat="1" ht="14.1" customHeight="1" x14ac:dyDescent="0.3">
      <c r="A287" s="221"/>
      <c r="B287" s="221"/>
      <c r="C287" s="229"/>
      <c r="D287" s="229"/>
      <c r="E287" s="222"/>
      <c r="F287" s="229"/>
      <c r="G287" s="227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4"/>
      <c r="U287" s="233"/>
      <c r="V287" s="221"/>
      <c r="Y287" s="228"/>
    </row>
    <row r="288" spans="1:25" s="161" customFormat="1" ht="14.1" customHeight="1" x14ac:dyDescent="0.3">
      <c r="A288" s="221"/>
      <c r="B288" s="221"/>
      <c r="C288" s="229"/>
      <c r="D288" s="229"/>
      <c r="E288" s="222"/>
      <c r="F288" s="229"/>
      <c r="G288" s="227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4"/>
      <c r="U288" s="233"/>
      <c r="V288" s="221"/>
      <c r="Y288" s="228"/>
    </row>
    <row r="289" spans="1:25" s="161" customFormat="1" ht="14.1" customHeight="1" x14ac:dyDescent="0.3">
      <c r="A289" s="221"/>
      <c r="B289" s="221"/>
      <c r="C289" s="229"/>
      <c r="D289" s="229"/>
      <c r="E289" s="222"/>
      <c r="F289" s="229"/>
      <c r="G289" s="227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4"/>
      <c r="U289" s="233"/>
      <c r="V289" s="221"/>
      <c r="Y289" s="228"/>
    </row>
    <row r="290" spans="1:25" s="161" customFormat="1" ht="14.1" customHeight="1" x14ac:dyDescent="0.3">
      <c r="A290" s="221"/>
      <c r="B290" s="221"/>
      <c r="C290" s="229"/>
      <c r="D290" s="229"/>
      <c r="E290" s="222"/>
      <c r="F290" s="229"/>
      <c r="G290" s="227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4"/>
      <c r="U290" s="233"/>
      <c r="V290" s="221"/>
      <c r="Y290" s="228"/>
    </row>
    <row r="291" spans="1:25" s="161" customFormat="1" ht="14.1" customHeight="1" x14ac:dyDescent="0.3">
      <c r="A291" s="221"/>
      <c r="B291" s="221"/>
      <c r="C291" s="229"/>
      <c r="D291" s="229"/>
      <c r="E291" s="222"/>
      <c r="F291" s="229"/>
      <c r="G291" s="227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4"/>
      <c r="U291" s="233"/>
      <c r="V291" s="221"/>
      <c r="Y291" s="228"/>
    </row>
    <row r="292" spans="1:25" s="161" customFormat="1" ht="14.1" customHeight="1" x14ac:dyDescent="0.3">
      <c r="A292" s="221"/>
      <c r="B292" s="221"/>
      <c r="C292" s="229"/>
      <c r="D292" s="229"/>
      <c r="E292" s="222"/>
      <c r="F292" s="229"/>
      <c r="G292" s="227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4"/>
      <c r="U292" s="233"/>
      <c r="V292" s="221"/>
      <c r="Y292" s="228"/>
    </row>
    <row r="293" spans="1:25" s="161" customFormat="1" ht="14.1" customHeight="1" x14ac:dyDescent="0.3">
      <c r="A293" s="221"/>
      <c r="B293" s="221"/>
      <c r="C293" s="229"/>
      <c r="D293" s="229"/>
      <c r="E293" s="222"/>
      <c r="F293" s="229"/>
      <c r="G293" s="227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4"/>
      <c r="U293" s="233"/>
      <c r="V293" s="221"/>
      <c r="Y293" s="228"/>
    </row>
    <row r="294" spans="1:25" s="161" customFormat="1" ht="14.1" customHeight="1" x14ac:dyDescent="0.3">
      <c r="A294" s="221"/>
      <c r="B294" s="221"/>
      <c r="C294" s="229"/>
      <c r="D294" s="229"/>
      <c r="E294" s="222"/>
      <c r="F294" s="229"/>
      <c r="G294" s="227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4"/>
      <c r="U294" s="233"/>
      <c r="V294" s="221"/>
      <c r="Y294" s="228"/>
    </row>
    <row r="295" spans="1:25" s="161" customFormat="1" ht="14.1" customHeight="1" x14ac:dyDescent="0.3">
      <c r="A295" s="221"/>
      <c r="B295" s="221"/>
      <c r="C295" s="229"/>
      <c r="D295" s="229"/>
      <c r="E295" s="222"/>
      <c r="F295" s="229"/>
      <c r="G295" s="227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4"/>
      <c r="U295" s="233"/>
      <c r="V295" s="221"/>
      <c r="Y295" s="228"/>
    </row>
    <row r="296" spans="1:25" s="161" customFormat="1" ht="14.1" customHeight="1" x14ac:dyDescent="0.3">
      <c r="A296" s="221"/>
      <c r="B296" s="221"/>
      <c r="C296" s="229"/>
      <c r="D296" s="229"/>
      <c r="E296" s="222"/>
      <c r="F296" s="229"/>
      <c r="G296" s="227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4"/>
      <c r="U296" s="233"/>
      <c r="V296" s="221"/>
      <c r="Y296" s="228"/>
    </row>
    <row r="297" spans="1:25" s="161" customFormat="1" ht="14.1" customHeight="1" x14ac:dyDescent="0.3">
      <c r="A297" s="221"/>
      <c r="B297" s="221"/>
      <c r="C297" s="229"/>
      <c r="D297" s="229"/>
      <c r="E297" s="222"/>
      <c r="F297" s="229"/>
      <c r="G297" s="227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4"/>
      <c r="U297" s="233"/>
      <c r="V297" s="221"/>
      <c r="Y297" s="228"/>
    </row>
    <row r="298" spans="1:25" s="161" customFormat="1" ht="14.1" customHeight="1" x14ac:dyDescent="0.3">
      <c r="A298" s="221"/>
      <c r="B298" s="221"/>
      <c r="C298" s="229"/>
      <c r="D298" s="229"/>
      <c r="E298" s="222"/>
      <c r="F298" s="229"/>
      <c r="G298" s="227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4"/>
      <c r="U298" s="233"/>
      <c r="V298" s="221"/>
      <c r="Y298" s="228"/>
    </row>
    <row r="299" spans="1:25" s="161" customFormat="1" ht="14.1" customHeight="1" x14ac:dyDescent="0.3">
      <c r="A299" s="221"/>
      <c r="B299" s="221"/>
      <c r="C299" s="229"/>
      <c r="D299" s="229"/>
      <c r="E299" s="222"/>
      <c r="F299" s="229"/>
      <c r="G299" s="227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4"/>
      <c r="U299" s="233"/>
      <c r="V299" s="221"/>
      <c r="Y299" s="228"/>
    </row>
    <row r="300" spans="1:25" s="161" customFormat="1" ht="14.1" customHeight="1" x14ac:dyDescent="0.3">
      <c r="A300" s="221"/>
      <c r="B300" s="221"/>
      <c r="C300" s="229"/>
      <c r="D300" s="229"/>
      <c r="E300" s="222"/>
      <c r="F300" s="229"/>
      <c r="G300" s="227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4"/>
      <c r="U300" s="233"/>
      <c r="V300" s="221"/>
      <c r="Y300" s="228"/>
    </row>
    <row r="301" spans="1:25" s="161" customFormat="1" ht="14.1" customHeight="1" x14ac:dyDescent="0.3">
      <c r="A301" s="221"/>
      <c r="B301" s="221"/>
      <c r="C301" s="229"/>
      <c r="D301" s="229"/>
      <c r="E301" s="222"/>
      <c r="F301" s="229"/>
      <c r="G301" s="227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4"/>
      <c r="U301" s="233"/>
      <c r="V301" s="221"/>
      <c r="Y301" s="228"/>
    </row>
    <row r="302" spans="1:25" s="161" customFormat="1" ht="14.1" customHeight="1" x14ac:dyDescent="0.3">
      <c r="A302" s="221"/>
      <c r="B302" s="221"/>
      <c r="C302" s="229"/>
      <c r="D302" s="229"/>
      <c r="E302" s="222"/>
      <c r="F302" s="229"/>
      <c r="G302" s="227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4"/>
      <c r="U302" s="233"/>
      <c r="V302" s="221"/>
      <c r="Y302" s="228"/>
    </row>
    <row r="303" spans="1:25" s="161" customFormat="1" ht="14.1" customHeight="1" x14ac:dyDescent="0.3">
      <c r="A303" s="221"/>
      <c r="B303" s="221"/>
      <c r="C303" s="229"/>
      <c r="D303" s="229"/>
      <c r="E303" s="222"/>
      <c r="F303" s="229"/>
      <c r="G303" s="227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4"/>
      <c r="U303" s="233"/>
      <c r="V303" s="221"/>
      <c r="Y303" s="228"/>
    </row>
    <row r="304" spans="1:25" s="161" customFormat="1" ht="14.1" customHeight="1" x14ac:dyDescent="0.3">
      <c r="A304" s="221"/>
      <c r="B304" s="221"/>
      <c r="C304" s="229"/>
      <c r="D304" s="229"/>
      <c r="E304" s="222"/>
      <c r="F304" s="229"/>
      <c r="G304" s="227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4"/>
      <c r="U304" s="233"/>
      <c r="V304" s="221"/>
      <c r="Y304" s="228"/>
    </row>
    <row r="305" spans="1:25" s="161" customFormat="1" ht="14.1" customHeight="1" x14ac:dyDescent="0.3">
      <c r="A305" s="221"/>
      <c r="B305" s="221"/>
      <c r="C305" s="229"/>
      <c r="D305" s="229"/>
      <c r="E305" s="222"/>
      <c r="F305" s="229"/>
      <c r="G305" s="227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4"/>
      <c r="U305" s="233"/>
      <c r="V305" s="221"/>
      <c r="Y305" s="228"/>
    </row>
    <row r="306" spans="1:25" s="161" customFormat="1" ht="14.1" customHeight="1" x14ac:dyDescent="0.3">
      <c r="A306" s="221"/>
      <c r="B306" s="221"/>
      <c r="C306" s="229"/>
      <c r="D306" s="229"/>
      <c r="E306" s="222"/>
      <c r="F306" s="229"/>
      <c r="G306" s="227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4"/>
      <c r="U306" s="233"/>
      <c r="V306" s="221"/>
      <c r="Y306" s="228"/>
    </row>
    <row r="307" spans="1:25" s="161" customFormat="1" ht="14.1" customHeight="1" x14ac:dyDescent="0.3">
      <c r="A307" s="221"/>
      <c r="B307" s="221"/>
      <c r="C307" s="229"/>
      <c r="D307" s="229"/>
      <c r="E307" s="222"/>
      <c r="F307" s="229"/>
      <c r="G307" s="227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4"/>
      <c r="U307" s="233"/>
      <c r="V307" s="221"/>
      <c r="Y307" s="228"/>
    </row>
    <row r="308" spans="1:25" s="161" customFormat="1" ht="14.1" customHeight="1" x14ac:dyDescent="0.3">
      <c r="A308" s="221"/>
      <c r="B308" s="221"/>
      <c r="C308" s="229"/>
      <c r="D308" s="229"/>
      <c r="E308" s="222"/>
      <c r="F308" s="229"/>
      <c r="G308" s="227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4"/>
      <c r="U308" s="233"/>
      <c r="V308" s="221"/>
      <c r="Y308" s="228"/>
    </row>
    <row r="309" spans="1:25" s="161" customFormat="1" ht="14.1" customHeight="1" x14ac:dyDescent="0.3">
      <c r="A309" s="221"/>
      <c r="B309" s="221"/>
      <c r="C309" s="229"/>
      <c r="D309" s="229"/>
      <c r="E309" s="222"/>
      <c r="F309" s="229"/>
      <c r="G309" s="227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4"/>
      <c r="U309" s="233"/>
      <c r="V309" s="221"/>
      <c r="Y309" s="228"/>
    </row>
    <row r="310" spans="1:25" s="161" customFormat="1" ht="14.1" customHeight="1" x14ac:dyDescent="0.3">
      <c r="A310" s="221"/>
      <c r="B310" s="221"/>
      <c r="C310" s="229"/>
      <c r="D310" s="229"/>
      <c r="E310" s="222"/>
      <c r="F310" s="229"/>
      <c r="G310" s="227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4"/>
      <c r="U310" s="233"/>
      <c r="V310" s="221"/>
      <c r="Y310" s="228"/>
    </row>
    <row r="311" spans="1:25" s="161" customFormat="1" ht="14.1" customHeight="1" x14ac:dyDescent="0.3">
      <c r="A311" s="221"/>
      <c r="B311" s="221"/>
      <c r="C311" s="229"/>
      <c r="D311" s="229"/>
      <c r="E311" s="222"/>
      <c r="F311" s="229"/>
      <c r="G311" s="227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4"/>
      <c r="U311" s="233"/>
      <c r="V311" s="221"/>
      <c r="Y311" s="228"/>
    </row>
    <row r="312" spans="1:25" s="161" customFormat="1" ht="14.1" customHeight="1" x14ac:dyDescent="0.3">
      <c r="A312" s="221"/>
      <c r="B312" s="221"/>
      <c r="C312" s="229"/>
      <c r="D312" s="229"/>
      <c r="E312" s="222"/>
      <c r="F312" s="229"/>
      <c r="G312" s="227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4"/>
      <c r="U312" s="233"/>
      <c r="V312" s="221"/>
      <c r="Y312" s="228"/>
    </row>
    <row r="313" spans="1:25" s="161" customFormat="1" ht="14.1" customHeight="1" x14ac:dyDescent="0.3">
      <c r="A313" s="221"/>
      <c r="B313" s="221"/>
      <c r="C313" s="229"/>
      <c r="D313" s="229"/>
      <c r="E313" s="222"/>
      <c r="F313" s="229"/>
      <c r="G313" s="227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4"/>
      <c r="U313" s="233"/>
      <c r="V313" s="221"/>
      <c r="Y313" s="228"/>
    </row>
    <row r="314" spans="1:25" s="161" customFormat="1" ht="14.1" customHeight="1" x14ac:dyDescent="0.3">
      <c r="A314" s="221"/>
      <c r="B314" s="221"/>
      <c r="C314" s="229"/>
      <c r="D314" s="229"/>
      <c r="E314" s="222"/>
      <c r="F314" s="229"/>
      <c r="G314" s="227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4"/>
      <c r="U314" s="233"/>
      <c r="V314" s="221"/>
      <c r="Y314" s="228"/>
    </row>
    <row r="315" spans="1:25" s="161" customFormat="1" ht="14.1" customHeight="1" x14ac:dyDescent="0.3">
      <c r="A315" s="221"/>
      <c r="B315" s="221"/>
      <c r="C315" s="229"/>
      <c r="D315" s="229"/>
      <c r="E315" s="222"/>
      <c r="F315" s="229"/>
      <c r="G315" s="227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4"/>
      <c r="U315" s="233"/>
      <c r="V315" s="221"/>
      <c r="Y315" s="228"/>
    </row>
    <row r="316" spans="1:25" s="161" customFormat="1" ht="14.1" customHeight="1" x14ac:dyDescent="0.3">
      <c r="A316" s="221"/>
      <c r="B316" s="221"/>
      <c r="C316" s="229"/>
      <c r="D316" s="229"/>
      <c r="E316" s="222"/>
      <c r="F316" s="229"/>
      <c r="G316" s="227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4"/>
      <c r="U316" s="233"/>
      <c r="V316" s="221"/>
      <c r="Y316" s="228"/>
    </row>
    <row r="317" spans="1:25" s="161" customFormat="1" ht="14.1" customHeight="1" x14ac:dyDescent="0.3">
      <c r="A317" s="221"/>
      <c r="B317" s="221"/>
      <c r="C317" s="229"/>
      <c r="D317" s="229"/>
      <c r="E317" s="222"/>
      <c r="F317" s="229"/>
      <c r="G317" s="227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4"/>
      <c r="U317" s="233"/>
      <c r="V317" s="221"/>
      <c r="Y317" s="228"/>
    </row>
    <row r="318" spans="1:25" s="161" customFormat="1" ht="14.1" customHeight="1" x14ac:dyDescent="0.3">
      <c r="A318" s="221"/>
      <c r="B318" s="221"/>
      <c r="C318" s="229"/>
      <c r="D318" s="229"/>
      <c r="E318" s="222"/>
      <c r="F318" s="229"/>
      <c r="G318" s="227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4"/>
      <c r="U318" s="233"/>
      <c r="V318" s="221"/>
      <c r="Y318" s="228"/>
    </row>
    <row r="319" spans="1:25" s="161" customFormat="1" ht="14.1" customHeight="1" x14ac:dyDescent="0.3">
      <c r="A319" s="221"/>
      <c r="B319" s="221"/>
      <c r="C319" s="229"/>
      <c r="D319" s="229"/>
      <c r="E319" s="222"/>
      <c r="F319" s="229"/>
      <c r="G319" s="227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4"/>
      <c r="U319" s="233"/>
      <c r="V319" s="221"/>
      <c r="Y319" s="228"/>
    </row>
    <row r="320" spans="1:25" s="161" customFormat="1" ht="14.1" customHeight="1" x14ac:dyDescent="0.3">
      <c r="A320" s="221"/>
      <c r="B320" s="221"/>
      <c r="C320" s="229"/>
      <c r="D320" s="229"/>
      <c r="E320" s="222"/>
      <c r="F320" s="229"/>
      <c r="G320" s="227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4"/>
      <c r="U320" s="233"/>
      <c r="V320" s="221"/>
      <c r="Y320" s="228"/>
    </row>
    <row r="321" spans="1:25" s="161" customFormat="1" ht="14.1" customHeight="1" x14ac:dyDescent="0.3">
      <c r="A321" s="221"/>
      <c r="B321" s="221"/>
      <c r="C321" s="229"/>
      <c r="D321" s="229"/>
      <c r="E321" s="222"/>
      <c r="F321" s="229"/>
      <c r="G321" s="227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4"/>
      <c r="U321" s="233"/>
      <c r="V321" s="221"/>
      <c r="Y321" s="228"/>
    </row>
    <row r="322" spans="1:25" s="161" customFormat="1" ht="14.1" customHeight="1" x14ac:dyDescent="0.3">
      <c r="A322" s="221"/>
      <c r="B322" s="221"/>
      <c r="C322" s="229"/>
      <c r="D322" s="229"/>
      <c r="E322" s="222"/>
      <c r="F322" s="229"/>
      <c r="G322" s="227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4"/>
      <c r="U322" s="233"/>
      <c r="V322" s="221"/>
      <c r="Y322" s="228"/>
    </row>
    <row r="323" spans="1:25" s="161" customFormat="1" ht="14.1" customHeight="1" x14ac:dyDescent="0.3">
      <c r="A323" s="221"/>
      <c r="B323" s="221"/>
      <c r="C323" s="229"/>
      <c r="D323" s="229"/>
      <c r="E323" s="222"/>
      <c r="F323" s="229"/>
      <c r="G323" s="227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4"/>
      <c r="U323" s="233"/>
      <c r="V323" s="221"/>
      <c r="Y323" s="228"/>
    </row>
    <row r="324" spans="1:25" s="161" customFormat="1" ht="14.1" customHeight="1" x14ac:dyDescent="0.3">
      <c r="A324" s="221"/>
      <c r="B324" s="221"/>
      <c r="C324" s="229"/>
      <c r="D324" s="229"/>
      <c r="E324" s="222"/>
      <c r="F324" s="229"/>
      <c r="G324" s="227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4"/>
      <c r="U324" s="233"/>
      <c r="V324" s="221"/>
      <c r="Y324" s="228"/>
    </row>
    <row r="325" spans="1:25" s="161" customFormat="1" ht="14.1" customHeight="1" x14ac:dyDescent="0.3">
      <c r="A325" s="221"/>
      <c r="B325" s="221"/>
      <c r="C325" s="229"/>
      <c r="D325" s="229"/>
      <c r="E325" s="222"/>
      <c r="F325" s="229"/>
      <c r="G325" s="227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4"/>
      <c r="U325" s="233"/>
      <c r="V325" s="221"/>
      <c r="Y325" s="228"/>
    </row>
    <row r="326" spans="1:25" s="161" customFormat="1" ht="14.1" customHeight="1" x14ac:dyDescent="0.3">
      <c r="A326" s="221"/>
      <c r="B326" s="221"/>
      <c r="C326" s="229"/>
      <c r="D326" s="229"/>
      <c r="E326" s="222"/>
      <c r="F326" s="229"/>
      <c r="G326" s="227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4"/>
      <c r="U326" s="233"/>
      <c r="V326" s="221"/>
      <c r="Y326" s="228"/>
    </row>
    <row r="327" spans="1:25" s="161" customFormat="1" ht="14.1" customHeight="1" x14ac:dyDescent="0.3">
      <c r="A327" s="221"/>
      <c r="B327" s="221"/>
      <c r="C327" s="229"/>
      <c r="D327" s="229"/>
      <c r="E327" s="222"/>
      <c r="F327" s="229"/>
      <c r="G327" s="227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4"/>
      <c r="U327" s="233"/>
      <c r="V327" s="221"/>
      <c r="Y327" s="228"/>
    </row>
    <row r="328" spans="1:25" s="161" customFormat="1" ht="14.1" customHeight="1" x14ac:dyDescent="0.3">
      <c r="A328" s="221"/>
      <c r="B328" s="221"/>
      <c r="C328" s="229"/>
      <c r="D328" s="229"/>
      <c r="E328" s="222"/>
      <c r="F328" s="229"/>
      <c r="G328" s="227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4"/>
      <c r="U328" s="233"/>
      <c r="V328" s="221"/>
      <c r="Y328" s="228"/>
    </row>
    <row r="329" spans="1:25" s="161" customFormat="1" ht="14.1" customHeight="1" x14ac:dyDescent="0.3">
      <c r="A329" s="221"/>
      <c r="B329" s="221"/>
      <c r="C329" s="229"/>
      <c r="D329" s="229"/>
      <c r="E329" s="222"/>
      <c r="F329" s="229"/>
      <c r="G329" s="227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4"/>
      <c r="U329" s="233"/>
      <c r="V329" s="221"/>
      <c r="Y329" s="228"/>
    </row>
    <row r="330" spans="1:25" s="161" customFormat="1" ht="14.1" customHeight="1" x14ac:dyDescent="0.3">
      <c r="A330" s="221"/>
      <c r="B330" s="221"/>
      <c r="C330" s="229"/>
      <c r="D330" s="229"/>
      <c r="E330" s="222"/>
      <c r="F330" s="229"/>
      <c r="G330" s="227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4"/>
      <c r="U330" s="233"/>
      <c r="V330" s="221"/>
      <c r="Y330" s="228"/>
    </row>
    <row r="331" spans="1:25" s="161" customFormat="1" ht="14.1" customHeight="1" x14ac:dyDescent="0.3">
      <c r="A331" s="221"/>
      <c r="B331" s="221"/>
      <c r="C331" s="229"/>
      <c r="D331" s="229"/>
      <c r="E331" s="222"/>
      <c r="F331" s="229"/>
      <c r="G331" s="227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4"/>
      <c r="U331" s="233"/>
      <c r="V331" s="221"/>
      <c r="Y331" s="228"/>
    </row>
    <row r="332" spans="1:25" s="161" customFormat="1" ht="14.1" customHeight="1" x14ac:dyDescent="0.3">
      <c r="A332" s="221"/>
      <c r="B332" s="221"/>
      <c r="C332" s="229"/>
      <c r="D332" s="229"/>
      <c r="E332" s="222"/>
      <c r="F332" s="229"/>
      <c r="G332" s="227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4"/>
      <c r="U332" s="233"/>
      <c r="V332" s="221"/>
      <c r="Y332" s="228"/>
    </row>
    <row r="333" spans="1:25" s="161" customFormat="1" ht="14.1" customHeight="1" x14ac:dyDescent="0.3">
      <c r="A333" s="221"/>
      <c r="B333" s="221"/>
      <c r="C333" s="229"/>
      <c r="D333" s="229"/>
      <c r="E333" s="222"/>
      <c r="F333" s="229"/>
      <c r="G333" s="227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4"/>
      <c r="U333" s="233"/>
      <c r="V333" s="221"/>
      <c r="Y333" s="228"/>
    </row>
    <row r="334" spans="1:25" s="161" customFormat="1" ht="14.1" customHeight="1" x14ac:dyDescent="0.3">
      <c r="A334" s="221"/>
      <c r="B334" s="221"/>
      <c r="C334" s="229"/>
      <c r="D334" s="229"/>
      <c r="E334" s="222"/>
      <c r="F334" s="229"/>
      <c r="G334" s="227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4"/>
      <c r="U334" s="233"/>
      <c r="V334" s="221"/>
      <c r="Y334" s="228"/>
    </row>
    <row r="335" spans="1:25" s="161" customFormat="1" ht="14.1" customHeight="1" x14ac:dyDescent="0.3">
      <c r="A335" s="221"/>
      <c r="B335" s="221"/>
      <c r="C335" s="229"/>
      <c r="D335" s="229"/>
      <c r="E335" s="222"/>
      <c r="F335" s="229"/>
      <c r="G335" s="227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4"/>
      <c r="U335" s="233"/>
      <c r="V335" s="221"/>
      <c r="Y335" s="228"/>
    </row>
    <row r="336" spans="1:25" s="161" customFormat="1" ht="14.1" customHeight="1" x14ac:dyDescent="0.3">
      <c r="A336" s="221"/>
      <c r="B336" s="221"/>
      <c r="C336" s="229"/>
      <c r="D336" s="229"/>
      <c r="E336" s="222"/>
      <c r="F336" s="229"/>
      <c r="G336" s="227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4"/>
      <c r="U336" s="233"/>
      <c r="V336" s="221"/>
      <c r="Y336" s="228"/>
    </row>
    <row r="337" spans="1:25" s="161" customFormat="1" ht="14.1" customHeight="1" x14ac:dyDescent="0.3">
      <c r="A337" s="221"/>
      <c r="B337" s="221"/>
      <c r="C337" s="229"/>
      <c r="D337" s="229"/>
      <c r="E337" s="222"/>
      <c r="F337" s="229"/>
      <c r="G337" s="227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4"/>
      <c r="U337" s="233"/>
      <c r="V337" s="221"/>
      <c r="Y337" s="228"/>
    </row>
    <row r="338" spans="1:25" s="161" customFormat="1" ht="14.1" customHeight="1" x14ac:dyDescent="0.3">
      <c r="A338" s="221"/>
      <c r="B338" s="221"/>
      <c r="C338" s="229"/>
      <c r="D338" s="229"/>
      <c r="E338" s="222"/>
      <c r="F338" s="229"/>
      <c r="G338" s="227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4"/>
      <c r="U338" s="233"/>
      <c r="V338" s="221"/>
      <c r="Y338" s="228"/>
    </row>
    <row r="339" spans="1:25" s="161" customFormat="1" ht="14.1" customHeight="1" x14ac:dyDescent="0.3">
      <c r="A339" s="221"/>
      <c r="B339" s="221"/>
      <c r="C339" s="229"/>
      <c r="D339" s="229"/>
      <c r="E339" s="222"/>
      <c r="F339" s="229"/>
      <c r="G339" s="227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4"/>
      <c r="U339" s="233"/>
      <c r="V339" s="221"/>
      <c r="Y339" s="228"/>
    </row>
    <row r="340" spans="1:25" s="161" customFormat="1" ht="14.1" customHeight="1" x14ac:dyDescent="0.3">
      <c r="A340" s="221"/>
      <c r="B340" s="221"/>
      <c r="C340" s="229"/>
      <c r="D340" s="229"/>
      <c r="E340" s="222"/>
      <c r="F340" s="229"/>
      <c r="G340" s="227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4"/>
      <c r="U340" s="233"/>
      <c r="V340" s="221"/>
      <c r="Y340" s="228"/>
    </row>
    <row r="341" spans="1:25" s="161" customFormat="1" ht="14.1" customHeight="1" x14ac:dyDescent="0.3">
      <c r="A341" s="221"/>
      <c r="B341" s="221"/>
      <c r="C341" s="229"/>
      <c r="D341" s="229"/>
      <c r="E341" s="222"/>
      <c r="F341" s="229"/>
      <c r="G341" s="227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4"/>
      <c r="U341" s="233"/>
      <c r="V341" s="221"/>
      <c r="Y341" s="228"/>
    </row>
    <row r="342" spans="1:25" s="161" customFormat="1" ht="14.1" customHeight="1" x14ac:dyDescent="0.3">
      <c r="A342" s="221"/>
      <c r="B342" s="221"/>
      <c r="C342" s="229"/>
      <c r="D342" s="229"/>
      <c r="E342" s="222"/>
      <c r="F342" s="229"/>
      <c r="G342" s="227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4"/>
      <c r="U342" s="233"/>
      <c r="V342" s="221"/>
      <c r="Y342" s="228"/>
    </row>
    <row r="343" spans="1:25" s="161" customFormat="1" ht="14.1" customHeight="1" x14ac:dyDescent="0.3">
      <c r="A343" s="221"/>
      <c r="B343" s="221"/>
      <c r="C343" s="229"/>
      <c r="D343" s="229"/>
      <c r="E343" s="222"/>
      <c r="F343" s="229"/>
      <c r="G343" s="227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4"/>
      <c r="U343" s="233"/>
      <c r="V343" s="221"/>
      <c r="Y343" s="228"/>
    </row>
    <row r="344" spans="1:25" s="161" customFormat="1" ht="14.1" customHeight="1" x14ac:dyDescent="0.3">
      <c r="A344" s="221"/>
      <c r="B344" s="221"/>
      <c r="C344" s="229"/>
      <c r="D344" s="229"/>
      <c r="E344" s="222"/>
      <c r="F344" s="229"/>
      <c r="G344" s="227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4"/>
      <c r="U344" s="233"/>
      <c r="V344" s="221"/>
      <c r="Y344" s="228"/>
    </row>
    <row r="345" spans="1:25" s="161" customFormat="1" ht="14.1" customHeight="1" x14ac:dyDescent="0.3">
      <c r="A345" s="221"/>
      <c r="B345" s="221"/>
      <c r="C345" s="229"/>
      <c r="D345" s="229"/>
      <c r="E345" s="222"/>
      <c r="F345" s="229"/>
      <c r="G345" s="227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4"/>
      <c r="U345" s="233"/>
      <c r="V345" s="221"/>
      <c r="Y345" s="228"/>
    </row>
    <row r="346" spans="1:25" s="161" customFormat="1" ht="14.1" customHeight="1" x14ac:dyDescent="0.3">
      <c r="A346" s="221"/>
      <c r="B346" s="221"/>
      <c r="C346" s="229"/>
      <c r="D346" s="229"/>
      <c r="E346" s="222"/>
      <c r="F346" s="229"/>
      <c r="G346" s="227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4"/>
      <c r="U346" s="233"/>
      <c r="V346" s="221"/>
      <c r="Y346" s="228"/>
    </row>
    <row r="347" spans="1:25" s="161" customFormat="1" ht="14.1" customHeight="1" x14ac:dyDescent="0.3">
      <c r="A347" s="221"/>
      <c r="B347" s="221"/>
      <c r="C347" s="229"/>
      <c r="D347" s="229"/>
      <c r="E347" s="222"/>
      <c r="F347" s="229"/>
      <c r="G347" s="227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4"/>
      <c r="U347" s="233"/>
      <c r="V347" s="221"/>
      <c r="Y347" s="228"/>
    </row>
    <row r="348" spans="1:25" s="161" customFormat="1" ht="14.1" customHeight="1" x14ac:dyDescent="0.3">
      <c r="A348" s="221"/>
      <c r="B348" s="221"/>
      <c r="C348" s="229"/>
      <c r="D348" s="229"/>
      <c r="E348" s="222"/>
      <c r="F348" s="229"/>
      <c r="G348" s="227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4"/>
      <c r="U348" s="233"/>
      <c r="V348" s="221"/>
      <c r="Y348" s="228"/>
    </row>
    <row r="349" spans="1:25" s="161" customFormat="1" ht="14.1" customHeight="1" x14ac:dyDescent="0.3">
      <c r="A349" s="221"/>
      <c r="B349" s="221"/>
      <c r="C349" s="229"/>
      <c r="D349" s="229"/>
      <c r="E349" s="222"/>
      <c r="F349" s="229"/>
      <c r="G349" s="227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4"/>
      <c r="U349" s="233"/>
      <c r="V349" s="221"/>
      <c r="Y349" s="228"/>
    </row>
    <row r="350" spans="1:25" s="161" customFormat="1" ht="14.1" customHeight="1" x14ac:dyDescent="0.3">
      <c r="A350" s="221"/>
      <c r="B350" s="221"/>
      <c r="C350" s="229"/>
      <c r="D350" s="229"/>
      <c r="E350" s="222"/>
      <c r="F350" s="229"/>
      <c r="G350" s="227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4"/>
      <c r="U350" s="233"/>
      <c r="V350" s="221"/>
      <c r="Y350" s="228"/>
    </row>
    <row r="351" spans="1:25" s="161" customFormat="1" ht="14.1" customHeight="1" x14ac:dyDescent="0.3">
      <c r="A351" s="221"/>
      <c r="B351" s="221"/>
      <c r="C351" s="229"/>
      <c r="D351" s="229"/>
      <c r="E351" s="222"/>
      <c r="F351" s="229"/>
      <c r="G351" s="227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4"/>
      <c r="U351" s="233"/>
      <c r="V351" s="221"/>
      <c r="Y351" s="228"/>
    </row>
    <row r="352" spans="1:25" s="161" customFormat="1" ht="14.1" customHeight="1" x14ac:dyDescent="0.3">
      <c r="A352" s="221"/>
      <c r="B352" s="221"/>
      <c r="C352" s="229"/>
      <c r="D352" s="229"/>
      <c r="E352" s="222"/>
      <c r="F352" s="229"/>
      <c r="G352" s="227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4"/>
      <c r="U352" s="233"/>
      <c r="V352" s="221"/>
      <c r="Y352" s="228"/>
    </row>
    <row r="353" spans="1:25" s="161" customFormat="1" ht="14.1" customHeight="1" x14ac:dyDescent="0.3">
      <c r="A353" s="221"/>
      <c r="B353" s="221"/>
      <c r="C353" s="229"/>
      <c r="D353" s="229"/>
      <c r="E353" s="222"/>
      <c r="F353" s="229"/>
      <c r="G353" s="227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4"/>
      <c r="U353" s="233"/>
      <c r="V353" s="221"/>
      <c r="Y353" s="228"/>
    </row>
    <row r="354" spans="1:25" s="161" customFormat="1" ht="14.1" customHeight="1" x14ac:dyDescent="0.3">
      <c r="A354" s="221"/>
      <c r="B354" s="221"/>
      <c r="C354" s="229"/>
      <c r="D354" s="229"/>
      <c r="E354" s="222"/>
      <c r="F354" s="229"/>
      <c r="G354" s="227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4"/>
      <c r="U354" s="233"/>
      <c r="V354" s="221"/>
      <c r="Y354" s="228"/>
    </row>
    <row r="355" spans="1:25" s="161" customFormat="1" ht="14.1" customHeight="1" x14ac:dyDescent="0.3">
      <c r="A355" s="221"/>
      <c r="B355" s="221"/>
      <c r="C355" s="229"/>
      <c r="D355" s="229"/>
      <c r="E355" s="222"/>
      <c r="F355" s="229"/>
      <c r="G355" s="227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4"/>
      <c r="U355" s="233"/>
      <c r="V355" s="221"/>
      <c r="Y355" s="228"/>
    </row>
    <row r="356" spans="1:25" s="161" customFormat="1" ht="14.1" customHeight="1" x14ac:dyDescent="0.3">
      <c r="A356" s="221"/>
      <c r="B356" s="221"/>
      <c r="C356" s="229"/>
      <c r="D356" s="229"/>
      <c r="E356" s="222"/>
      <c r="F356" s="229"/>
      <c r="G356" s="227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4"/>
      <c r="U356" s="233"/>
      <c r="V356" s="221"/>
      <c r="Y356" s="228"/>
    </row>
    <row r="357" spans="1:25" s="161" customFormat="1" ht="14.1" customHeight="1" x14ac:dyDescent="0.3">
      <c r="A357" s="221"/>
      <c r="B357" s="221"/>
      <c r="C357" s="229"/>
      <c r="D357" s="229"/>
      <c r="E357" s="222"/>
      <c r="F357" s="229"/>
      <c r="G357" s="227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4"/>
      <c r="U357" s="233"/>
      <c r="V357" s="221"/>
      <c r="Y357" s="228"/>
    </row>
    <row r="358" spans="1:25" s="161" customFormat="1" ht="14.1" customHeight="1" x14ac:dyDescent="0.3">
      <c r="A358" s="221"/>
      <c r="B358" s="221"/>
      <c r="C358" s="229"/>
      <c r="D358" s="229"/>
      <c r="E358" s="222"/>
      <c r="F358" s="229"/>
      <c r="G358" s="227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4"/>
      <c r="U358" s="233"/>
      <c r="V358" s="221"/>
      <c r="Y358" s="228"/>
    </row>
    <row r="359" spans="1:25" s="161" customFormat="1" ht="14.1" customHeight="1" x14ac:dyDescent="0.3">
      <c r="A359" s="221"/>
      <c r="B359" s="221"/>
      <c r="C359" s="229"/>
      <c r="D359" s="229"/>
      <c r="E359" s="222"/>
      <c r="F359" s="229"/>
      <c r="G359" s="227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4"/>
      <c r="U359" s="233"/>
      <c r="V359" s="221"/>
      <c r="Y359" s="228"/>
    </row>
    <row r="360" spans="1:25" s="161" customFormat="1" ht="14.1" customHeight="1" x14ac:dyDescent="0.3">
      <c r="A360" s="221"/>
      <c r="B360" s="221"/>
      <c r="C360" s="229"/>
      <c r="D360" s="229"/>
      <c r="E360" s="222"/>
      <c r="F360" s="229"/>
      <c r="G360" s="227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4"/>
      <c r="U360" s="233"/>
      <c r="V360" s="221"/>
      <c r="Y360" s="228"/>
    </row>
    <row r="361" spans="1:25" s="161" customFormat="1" ht="14.1" customHeight="1" x14ac:dyDescent="0.3">
      <c r="A361" s="221"/>
      <c r="B361" s="221"/>
      <c r="C361" s="229"/>
      <c r="D361" s="229"/>
      <c r="E361" s="222"/>
      <c r="F361" s="229"/>
      <c r="G361" s="227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4"/>
      <c r="U361" s="233"/>
      <c r="V361" s="221"/>
      <c r="Y361" s="228"/>
    </row>
    <row r="362" spans="1:25" s="161" customFormat="1" ht="14.1" customHeight="1" x14ac:dyDescent="0.3">
      <c r="A362" s="221"/>
      <c r="B362" s="221"/>
      <c r="C362" s="229"/>
      <c r="D362" s="229"/>
      <c r="E362" s="222"/>
      <c r="F362" s="229"/>
      <c r="G362" s="227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4"/>
      <c r="U362" s="233"/>
      <c r="V362" s="221"/>
      <c r="Y362" s="228"/>
    </row>
    <row r="363" spans="1:25" s="161" customFormat="1" ht="14.1" customHeight="1" x14ac:dyDescent="0.3">
      <c r="A363" s="221"/>
      <c r="B363" s="221"/>
      <c r="C363" s="229"/>
      <c r="D363" s="229"/>
      <c r="E363" s="222"/>
      <c r="F363" s="229"/>
      <c r="G363" s="227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4"/>
      <c r="U363" s="233"/>
      <c r="V363" s="221"/>
      <c r="Y363" s="228"/>
    </row>
    <row r="364" spans="1:25" s="161" customFormat="1" ht="14.1" customHeight="1" x14ac:dyDescent="0.3">
      <c r="A364" s="221"/>
      <c r="B364" s="221"/>
      <c r="C364" s="229"/>
      <c r="D364" s="229"/>
      <c r="E364" s="222"/>
      <c r="F364" s="229"/>
      <c r="G364" s="227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4"/>
      <c r="U364" s="233"/>
      <c r="V364" s="221"/>
      <c r="Y364" s="228"/>
    </row>
    <row r="365" spans="1:25" s="161" customFormat="1" ht="14.1" customHeight="1" x14ac:dyDescent="0.3">
      <c r="A365" s="221"/>
      <c r="B365" s="221"/>
      <c r="C365" s="229"/>
      <c r="D365" s="229"/>
      <c r="E365" s="222"/>
      <c r="F365" s="229"/>
      <c r="G365" s="227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4"/>
      <c r="U365" s="233"/>
      <c r="V365" s="221"/>
      <c r="Y365" s="228"/>
    </row>
    <row r="366" spans="1:25" s="161" customFormat="1" ht="14.1" customHeight="1" x14ac:dyDescent="0.3">
      <c r="A366" s="221"/>
      <c r="B366" s="221"/>
      <c r="C366" s="229"/>
      <c r="D366" s="229"/>
      <c r="E366" s="222"/>
      <c r="F366" s="229"/>
      <c r="G366" s="227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4"/>
      <c r="U366" s="233"/>
      <c r="V366" s="221"/>
      <c r="Y366" s="228"/>
    </row>
    <row r="367" spans="1:25" s="161" customFormat="1" ht="14.1" customHeight="1" x14ac:dyDescent="0.3">
      <c r="A367" s="221"/>
      <c r="B367" s="221"/>
      <c r="C367" s="229"/>
      <c r="D367" s="229"/>
      <c r="E367" s="222"/>
      <c r="F367" s="229"/>
      <c r="G367" s="227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4"/>
      <c r="U367" s="233"/>
      <c r="V367" s="221"/>
      <c r="Y367" s="228"/>
    </row>
    <row r="368" spans="1:25" s="161" customFormat="1" ht="14.1" customHeight="1" x14ac:dyDescent="0.3">
      <c r="A368" s="221"/>
      <c r="B368" s="221"/>
      <c r="C368" s="229"/>
      <c r="D368" s="229"/>
      <c r="E368" s="222"/>
      <c r="F368" s="229"/>
      <c r="G368" s="227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4"/>
      <c r="U368" s="233"/>
      <c r="V368" s="221"/>
      <c r="Y368" s="228"/>
    </row>
    <row r="369" spans="1:25" s="161" customFormat="1" ht="14.1" customHeight="1" x14ac:dyDescent="0.3">
      <c r="A369" s="221"/>
      <c r="B369" s="221"/>
      <c r="C369" s="229"/>
      <c r="D369" s="229"/>
      <c r="E369" s="222"/>
      <c r="F369" s="229"/>
      <c r="G369" s="227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4"/>
      <c r="U369" s="233"/>
      <c r="V369" s="221"/>
      <c r="Y369" s="228"/>
    </row>
    <row r="370" spans="1:25" s="161" customFormat="1" ht="14.1" customHeight="1" x14ac:dyDescent="0.3">
      <c r="A370" s="221"/>
      <c r="B370" s="221"/>
      <c r="C370" s="229"/>
      <c r="D370" s="229"/>
      <c r="E370" s="222"/>
      <c r="F370" s="229"/>
      <c r="G370" s="227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4"/>
      <c r="U370" s="233"/>
      <c r="V370" s="221"/>
      <c r="Y370" s="228"/>
    </row>
    <row r="371" spans="1:25" s="161" customFormat="1" ht="14.1" customHeight="1" x14ac:dyDescent="0.3">
      <c r="A371" s="221"/>
      <c r="B371" s="221"/>
      <c r="C371" s="229"/>
      <c r="D371" s="229"/>
      <c r="E371" s="222"/>
      <c r="F371" s="229"/>
      <c r="G371" s="227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4"/>
      <c r="U371" s="233"/>
      <c r="V371" s="221"/>
      <c r="Y371" s="228"/>
    </row>
    <row r="372" spans="1:25" s="161" customFormat="1" ht="14.1" customHeight="1" x14ac:dyDescent="0.3">
      <c r="A372" s="221"/>
      <c r="B372" s="221"/>
      <c r="C372" s="229"/>
      <c r="D372" s="229"/>
      <c r="E372" s="222"/>
      <c r="F372" s="229"/>
      <c r="G372" s="227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4"/>
      <c r="U372" s="233"/>
      <c r="V372" s="221"/>
      <c r="Y372" s="228"/>
    </row>
    <row r="373" spans="1:25" s="161" customFormat="1" ht="14.1" customHeight="1" x14ac:dyDescent="0.3">
      <c r="A373" s="221"/>
      <c r="B373" s="221"/>
      <c r="C373" s="229"/>
      <c r="D373" s="229"/>
      <c r="E373" s="222"/>
      <c r="F373" s="229"/>
      <c r="G373" s="227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4"/>
      <c r="U373" s="233"/>
      <c r="V373" s="221"/>
      <c r="Y373" s="228"/>
    </row>
    <row r="374" spans="1:25" s="161" customFormat="1" ht="14.1" customHeight="1" x14ac:dyDescent="0.3">
      <c r="A374" s="221"/>
      <c r="B374" s="221"/>
      <c r="C374" s="229"/>
      <c r="D374" s="229"/>
      <c r="E374" s="222"/>
      <c r="F374" s="229"/>
      <c r="G374" s="227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4"/>
      <c r="U374" s="233"/>
      <c r="V374" s="221"/>
      <c r="Y374" s="228"/>
    </row>
    <row r="375" spans="1:25" s="161" customFormat="1" ht="14.1" customHeight="1" x14ac:dyDescent="0.3">
      <c r="A375" s="221"/>
      <c r="B375" s="221"/>
      <c r="C375" s="229"/>
      <c r="D375" s="229"/>
      <c r="E375" s="222"/>
      <c r="F375" s="229"/>
      <c r="G375" s="227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4"/>
      <c r="U375" s="233"/>
      <c r="V375" s="221"/>
      <c r="Y375" s="228"/>
    </row>
    <row r="376" spans="1:25" s="161" customFormat="1" ht="14.1" customHeight="1" x14ac:dyDescent="0.3">
      <c r="A376" s="221"/>
      <c r="B376" s="221"/>
      <c r="C376" s="229"/>
      <c r="D376" s="229"/>
      <c r="E376" s="222"/>
      <c r="F376" s="229"/>
      <c r="G376" s="227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4"/>
      <c r="U376" s="233"/>
      <c r="V376" s="221"/>
      <c r="Y376" s="228"/>
    </row>
    <row r="377" spans="1:25" s="161" customFormat="1" ht="14.1" customHeight="1" x14ac:dyDescent="0.3">
      <c r="A377" s="221"/>
      <c r="B377" s="221"/>
      <c r="C377" s="229"/>
      <c r="D377" s="229"/>
      <c r="E377" s="222"/>
      <c r="F377" s="229"/>
      <c r="G377" s="227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4"/>
      <c r="U377" s="233"/>
      <c r="V377" s="221"/>
      <c r="Y377" s="228"/>
    </row>
    <row r="378" spans="1:25" s="161" customFormat="1" ht="14.1" customHeight="1" x14ac:dyDescent="0.3">
      <c r="A378" s="221"/>
      <c r="B378" s="221"/>
      <c r="C378" s="229"/>
      <c r="D378" s="229"/>
      <c r="E378" s="222"/>
      <c r="F378" s="229"/>
      <c r="G378" s="227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4"/>
      <c r="U378" s="233"/>
      <c r="V378" s="221"/>
      <c r="Y378" s="228"/>
    </row>
    <row r="379" spans="1:25" s="161" customFormat="1" ht="14.1" customHeight="1" x14ac:dyDescent="0.3">
      <c r="A379" s="221"/>
      <c r="B379" s="221"/>
      <c r="C379" s="229"/>
      <c r="D379" s="229"/>
      <c r="E379" s="222"/>
      <c r="F379" s="229"/>
      <c r="G379" s="227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4"/>
      <c r="U379" s="233"/>
      <c r="V379" s="221"/>
      <c r="Y379" s="228"/>
    </row>
    <row r="380" spans="1:25" s="161" customFormat="1" ht="14.1" customHeight="1" x14ac:dyDescent="0.3">
      <c r="A380" s="221"/>
      <c r="B380" s="221"/>
      <c r="C380" s="229"/>
      <c r="D380" s="229"/>
      <c r="E380" s="222"/>
      <c r="F380" s="229"/>
      <c r="G380" s="227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4"/>
      <c r="U380" s="233"/>
      <c r="V380" s="221"/>
      <c r="Y380" s="228"/>
    </row>
    <row r="381" spans="1:25" s="161" customFormat="1" ht="14.1" customHeight="1" x14ac:dyDescent="0.3">
      <c r="A381" s="221"/>
      <c r="B381" s="221"/>
      <c r="C381" s="229"/>
      <c r="D381" s="229"/>
      <c r="E381" s="222"/>
      <c r="F381" s="229"/>
      <c r="G381" s="227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4"/>
      <c r="U381" s="233"/>
      <c r="V381" s="221"/>
      <c r="Y381" s="228"/>
    </row>
    <row r="382" spans="1:25" s="161" customFormat="1" ht="14.1" customHeight="1" x14ac:dyDescent="0.3">
      <c r="A382" s="221"/>
      <c r="B382" s="221"/>
      <c r="C382" s="229"/>
      <c r="D382" s="229"/>
      <c r="E382" s="222"/>
      <c r="F382" s="229"/>
      <c r="G382" s="227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4"/>
      <c r="U382" s="233"/>
      <c r="V382" s="221"/>
      <c r="Y382" s="228"/>
    </row>
    <row r="383" spans="1:25" s="161" customFormat="1" ht="14.1" customHeight="1" x14ac:dyDescent="0.3">
      <c r="A383" s="221"/>
      <c r="B383" s="221"/>
      <c r="C383" s="229"/>
      <c r="D383" s="229"/>
      <c r="E383" s="222"/>
      <c r="F383" s="229"/>
      <c r="G383" s="227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4"/>
      <c r="U383" s="233"/>
      <c r="V383" s="221"/>
      <c r="Y383" s="228"/>
    </row>
    <row r="384" spans="1:25" s="161" customFormat="1" ht="14.1" customHeight="1" x14ac:dyDescent="0.3">
      <c r="A384" s="221"/>
      <c r="B384" s="221"/>
      <c r="C384" s="229"/>
      <c r="D384" s="229"/>
      <c r="E384" s="222"/>
      <c r="F384" s="229"/>
      <c r="G384" s="227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4"/>
      <c r="U384" s="233"/>
      <c r="V384" s="221"/>
      <c r="Y384" s="228"/>
    </row>
    <row r="385" spans="1:25" s="161" customFormat="1" ht="14.1" customHeight="1" x14ac:dyDescent="0.3">
      <c r="A385" s="221"/>
      <c r="B385" s="221"/>
      <c r="C385" s="229"/>
      <c r="D385" s="229"/>
      <c r="E385" s="222"/>
      <c r="F385" s="229"/>
      <c r="G385" s="227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4"/>
      <c r="U385" s="233"/>
      <c r="V385" s="221"/>
      <c r="Y385" s="228"/>
    </row>
    <row r="386" spans="1:25" s="161" customFormat="1" ht="14.1" customHeight="1" x14ac:dyDescent="0.3">
      <c r="A386" s="221"/>
      <c r="B386" s="221"/>
      <c r="C386" s="229"/>
      <c r="D386" s="229"/>
      <c r="E386" s="222"/>
      <c r="F386" s="229"/>
      <c r="G386" s="227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4"/>
      <c r="U386" s="233"/>
      <c r="V386" s="221"/>
      <c r="Y386" s="228"/>
    </row>
    <row r="387" spans="1:25" s="161" customFormat="1" ht="14.1" customHeight="1" x14ac:dyDescent="0.3">
      <c r="A387" s="221"/>
      <c r="B387" s="221"/>
      <c r="C387" s="229"/>
      <c r="D387" s="229"/>
      <c r="E387" s="222"/>
      <c r="F387" s="229"/>
      <c r="G387" s="227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4"/>
      <c r="U387" s="233"/>
      <c r="V387" s="221"/>
      <c r="Y387" s="228"/>
    </row>
    <row r="388" spans="1:25" s="161" customFormat="1" ht="14.1" customHeight="1" x14ac:dyDescent="0.3">
      <c r="A388" s="221"/>
      <c r="B388" s="221"/>
      <c r="C388" s="229"/>
      <c r="D388" s="229"/>
      <c r="E388" s="222"/>
      <c r="F388" s="229"/>
      <c r="G388" s="227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4"/>
      <c r="U388" s="233"/>
      <c r="V388" s="221"/>
      <c r="Y388" s="228"/>
    </row>
    <row r="389" spans="1:25" s="161" customFormat="1" ht="14.1" customHeight="1" x14ac:dyDescent="0.3">
      <c r="A389" s="221"/>
      <c r="B389" s="221"/>
      <c r="C389" s="229"/>
      <c r="D389" s="229"/>
      <c r="E389" s="222"/>
      <c r="F389" s="229"/>
      <c r="G389" s="227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4"/>
      <c r="U389" s="233"/>
      <c r="V389" s="221"/>
      <c r="Y389" s="228"/>
    </row>
    <row r="390" spans="1:25" s="161" customFormat="1" ht="14.1" customHeight="1" x14ac:dyDescent="0.3">
      <c r="A390" s="221"/>
      <c r="B390" s="221"/>
      <c r="C390" s="229"/>
      <c r="D390" s="229"/>
      <c r="E390" s="222"/>
      <c r="F390" s="229"/>
      <c r="G390" s="227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4"/>
      <c r="U390" s="233"/>
      <c r="V390" s="221"/>
      <c r="Y390" s="228"/>
    </row>
    <row r="391" spans="1:25" s="161" customFormat="1" ht="14.1" customHeight="1" x14ac:dyDescent="0.3">
      <c r="A391" s="221"/>
      <c r="B391" s="221"/>
      <c r="C391" s="229"/>
      <c r="D391" s="229"/>
      <c r="E391" s="222"/>
      <c r="F391" s="229"/>
      <c r="G391" s="227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4"/>
      <c r="U391" s="233"/>
      <c r="V391" s="221"/>
      <c r="Y391" s="228"/>
    </row>
    <row r="392" spans="1:25" s="161" customFormat="1" ht="14.1" customHeight="1" x14ac:dyDescent="0.3">
      <c r="A392" s="221"/>
      <c r="B392" s="221"/>
      <c r="C392" s="229"/>
      <c r="D392" s="229"/>
      <c r="E392" s="222"/>
      <c r="F392" s="229"/>
      <c r="G392" s="227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4"/>
      <c r="U392" s="233"/>
      <c r="V392" s="221"/>
      <c r="Y392" s="228"/>
    </row>
    <row r="393" spans="1:25" s="161" customFormat="1" ht="14.1" customHeight="1" x14ac:dyDescent="0.3">
      <c r="A393" s="221"/>
      <c r="B393" s="221"/>
      <c r="C393" s="229"/>
      <c r="D393" s="229"/>
      <c r="E393" s="222"/>
      <c r="F393" s="229"/>
      <c r="G393" s="227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4"/>
      <c r="U393" s="233"/>
      <c r="V393" s="221"/>
      <c r="Y393" s="228"/>
    </row>
    <row r="394" spans="1:25" s="161" customFormat="1" ht="14.1" customHeight="1" x14ac:dyDescent="0.3">
      <c r="A394" s="221"/>
      <c r="B394" s="221"/>
      <c r="C394" s="229"/>
      <c r="D394" s="229"/>
      <c r="E394" s="222"/>
      <c r="F394" s="229"/>
      <c r="G394" s="227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4"/>
      <c r="U394" s="233"/>
      <c r="V394" s="221"/>
      <c r="Y394" s="228"/>
    </row>
    <row r="395" spans="1:25" s="161" customFormat="1" ht="14.1" customHeight="1" x14ac:dyDescent="0.3">
      <c r="A395" s="221"/>
      <c r="B395" s="221"/>
      <c r="C395" s="229"/>
      <c r="D395" s="229"/>
      <c r="E395" s="222"/>
      <c r="F395" s="229"/>
      <c r="G395" s="227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4"/>
      <c r="U395" s="233"/>
      <c r="V395" s="221"/>
      <c r="Y395" s="228"/>
    </row>
    <row r="396" spans="1:25" s="161" customFormat="1" ht="14.1" customHeight="1" x14ac:dyDescent="0.3">
      <c r="A396" s="221"/>
      <c r="B396" s="221"/>
      <c r="C396" s="229"/>
      <c r="D396" s="229"/>
      <c r="E396" s="222"/>
      <c r="F396" s="229"/>
      <c r="G396" s="227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4"/>
      <c r="U396" s="233"/>
      <c r="V396" s="221"/>
      <c r="Y396" s="228"/>
    </row>
    <row r="397" spans="1:25" s="161" customFormat="1" ht="14.1" customHeight="1" x14ac:dyDescent="0.3">
      <c r="A397" s="221"/>
      <c r="B397" s="221"/>
      <c r="C397" s="229"/>
      <c r="D397" s="229"/>
      <c r="E397" s="222"/>
      <c r="F397" s="229"/>
      <c r="G397" s="227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4"/>
      <c r="U397" s="233"/>
      <c r="V397" s="221"/>
      <c r="Y397" s="228"/>
    </row>
    <row r="398" spans="1:25" s="161" customFormat="1" ht="14.1" customHeight="1" x14ac:dyDescent="0.3">
      <c r="A398" s="221"/>
      <c r="B398" s="221"/>
      <c r="C398" s="229"/>
      <c r="D398" s="229"/>
      <c r="E398" s="222"/>
      <c r="F398" s="229"/>
      <c r="G398" s="227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4"/>
      <c r="U398" s="233"/>
      <c r="V398" s="221"/>
      <c r="Y398" s="228"/>
    </row>
    <row r="399" spans="1:25" s="161" customFormat="1" ht="14.1" customHeight="1" x14ac:dyDescent="0.3">
      <c r="A399" s="221"/>
      <c r="B399" s="221"/>
      <c r="C399" s="229"/>
      <c r="D399" s="229"/>
      <c r="E399" s="222"/>
      <c r="F399" s="229"/>
      <c r="G399" s="227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4"/>
      <c r="U399" s="233"/>
      <c r="V399" s="221"/>
      <c r="Y399" s="228"/>
    </row>
    <row r="400" spans="1:25" s="161" customFormat="1" ht="14.1" customHeight="1" x14ac:dyDescent="0.3">
      <c r="A400" s="221"/>
      <c r="B400" s="221"/>
      <c r="C400" s="226"/>
      <c r="D400" s="229"/>
      <c r="E400" s="222"/>
      <c r="F400" s="229"/>
      <c r="G400" s="227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4"/>
      <c r="T400" s="224"/>
      <c r="V400" s="234"/>
      <c r="W400" s="225"/>
      <c r="X400" s="235"/>
    </row>
    <row r="401" spans="1:24" s="239" customFormat="1" ht="26.25" customHeight="1" x14ac:dyDescent="0.35">
      <c r="A401" s="236"/>
      <c r="B401" s="237"/>
      <c r="C401" s="237"/>
      <c r="D401" s="161"/>
      <c r="E401" s="161"/>
      <c r="F401" s="359"/>
      <c r="G401" s="161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1"/>
      <c r="W401" s="232"/>
      <c r="X401" s="221"/>
    </row>
    <row r="402" spans="1:24" ht="15" customHeight="1" x14ac:dyDescent="0.3">
      <c r="V402" s="242"/>
      <c r="W402" s="221"/>
    </row>
    <row r="410" spans="1:24" ht="9.75" customHeight="1" x14ac:dyDescent="0.3">
      <c r="F410" s="229"/>
    </row>
    <row r="411" spans="1:24" ht="10.5" customHeight="1" x14ac:dyDescent="0.3"/>
    <row r="412" spans="1:24" ht="9.75" customHeight="1" x14ac:dyDescent="0.3">
      <c r="F412" s="229"/>
    </row>
    <row r="425" spans="10:10" ht="9.75" customHeight="1" x14ac:dyDescent="0.3">
      <c r="J425" s="222"/>
    </row>
  </sheetData>
  <sortState xmlns:xlrd2="http://schemas.microsoft.com/office/spreadsheetml/2017/richdata2" ref="A4:V78">
    <sortCondition ref="G4:G78"/>
  </sortState>
  <mergeCells count="2">
    <mergeCell ref="A1:B1"/>
    <mergeCell ref="E1:G1"/>
  </mergeCells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B417"/>
  <sheetViews>
    <sheetView zoomScale="120" zoomScaleNormal="120" workbookViewId="0">
      <pane ySplit="2" topLeftCell="A136" activePane="bottomLeft" state="frozen"/>
      <selection pane="bottomLeft" activeCell="V156" sqref="V156"/>
    </sheetView>
  </sheetViews>
  <sheetFormatPr defaultColWidth="6.85546875" defaultRowHeight="9.75" customHeight="1" x14ac:dyDescent="0.3"/>
  <cols>
    <col min="1" max="1" width="4.42578125" style="221" customWidth="1"/>
    <col min="2" max="2" width="13.28515625" style="221" customWidth="1"/>
    <col min="3" max="3" width="7.5703125" style="221" customWidth="1"/>
    <col min="4" max="4" width="9.140625" style="240" customWidth="1"/>
    <col min="5" max="5" width="5" style="222" customWidth="1"/>
    <col min="6" max="6" width="10.28515625" style="360" customWidth="1"/>
    <col min="7" max="7" width="5.5703125" style="241" customWidth="1"/>
    <col min="8" max="8" width="6.7109375" style="223" customWidth="1"/>
    <col min="9" max="9" width="5.140625" style="223" customWidth="1"/>
    <col min="10" max="10" width="5.5703125" style="223" customWidth="1"/>
    <col min="11" max="11" width="5.140625" style="223" customWidth="1"/>
    <col min="12" max="12" width="4.85546875" style="223" customWidth="1"/>
    <col min="13" max="13" width="6.140625" style="223" customWidth="1"/>
    <col min="14" max="14" width="5.42578125" style="223" customWidth="1"/>
    <col min="15" max="15" width="6.28515625" style="223" customWidth="1"/>
    <col min="16" max="16" width="6.7109375" style="223" customWidth="1"/>
    <col min="17" max="17" width="5.7109375" style="224" customWidth="1"/>
    <col min="18" max="18" width="7" style="221" customWidth="1"/>
    <col min="19" max="19" width="5.140625" style="161" customWidth="1"/>
    <col min="20" max="20" width="7" style="230" customWidth="1"/>
    <col min="21" max="21" width="8" style="231" customWidth="1"/>
    <col min="22" max="22" width="7" style="232" customWidth="1"/>
    <col min="23" max="23" width="6.7109375" style="161" customWidth="1"/>
    <col min="24" max="24" width="7.140625" style="221" customWidth="1"/>
    <col min="25" max="26" width="7.42578125" style="221" bestFit="1" customWidth="1"/>
    <col min="27" max="16384" width="6.85546875" style="221"/>
  </cols>
  <sheetData>
    <row r="1" spans="1:28" ht="18.75" customHeight="1" thickBot="1" x14ac:dyDescent="0.35">
      <c r="A1" s="465">
        <v>44089</v>
      </c>
      <c r="B1" s="466"/>
      <c r="C1" s="243"/>
      <c r="D1" s="244"/>
      <c r="E1" s="467" t="s">
        <v>11</v>
      </c>
      <c r="F1" s="468"/>
      <c r="G1" s="468"/>
      <c r="H1" s="245" t="s">
        <v>30</v>
      </c>
      <c r="I1" s="246"/>
      <c r="J1" s="7"/>
      <c r="K1" s="247" t="s">
        <v>12</v>
      </c>
      <c r="L1" s="247"/>
      <c r="M1" s="248"/>
      <c r="N1" s="247"/>
      <c r="O1" s="249" t="s">
        <v>13</v>
      </c>
      <c r="P1" s="250"/>
      <c r="Q1" s="251"/>
      <c r="R1" s="252"/>
      <c r="S1" s="253"/>
      <c r="T1" s="84"/>
      <c r="U1" s="254"/>
      <c r="V1" s="255"/>
      <c r="W1" s="26"/>
      <c r="X1" s="3"/>
      <c r="Y1" s="3"/>
      <c r="Z1" s="3"/>
      <c r="AA1" s="3"/>
      <c r="AB1" s="3"/>
    </row>
    <row r="2" spans="1:28" s="161" customFormat="1" ht="12.75" customHeight="1" thickBot="1" x14ac:dyDescent="0.35">
      <c r="A2" s="114" t="s">
        <v>0</v>
      </c>
      <c r="B2" s="188" t="s">
        <v>1</v>
      </c>
      <c r="C2" s="188"/>
      <c r="D2" s="256" t="s">
        <v>20</v>
      </c>
      <c r="E2" s="257" t="s">
        <v>2</v>
      </c>
      <c r="F2" s="258" t="s">
        <v>3</v>
      </c>
      <c r="G2" s="259" t="s">
        <v>4</v>
      </c>
      <c r="H2" s="260" t="s">
        <v>65</v>
      </c>
      <c r="I2" s="260" t="s">
        <v>66</v>
      </c>
      <c r="J2" s="260" t="s">
        <v>28</v>
      </c>
      <c r="K2" s="260" t="s">
        <v>67</v>
      </c>
      <c r="L2" s="122" t="s">
        <v>37</v>
      </c>
      <c r="M2" s="260" t="s">
        <v>68</v>
      </c>
      <c r="N2" s="122" t="s">
        <v>69</v>
      </c>
      <c r="O2" s="260" t="s">
        <v>70</v>
      </c>
      <c r="P2" s="260" t="s">
        <v>71</v>
      </c>
      <c r="Q2" s="122" t="s">
        <v>34</v>
      </c>
      <c r="R2" s="260" t="s">
        <v>72</v>
      </c>
      <c r="S2" s="260" t="s">
        <v>73</v>
      </c>
      <c r="T2" s="261" t="s">
        <v>17</v>
      </c>
      <c r="U2" s="188" t="s">
        <v>10</v>
      </c>
      <c r="V2" s="39"/>
      <c r="W2" s="262"/>
      <c r="X2" s="263"/>
      <c r="Y2" s="2"/>
      <c r="Z2" s="2"/>
      <c r="AA2" s="2"/>
      <c r="AB2" s="2"/>
    </row>
    <row r="3" spans="1:28" ht="4.5" customHeight="1" x14ac:dyDescent="0.3">
      <c r="A3" s="3"/>
      <c r="B3" s="3"/>
      <c r="C3" s="3"/>
      <c r="D3" s="3"/>
      <c r="E3" s="5"/>
      <c r="F3" s="4"/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6"/>
      <c r="U3" s="107"/>
      <c r="V3" s="82"/>
      <c r="W3" s="264"/>
      <c r="X3" s="265"/>
      <c r="Y3" s="266"/>
      <c r="Z3" s="3"/>
      <c r="AA3" s="3"/>
      <c r="AB3" s="3"/>
    </row>
    <row r="4" spans="1:28" s="161" customFormat="1" ht="14.1" customHeight="1" x14ac:dyDescent="0.3">
      <c r="A4" s="113" t="s">
        <v>49</v>
      </c>
      <c r="B4" s="189" t="s">
        <v>160</v>
      </c>
      <c r="C4" s="190"/>
      <c r="D4" s="190">
        <v>12029067</v>
      </c>
      <c r="E4" s="267">
        <v>43801</v>
      </c>
      <c r="F4" s="190" t="s">
        <v>21</v>
      </c>
      <c r="G4" s="268">
        <v>43801</v>
      </c>
      <c r="H4" s="58"/>
      <c r="I4" s="192"/>
      <c r="J4" s="57"/>
      <c r="K4" s="58"/>
      <c r="L4" s="192"/>
      <c r="M4" s="192"/>
      <c r="N4" s="57"/>
      <c r="O4" s="58"/>
      <c r="P4" s="192"/>
      <c r="Q4" s="57"/>
      <c r="R4" s="58">
        <v>57</v>
      </c>
      <c r="S4" s="57"/>
      <c r="T4" s="269">
        <v>5.27</v>
      </c>
      <c r="U4" s="270">
        <f t="shared" ref="U4:U21" si="0">SUM(H4:T4)</f>
        <v>62.269999999999996</v>
      </c>
      <c r="V4" s="189" t="s">
        <v>36</v>
      </c>
      <c r="W4" s="271" t="s">
        <v>161</v>
      </c>
      <c r="X4" s="2" t="s">
        <v>324</v>
      </c>
      <c r="Y4" s="272"/>
      <c r="Z4" s="2"/>
      <c r="AA4" s="2"/>
      <c r="AB4" s="2"/>
    </row>
    <row r="5" spans="1:28" s="161" customFormat="1" ht="14.25" customHeight="1" x14ac:dyDescent="0.3">
      <c r="A5" s="113" t="s">
        <v>49</v>
      </c>
      <c r="B5" s="189" t="s">
        <v>160</v>
      </c>
      <c r="C5" s="190"/>
      <c r="D5" s="190">
        <v>2170105</v>
      </c>
      <c r="E5" s="267">
        <v>43878</v>
      </c>
      <c r="F5" s="190" t="s">
        <v>96</v>
      </c>
      <c r="G5" s="268">
        <v>43878</v>
      </c>
      <c r="H5" s="58"/>
      <c r="I5" s="155"/>
      <c r="J5" s="57"/>
      <c r="K5" s="58"/>
      <c r="L5" s="155"/>
      <c r="M5" s="155"/>
      <c r="N5" s="57"/>
      <c r="O5" s="58">
        <v>175</v>
      </c>
      <c r="P5" s="192"/>
      <c r="Q5" s="57">
        <v>12</v>
      </c>
      <c r="R5" s="58"/>
      <c r="S5" s="57"/>
      <c r="T5" s="163">
        <v>16.190000000000001</v>
      </c>
      <c r="U5" s="270">
        <f t="shared" si="0"/>
        <v>203.19</v>
      </c>
      <c r="V5" s="189" t="s">
        <v>36</v>
      </c>
      <c r="W5" s="271" t="s">
        <v>80</v>
      </c>
      <c r="X5" s="2" t="s">
        <v>324</v>
      </c>
      <c r="Y5" s="272"/>
      <c r="Z5" s="2"/>
      <c r="AA5" s="2"/>
      <c r="AB5" s="2"/>
    </row>
    <row r="6" spans="1:28" s="161" customFormat="1" ht="14.1" customHeight="1" x14ac:dyDescent="0.3">
      <c r="A6" s="113" t="s">
        <v>49</v>
      </c>
      <c r="B6" s="189" t="s">
        <v>160</v>
      </c>
      <c r="C6" s="190"/>
      <c r="D6" s="190">
        <v>2170104</v>
      </c>
      <c r="E6" s="267">
        <v>43878</v>
      </c>
      <c r="F6" s="190" t="s">
        <v>21</v>
      </c>
      <c r="G6" s="268">
        <v>43878</v>
      </c>
      <c r="H6" s="58"/>
      <c r="I6" s="155"/>
      <c r="J6" s="57"/>
      <c r="K6" s="58"/>
      <c r="L6" s="155"/>
      <c r="M6" s="155"/>
      <c r="N6" s="57"/>
      <c r="O6" s="58"/>
      <c r="P6" s="192"/>
      <c r="Q6" s="57"/>
      <c r="R6" s="58">
        <v>171</v>
      </c>
      <c r="S6" s="57"/>
      <c r="T6" s="163">
        <v>15.82</v>
      </c>
      <c r="U6" s="270">
        <f t="shared" si="0"/>
        <v>186.82</v>
      </c>
      <c r="V6" s="189" t="s">
        <v>36</v>
      </c>
      <c r="W6" s="271" t="s">
        <v>80</v>
      </c>
      <c r="X6" s="2" t="s">
        <v>324</v>
      </c>
      <c r="Y6" s="272"/>
      <c r="Z6" s="2"/>
      <c r="AA6" s="2"/>
      <c r="AB6" s="2"/>
    </row>
    <row r="7" spans="1:28" s="161" customFormat="1" ht="14.1" customHeight="1" x14ac:dyDescent="0.3">
      <c r="A7" s="113" t="s">
        <v>14</v>
      </c>
      <c r="B7" s="189" t="s">
        <v>88</v>
      </c>
      <c r="C7" s="190" t="s">
        <v>170</v>
      </c>
      <c r="D7" s="190">
        <v>1290291</v>
      </c>
      <c r="E7" s="267">
        <v>43859</v>
      </c>
      <c r="F7" s="190" t="s">
        <v>96</v>
      </c>
      <c r="G7" s="268">
        <v>43859</v>
      </c>
      <c r="H7" s="58"/>
      <c r="I7" s="192"/>
      <c r="J7" s="57"/>
      <c r="K7" s="58"/>
      <c r="L7" s="192"/>
      <c r="M7" s="192"/>
      <c r="N7" s="57"/>
      <c r="O7" s="58">
        <v>150</v>
      </c>
      <c r="P7" s="192"/>
      <c r="Q7" s="57">
        <v>12</v>
      </c>
      <c r="R7" s="58"/>
      <c r="S7" s="57"/>
      <c r="T7" s="269">
        <v>13.88</v>
      </c>
      <c r="U7" s="270">
        <f t="shared" si="0"/>
        <v>175.88</v>
      </c>
      <c r="V7" s="189" t="s">
        <v>36</v>
      </c>
      <c r="W7" s="271" t="s">
        <v>5</v>
      </c>
      <c r="X7" s="2" t="s">
        <v>362</v>
      </c>
      <c r="Y7" s="272"/>
      <c r="Z7" s="2"/>
      <c r="AA7" s="2"/>
      <c r="AB7" s="2"/>
    </row>
    <row r="8" spans="1:28" s="161" customFormat="1" ht="14.1" customHeight="1" x14ac:dyDescent="0.3">
      <c r="A8" s="112" t="s">
        <v>8</v>
      </c>
      <c r="B8" s="105" t="s">
        <v>126</v>
      </c>
      <c r="C8" s="140" t="s">
        <v>211</v>
      </c>
      <c r="D8" s="320">
        <v>7290251</v>
      </c>
      <c r="E8" s="159">
        <v>44041</v>
      </c>
      <c r="F8" s="320" t="s">
        <v>45</v>
      </c>
      <c r="G8" s="323">
        <v>44041</v>
      </c>
      <c r="H8" s="50"/>
      <c r="I8" s="157"/>
      <c r="J8" s="49"/>
      <c r="K8" s="50"/>
      <c r="L8" s="157"/>
      <c r="M8" s="157"/>
      <c r="N8" s="49"/>
      <c r="O8" s="50"/>
      <c r="P8" s="166">
        <v>90</v>
      </c>
      <c r="Q8" s="49"/>
      <c r="R8" s="50"/>
      <c r="S8" s="49"/>
      <c r="T8" s="160"/>
      <c r="U8" s="327">
        <f t="shared" si="0"/>
        <v>90</v>
      </c>
      <c r="V8" s="152" t="s">
        <v>7</v>
      </c>
      <c r="W8" s="331" t="s">
        <v>8</v>
      </c>
      <c r="X8" s="378" t="s">
        <v>79</v>
      </c>
      <c r="Y8" s="180"/>
      <c r="Z8" s="2"/>
      <c r="AA8" s="2"/>
      <c r="AB8" s="2"/>
    </row>
    <row r="9" spans="1:28" s="161" customFormat="1" ht="14.1" customHeight="1" x14ac:dyDescent="0.3">
      <c r="A9" s="112" t="s">
        <v>48</v>
      </c>
      <c r="B9" s="105" t="s">
        <v>126</v>
      </c>
      <c r="C9" s="140" t="s">
        <v>140</v>
      </c>
      <c r="D9" s="320">
        <v>8120261</v>
      </c>
      <c r="E9" s="159">
        <v>44055</v>
      </c>
      <c r="F9" s="320" t="s">
        <v>45</v>
      </c>
      <c r="G9" s="323">
        <v>44056</v>
      </c>
      <c r="H9" s="50"/>
      <c r="I9" s="157"/>
      <c r="J9" s="49"/>
      <c r="K9" s="50"/>
      <c r="L9" s="157"/>
      <c r="M9" s="157"/>
      <c r="N9" s="49"/>
      <c r="O9" s="50"/>
      <c r="P9" s="166">
        <v>180</v>
      </c>
      <c r="Q9" s="49">
        <v>90</v>
      </c>
      <c r="R9" s="50"/>
      <c r="S9" s="49"/>
      <c r="T9" s="160"/>
      <c r="U9" s="327">
        <f t="shared" si="0"/>
        <v>270</v>
      </c>
      <c r="V9" s="152" t="s">
        <v>7</v>
      </c>
      <c r="W9" s="331" t="s">
        <v>48</v>
      </c>
      <c r="X9" s="181" t="s">
        <v>323</v>
      </c>
      <c r="Y9" s="180"/>
      <c r="Z9" s="181"/>
      <c r="AA9" s="2"/>
      <c r="AB9" s="2"/>
    </row>
    <row r="10" spans="1:28" s="161" customFormat="1" ht="14.1" customHeight="1" x14ac:dyDescent="0.3">
      <c r="A10" s="113" t="s">
        <v>80</v>
      </c>
      <c r="B10" s="189" t="s">
        <v>154</v>
      </c>
      <c r="C10" s="190"/>
      <c r="D10" s="190">
        <v>10119039</v>
      </c>
      <c r="E10" s="267">
        <v>43749</v>
      </c>
      <c r="F10" s="190" t="s">
        <v>87</v>
      </c>
      <c r="G10" s="268">
        <v>43749</v>
      </c>
      <c r="H10" s="58"/>
      <c r="I10" s="192"/>
      <c r="J10" s="57"/>
      <c r="K10" s="58"/>
      <c r="L10" s="192"/>
      <c r="M10" s="192"/>
      <c r="N10" s="57"/>
      <c r="O10" s="58"/>
      <c r="P10" s="192">
        <v>180</v>
      </c>
      <c r="Q10" s="57">
        <v>12</v>
      </c>
      <c r="R10" s="58"/>
      <c r="S10" s="57"/>
      <c r="T10" s="269"/>
      <c r="U10" s="270">
        <f t="shared" si="0"/>
        <v>192</v>
      </c>
      <c r="V10" s="189" t="s">
        <v>36</v>
      </c>
      <c r="W10" s="271" t="s">
        <v>80</v>
      </c>
      <c r="X10" s="2" t="s">
        <v>215</v>
      </c>
      <c r="Y10" s="272"/>
      <c r="Z10" s="2"/>
      <c r="AA10" s="2"/>
      <c r="AB10" s="2"/>
    </row>
    <row r="11" spans="1:28" s="161" customFormat="1" ht="14.1" customHeight="1" x14ac:dyDescent="0.3">
      <c r="A11" s="113" t="s">
        <v>80</v>
      </c>
      <c r="B11" s="189" t="s">
        <v>154</v>
      </c>
      <c r="C11" s="190"/>
      <c r="D11" s="190">
        <v>22100302</v>
      </c>
      <c r="E11" s="267">
        <v>43882</v>
      </c>
      <c r="F11" s="190" t="s">
        <v>97</v>
      </c>
      <c r="G11" s="268">
        <v>43882</v>
      </c>
      <c r="H11" s="58"/>
      <c r="I11" s="155"/>
      <c r="J11" s="57"/>
      <c r="K11" s="58"/>
      <c r="L11" s="155"/>
      <c r="M11" s="155"/>
      <c r="N11" s="57"/>
      <c r="O11" s="58">
        <v>25</v>
      </c>
      <c r="P11" s="192">
        <v>90</v>
      </c>
      <c r="Q11" s="57"/>
      <c r="R11" s="58"/>
      <c r="S11" s="57"/>
      <c r="T11" s="163">
        <v>2.13</v>
      </c>
      <c r="U11" s="270">
        <f t="shared" si="0"/>
        <v>117.13</v>
      </c>
      <c r="V11" s="189" t="s">
        <v>36</v>
      </c>
      <c r="W11" s="271" t="s">
        <v>80</v>
      </c>
      <c r="X11" s="2" t="s">
        <v>215</v>
      </c>
      <c r="Y11" s="272"/>
      <c r="Z11" s="2"/>
      <c r="AA11" s="2"/>
      <c r="AB11" s="2"/>
    </row>
    <row r="12" spans="1:28" s="161" customFormat="1" ht="14.1" customHeight="1" x14ac:dyDescent="0.3">
      <c r="A12" s="113" t="s">
        <v>80</v>
      </c>
      <c r="B12" s="189" t="s">
        <v>154</v>
      </c>
      <c r="C12" s="190"/>
      <c r="D12" s="190">
        <v>22100301</v>
      </c>
      <c r="E12" s="267">
        <v>43882</v>
      </c>
      <c r="F12" s="190" t="s">
        <v>97</v>
      </c>
      <c r="G12" s="268">
        <v>43882</v>
      </c>
      <c r="H12" s="58"/>
      <c r="I12" s="155"/>
      <c r="J12" s="57"/>
      <c r="K12" s="58"/>
      <c r="L12" s="155"/>
      <c r="M12" s="155"/>
      <c r="N12" s="57"/>
      <c r="O12" s="58">
        <v>375</v>
      </c>
      <c r="P12" s="192">
        <v>180</v>
      </c>
      <c r="Q12" s="57"/>
      <c r="R12" s="58"/>
      <c r="S12" s="57"/>
      <c r="T12" s="163">
        <v>31.88</v>
      </c>
      <c r="U12" s="270">
        <f t="shared" si="0"/>
        <v>586.88</v>
      </c>
      <c r="V12" s="189" t="s">
        <v>36</v>
      </c>
      <c r="W12" s="271" t="s">
        <v>80</v>
      </c>
      <c r="X12" s="2" t="s">
        <v>215</v>
      </c>
      <c r="Y12" s="272"/>
      <c r="Z12" s="2"/>
      <c r="AA12" s="2"/>
      <c r="AB12" s="2"/>
    </row>
    <row r="13" spans="1:28" s="161" customFormat="1" ht="13.5" customHeight="1" x14ac:dyDescent="0.3">
      <c r="A13" s="111" t="s">
        <v>8</v>
      </c>
      <c r="B13" s="169" t="s">
        <v>209</v>
      </c>
      <c r="C13" s="170"/>
      <c r="D13" s="321">
        <v>6220051</v>
      </c>
      <c r="E13" s="164">
        <v>44004</v>
      </c>
      <c r="F13" s="321" t="s">
        <v>51</v>
      </c>
      <c r="G13" s="322">
        <v>44004</v>
      </c>
      <c r="H13" s="54"/>
      <c r="I13" s="156"/>
      <c r="J13" s="53"/>
      <c r="K13" s="54"/>
      <c r="L13" s="156"/>
      <c r="M13" s="156">
        <v>990</v>
      </c>
      <c r="N13" s="53"/>
      <c r="O13" s="54"/>
      <c r="P13" s="173"/>
      <c r="Q13" s="53"/>
      <c r="R13" s="54"/>
      <c r="S13" s="53"/>
      <c r="T13" s="165"/>
      <c r="U13" s="326">
        <f t="shared" si="0"/>
        <v>990</v>
      </c>
      <c r="V13" s="151" t="s">
        <v>7</v>
      </c>
      <c r="W13" s="329" t="s">
        <v>8</v>
      </c>
      <c r="X13" s="161" t="s">
        <v>391</v>
      </c>
      <c r="Y13" s="228"/>
      <c r="Z13" s="371"/>
      <c r="AA13" s="371"/>
      <c r="AB13" s="371"/>
    </row>
    <row r="14" spans="1:28" s="161" customFormat="1" ht="14.1" customHeight="1" x14ac:dyDescent="0.3">
      <c r="A14" s="82" t="s">
        <v>48</v>
      </c>
      <c r="B14" s="3" t="s">
        <v>50</v>
      </c>
      <c r="C14" s="4" t="s">
        <v>271</v>
      </c>
      <c r="D14" s="384">
        <v>8280251</v>
      </c>
      <c r="E14" s="385">
        <v>44071</v>
      </c>
      <c r="F14" s="384" t="s">
        <v>196</v>
      </c>
      <c r="G14" s="386">
        <v>44071</v>
      </c>
      <c r="H14" s="46"/>
      <c r="I14" s="387"/>
      <c r="J14" s="47"/>
      <c r="K14" s="46"/>
      <c r="L14" s="387"/>
      <c r="M14" s="387"/>
      <c r="N14" s="47"/>
      <c r="O14" s="46"/>
      <c r="P14" s="7">
        <v>90</v>
      </c>
      <c r="Q14" s="47"/>
      <c r="R14" s="46"/>
      <c r="S14" s="47"/>
      <c r="T14" s="388"/>
      <c r="U14" s="390">
        <f t="shared" si="0"/>
        <v>90</v>
      </c>
      <c r="V14" s="382" t="s">
        <v>7</v>
      </c>
      <c r="W14" s="396" t="s">
        <v>48</v>
      </c>
      <c r="X14" s="181" t="s">
        <v>18</v>
      </c>
      <c r="Y14" s="180"/>
      <c r="Z14" s="181"/>
      <c r="AA14" s="2"/>
      <c r="AB14" s="2"/>
    </row>
    <row r="15" spans="1:28" s="161" customFormat="1" ht="14.1" customHeight="1" x14ac:dyDescent="0.3">
      <c r="A15" s="82" t="s">
        <v>5</v>
      </c>
      <c r="B15" s="3" t="s">
        <v>264</v>
      </c>
      <c r="C15" s="4"/>
      <c r="D15" s="384">
        <v>8250106</v>
      </c>
      <c r="E15" s="385">
        <v>44068</v>
      </c>
      <c r="F15" s="384" t="s">
        <v>21</v>
      </c>
      <c r="G15" s="386">
        <v>44068</v>
      </c>
      <c r="H15" s="46"/>
      <c r="I15" s="387"/>
      <c r="J15" s="47"/>
      <c r="K15" s="46"/>
      <c r="L15" s="387"/>
      <c r="M15" s="387"/>
      <c r="N15" s="47"/>
      <c r="O15" s="46"/>
      <c r="P15" s="7"/>
      <c r="Q15" s="47"/>
      <c r="R15" s="46">
        <v>78</v>
      </c>
      <c r="S15" s="47">
        <v>18</v>
      </c>
      <c r="T15" s="388">
        <v>6.63</v>
      </c>
      <c r="U15" s="390">
        <f t="shared" si="0"/>
        <v>102.63</v>
      </c>
      <c r="V15" s="382" t="s">
        <v>36</v>
      </c>
      <c r="W15" s="396" t="s">
        <v>5</v>
      </c>
      <c r="X15" s="181" t="s">
        <v>318</v>
      </c>
      <c r="Y15" s="180"/>
      <c r="Z15" s="181"/>
      <c r="AA15" s="2"/>
      <c r="AB15" s="2"/>
    </row>
    <row r="16" spans="1:28" s="161" customFormat="1" ht="14.1" customHeight="1" x14ac:dyDescent="0.3">
      <c r="A16" s="113" t="s">
        <v>49</v>
      </c>
      <c r="B16" s="189" t="s">
        <v>101</v>
      </c>
      <c r="C16" s="190" t="s">
        <v>85</v>
      </c>
      <c r="D16" s="190">
        <v>6109107</v>
      </c>
      <c r="E16" s="267">
        <v>43626</v>
      </c>
      <c r="F16" s="190" t="s">
        <v>21</v>
      </c>
      <c r="G16" s="268">
        <v>43626</v>
      </c>
      <c r="H16" s="58"/>
      <c r="I16" s="192"/>
      <c r="J16" s="57"/>
      <c r="K16" s="58"/>
      <c r="L16" s="192"/>
      <c r="M16" s="192"/>
      <c r="N16" s="57"/>
      <c r="O16" s="58"/>
      <c r="P16" s="192"/>
      <c r="Q16" s="57"/>
      <c r="R16" s="58">
        <v>49</v>
      </c>
      <c r="S16" s="57">
        <v>9</v>
      </c>
      <c r="T16" s="269">
        <v>4.29</v>
      </c>
      <c r="U16" s="270">
        <f t="shared" si="0"/>
        <v>62.29</v>
      </c>
      <c r="V16" s="189" t="s">
        <v>36</v>
      </c>
      <c r="W16" s="271" t="s">
        <v>80</v>
      </c>
      <c r="X16" s="2" t="s">
        <v>144</v>
      </c>
      <c r="Y16" s="272"/>
      <c r="Z16" s="2"/>
      <c r="AA16" s="2"/>
      <c r="AB16" s="2"/>
    </row>
    <row r="17" spans="1:28" s="161" customFormat="1" ht="14.1" customHeight="1" x14ac:dyDescent="0.3">
      <c r="A17" s="113" t="s">
        <v>6</v>
      </c>
      <c r="B17" s="189" t="s">
        <v>115</v>
      </c>
      <c r="C17" s="190"/>
      <c r="D17" s="190">
        <v>6119071</v>
      </c>
      <c r="E17" s="267">
        <v>43627</v>
      </c>
      <c r="F17" s="190" t="s">
        <v>45</v>
      </c>
      <c r="G17" s="268">
        <v>43627</v>
      </c>
      <c r="H17" s="58"/>
      <c r="I17" s="192"/>
      <c r="J17" s="57"/>
      <c r="K17" s="58"/>
      <c r="L17" s="192"/>
      <c r="M17" s="192"/>
      <c r="N17" s="57"/>
      <c r="O17" s="58"/>
      <c r="P17" s="192">
        <v>180</v>
      </c>
      <c r="Q17" s="155">
        <v>90</v>
      </c>
      <c r="R17" s="58"/>
      <c r="S17" s="155"/>
      <c r="T17" s="337"/>
      <c r="U17" s="270">
        <f t="shared" si="0"/>
        <v>270</v>
      </c>
      <c r="V17" s="113" t="s">
        <v>7</v>
      </c>
      <c r="W17" s="271" t="s">
        <v>6</v>
      </c>
      <c r="X17" s="83" t="s">
        <v>363</v>
      </c>
      <c r="Y17" s="272"/>
      <c r="Z17" s="2"/>
      <c r="AA17" s="2"/>
      <c r="AB17" s="2"/>
    </row>
    <row r="18" spans="1:28" s="161" customFormat="1" ht="14.1" customHeight="1" x14ac:dyDescent="0.3">
      <c r="A18" s="113" t="s">
        <v>80</v>
      </c>
      <c r="B18" s="189" t="s">
        <v>115</v>
      </c>
      <c r="C18" s="190"/>
      <c r="D18" s="190">
        <v>6129309</v>
      </c>
      <c r="E18" s="267">
        <v>43628</v>
      </c>
      <c r="F18" s="190" t="s">
        <v>97</v>
      </c>
      <c r="G18" s="268">
        <v>43628</v>
      </c>
      <c r="H18" s="58"/>
      <c r="I18" s="192"/>
      <c r="J18" s="57"/>
      <c r="K18" s="58"/>
      <c r="L18" s="192"/>
      <c r="M18" s="192"/>
      <c r="N18" s="57"/>
      <c r="O18" s="58">
        <v>102.5</v>
      </c>
      <c r="P18" s="192">
        <v>135</v>
      </c>
      <c r="Q18" s="57"/>
      <c r="R18" s="58"/>
      <c r="S18" s="57"/>
      <c r="T18" s="269">
        <v>8.9700000000000006</v>
      </c>
      <c r="U18" s="270">
        <f t="shared" si="0"/>
        <v>246.47</v>
      </c>
      <c r="V18" s="189" t="s">
        <v>7</v>
      </c>
      <c r="W18" s="271" t="s">
        <v>6</v>
      </c>
      <c r="X18" s="2" t="s">
        <v>220</v>
      </c>
      <c r="Y18" s="272"/>
      <c r="Z18" s="2"/>
      <c r="AA18" s="2"/>
      <c r="AB18" s="2"/>
    </row>
    <row r="19" spans="1:28" s="161" customFormat="1" ht="14.1" customHeight="1" x14ac:dyDescent="0.3">
      <c r="A19" s="82" t="s">
        <v>74</v>
      </c>
      <c r="B19" s="3" t="s">
        <v>285</v>
      </c>
      <c r="C19" s="4"/>
      <c r="D19" s="384">
        <v>8280304</v>
      </c>
      <c r="E19" s="385">
        <v>44071</v>
      </c>
      <c r="F19" s="384" t="s">
        <v>45</v>
      </c>
      <c r="G19" s="386">
        <v>44074</v>
      </c>
      <c r="H19" s="46"/>
      <c r="I19" s="387"/>
      <c r="J19" s="47"/>
      <c r="K19" s="46"/>
      <c r="L19" s="387"/>
      <c r="M19" s="387"/>
      <c r="N19" s="47"/>
      <c r="O19" s="46"/>
      <c r="P19" s="7">
        <v>120</v>
      </c>
      <c r="Q19" s="47">
        <v>60</v>
      </c>
      <c r="R19" s="46"/>
      <c r="S19" s="47"/>
      <c r="T19" s="388"/>
      <c r="U19" s="390">
        <f t="shared" si="0"/>
        <v>180</v>
      </c>
      <c r="V19" s="382" t="s">
        <v>7</v>
      </c>
      <c r="W19" s="396" t="s">
        <v>74</v>
      </c>
      <c r="X19" s="181" t="s">
        <v>326</v>
      </c>
      <c r="Y19" s="180"/>
      <c r="Z19" s="181"/>
      <c r="AA19" s="2"/>
      <c r="AB19" s="2"/>
    </row>
    <row r="20" spans="1:28" s="161" customFormat="1" ht="14.1" customHeight="1" x14ac:dyDescent="0.3">
      <c r="A20" s="113" t="s">
        <v>5</v>
      </c>
      <c r="B20" s="189" t="s">
        <v>189</v>
      </c>
      <c r="C20" s="190"/>
      <c r="D20" s="153">
        <v>5150057</v>
      </c>
      <c r="E20" s="162">
        <v>43966</v>
      </c>
      <c r="F20" s="153" t="s">
        <v>51</v>
      </c>
      <c r="G20" s="268">
        <v>43966</v>
      </c>
      <c r="H20" s="58"/>
      <c r="I20" s="155"/>
      <c r="J20" s="57"/>
      <c r="K20" s="58"/>
      <c r="L20" s="155"/>
      <c r="M20" s="155">
        <v>600</v>
      </c>
      <c r="N20" s="57"/>
      <c r="O20" s="58"/>
      <c r="P20" s="192"/>
      <c r="Q20" s="57"/>
      <c r="R20" s="58"/>
      <c r="S20" s="57"/>
      <c r="T20" s="163"/>
      <c r="U20" s="270">
        <f t="shared" si="0"/>
        <v>600</v>
      </c>
      <c r="V20" s="189" t="s">
        <v>29</v>
      </c>
      <c r="W20" s="271" t="s">
        <v>32</v>
      </c>
      <c r="X20" s="378" t="s">
        <v>79</v>
      </c>
      <c r="Y20" s="312"/>
      <c r="Z20" s="2"/>
      <c r="AA20" s="2"/>
      <c r="AB20" s="2"/>
    </row>
    <row r="21" spans="1:28" s="161" customFormat="1" ht="14.1" customHeight="1" x14ac:dyDescent="0.3">
      <c r="A21" s="113" t="s">
        <v>5</v>
      </c>
      <c r="B21" s="189" t="s">
        <v>189</v>
      </c>
      <c r="C21" s="190"/>
      <c r="D21" s="153">
        <v>6150056</v>
      </c>
      <c r="E21" s="162">
        <v>43997</v>
      </c>
      <c r="F21" s="153" t="s">
        <v>51</v>
      </c>
      <c r="G21" s="268">
        <v>43997</v>
      </c>
      <c r="H21" s="58"/>
      <c r="I21" s="155"/>
      <c r="J21" s="57"/>
      <c r="K21" s="58"/>
      <c r="L21" s="155"/>
      <c r="M21" s="155">
        <v>900</v>
      </c>
      <c r="N21" s="57"/>
      <c r="O21" s="58"/>
      <c r="P21" s="192"/>
      <c r="Q21" s="57"/>
      <c r="R21" s="58"/>
      <c r="S21" s="57"/>
      <c r="T21" s="163"/>
      <c r="U21" s="270">
        <f t="shared" si="0"/>
        <v>900</v>
      </c>
      <c r="V21" s="150" t="s">
        <v>29</v>
      </c>
      <c r="W21" s="271" t="s">
        <v>32</v>
      </c>
      <c r="X21" s="158" t="s">
        <v>79</v>
      </c>
      <c r="Y21" s="433"/>
      <c r="Z21" s="67"/>
      <c r="AA21" s="67"/>
      <c r="AB21" s="67"/>
    </row>
    <row r="22" spans="1:28" s="161" customFormat="1" ht="14.1" customHeight="1" x14ac:dyDescent="0.3">
      <c r="A22" s="111" t="s">
        <v>5</v>
      </c>
      <c r="B22" s="169" t="s">
        <v>189</v>
      </c>
      <c r="C22" s="170"/>
      <c r="D22" s="321">
        <v>7150054</v>
      </c>
      <c r="E22" s="164">
        <v>44027</v>
      </c>
      <c r="F22" s="321" t="s">
        <v>51</v>
      </c>
      <c r="G22" s="322">
        <v>44027</v>
      </c>
      <c r="H22" s="54"/>
      <c r="I22" s="156"/>
      <c r="J22" s="53"/>
      <c r="K22" s="54"/>
      <c r="L22" s="156"/>
      <c r="M22" s="156">
        <v>600</v>
      </c>
      <c r="N22" s="53"/>
      <c r="O22" s="54"/>
      <c r="P22" s="173"/>
      <c r="Q22" s="53"/>
      <c r="R22" s="54"/>
      <c r="S22" s="53"/>
      <c r="T22" s="165"/>
      <c r="U22" s="326">
        <v>300</v>
      </c>
      <c r="V22" s="151" t="s">
        <v>29</v>
      </c>
      <c r="W22" s="329" t="s">
        <v>32</v>
      </c>
      <c r="X22" s="378" t="s">
        <v>79</v>
      </c>
      <c r="Y22" s="180"/>
      <c r="Z22" s="2"/>
      <c r="AA22" s="2"/>
      <c r="AB22" s="2"/>
    </row>
    <row r="23" spans="1:28" s="161" customFormat="1" ht="14.1" customHeight="1" x14ac:dyDescent="0.3">
      <c r="A23" s="112" t="s">
        <v>5</v>
      </c>
      <c r="B23" s="105" t="s">
        <v>189</v>
      </c>
      <c r="C23" s="140"/>
      <c r="D23" s="320" t="s">
        <v>238</v>
      </c>
      <c r="E23" s="159">
        <v>44058</v>
      </c>
      <c r="F23" s="320" t="s">
        <v>51</v>
      </c>
      <c r="G23" s="323">
        <v>44058</v>
      </c>
      <c r="H23" s="50"/>
      <c r="I23" s="157"/>
      <c r="J23" s="49"/>
      <c r="K23" s="50"/>
      <c r="L23" s="157"/>
      <c r="M23" s="157">
        <v>2100</v>
      </c>
      <c r="N23" s="49"/>
      <c r="O23" s="50"/>
      <c r="P23" s="166"/>
      <c r="Q23" s="49"/>
      <c r="R23" s="50"/>
      <c r="S23" s="49"/>
      <c r="T23" s="160"/>
      <c r="U23" s="327">
        <f t="shared" ref="U23:U54" si="1">SUM(H23:T23)</f>
        <v>2100</v>
      </c>
      <c r="V23" s="152" t="s">
        <v>29</v>
      </c>
      <c r="W23" s="331" t="s">
        <v>78</v>
      </c>
      <c r="X23" s="397" t="s">
        <v>79</v>
      </c>
      <c r="Y23" s="180"/>
      <c r="Z23" s="181"/>
      <c r="AA23" s="2"/>
      <c r="AB23" s="2"/>
    </row>
    <row r="24" spans="1:28" s="161" customFormat="1" ht="14.1" customHeight="1" x14ac:dyDescent="0.3">
      <c r="A24" s="113" t="s">
        <v>32</v>
      </c>
      <c r="B24" s="189" t="s">
        <v>113</v>
      </c>
      <c r="C24" s="190" t="s">
        <v>116</v>
      </c>
      <c r="D24" s="153">
        <v>6050303</v>
      </c>
      <c r="E24" s="162">
        <v>43987</v>
      </c>
      <c r="F24" s="153" t="s">
        <v>198</v>
      </c>
      <c r="G24" s="268">
        <v>43987</v>
      </c>
      <c r="H24" s="58"/>
      <c r="I24" s="155"/>
      <c r="J24" s="57"/>
      <c r="K24" s="58"/>
      <c r="L24" s="155"/>
      <c r="M24" s="155"/>
      <c r="N24" s="57"/>
      <c r="O24" s="58">
        <v>75</v>
      </c>
      <c r="P24" s="192"/>
      <c r="Q24" s="57">
        <v>12</v>
      </c>
      <c r="R24" s="58"/>
      <c r="S24" s="57"/>
      <c r="T24" s="163">
        <v>6.38</v>
      </c>
      <c r="U24" s="270">
        <f t="shared" si="1"/>
        <v>93.38</v>
      </c>
      <c r="V24" s="150" t="s">
        <v>36</v>
      </c>
      <c r="W24" s="271" t="s">
        <v>5</v>
      </c>
      <c r="X24" s="181" t="s">
        <v>326</v>
      </c>
      <c r="Y24" s="272"/>
      <c r="Z24" s="2"/>
      <c r="AA24" s="2"/>
      <c r="AB24" s="2"/>
    </row>
    <row r="25" spans="1:28" s="161" customFormat="1" ht="14.1" customHeight="1" x14ac:dyDescent="0.3">
      <c r="A25" s="113" t="s">
        <v>74</v>
      </c>
      <c r="B25" s="189" t="s">
        <v>190</v>
      </c>
      <c r="C25" s="190" t="s">
        <v>116</v>
      </c>
      <c r="D25" s="153">
        <v>5250302</v>
      </c>
      <c r="E25" s="162">
        <v>43976</v>
      </c>
      <c r="F25" s="153" t="s">
        <v>191</v>
      </c>
      <c r="G25" s="268">
        <v>43973</v>
      </c>
      <c r="H25" s="58"/>
      <c r="I25" s="155"/>
      <c r="J25" s="57"/>
      <c r="K25" s="58"/>
      <c r="L25" s="155"/>
      <c r="M25" s="155"/>
      <c r="N25" s="57"/>
      <c r="O25" s="58"/>
      <c r="P25" s="192">
        <v>90</v>
      </c>
      <c r="Q25" s="57">
        <v>0</v>
      </c>
      <c r="R25" s="58"/>
      <c r="S25" s="57"/>
      <c r="T25" s="163"/>
      <c r="U25" s="270">
        <f t="shared" si="1"/>
        <v>90</v>
      </c>
      <c r="V25" s="189" t="s">
        <v>7</v>
      </c>
      <c r="W25" s="271" t="s">
        <v>74</v>
      </c>
      <c r="X25" s="181" t="s">
        <v>326</v>
      </c>
      <c r="Y25" s="272"/>
      <c r="Z25" s="2"/>
      <c r="AA25" s="2"/>
      <c r="AB25" s="2"/>
    </row>
    <row r="26" spans="1:28" s="161" customFormat="1" ht="14.1" customHeight="1" x14ac:dyDescent="0.3">
      <c r="A26" s="113" t="s">
        <v>49</v>
      </c>
      <c r="B26" s="189" t="s">
        <v>92</v>
      </c>
      <c r="C26" s="190"/>
      <c r="D26" s="190">
        <v>1210106</v>
      </c>
      <c r="E26" s="267">
        <v>43851</v>
      </c>
      <c r="F26" s="190" t="s">
        <v>21</v>
      </c>
      <c r="G26" s="268">
        <v>43851</v>
      </c>
      <c r="H26" s="58"/>
      <c r="I26" s="192"/>
      <c r="J26" s="57"/>
      <c r="K26" s="58"/>
      <c r="L26" s="192"/>
      <c r="M26" s="192"/>
      <c r="N26" s="57"/>
      <c r="O26" s="58"/>
      <c r="P26" s="192"/>
      <c r="Q26" s="57"/>
      <c r="R26" s="58">
        <v>68</v>
      </c>
      <c r="S26" s="57">
        <v>16</v>
      </c>
      <c r="T26" s="269">
        <v>5.78</v>
      </c>
      <c r="U26" s="270">
        <f t="shared" si="1"/>
        <v>89.78</v>
      </c>
      <c r="V26" s="189" t="s">
        <v>36</v>
      </c>
      <c r="W26" s="271" t="s">
        <v>80</v>
      </c>
      <c r="X26" s="2" t="s">
        <v>327</v>
      </c>
      <c r="Y26" s="272"/>
      <c r="Z26" s="2"/>
      <c r="AA26" s="2"/>
      <c r="AB26" s="2"/>
    </row>
    <row r="27" spans="1:28" s="161" customFormat="1" ht="14.1" customHeight="1" x14ac:dyDescent="0.3">
      <c r="A27" s="113" t="s">
        <v>32</v>
      </c>
      <c r="B27" s="189" t="s">
        <v>92</v>
      </c>
      <c r="C27" s="190"/>
      <c r="D27" s="153">
        <v>6120303</v>
      </c>
      <c r="E27" s="162">
        <v>43994</v>
      </c>
      <c r="F27" s="153" t="s">
        <v>134</v>
      </c>
      <c r="G27" s="268">
        <v>43994</v>
      </c>
      <c r="H27" s="58"/>
      <c r="I27" s="155"/>
      <c r="J27" s="57"/>
      <c r="K27" s="58"/>
      <c r="L27" s="155"/>
      <c r="M27" s="155"/>
      <c r="N27" s="57"/>
      <c r="O27" s="58">
        <v>300</v>
      </c>
      <c r="P27" s="192"/>
      <c r="Q27" s="57"/>
      <c r="R27" s="58"/>
      <c r="S27" s="57"/>
      <c r="T27" s="163">
        <v>25.5</v>
      </c>
      <c r="U27" s="270">
        <f t="shared" si="1"/>
        <v>325.5</v>
      </c>
      <c r="V27" s="150" t="s">
        <v>7</v>
      </c>
      <c r="W27" s="271" t="s">
        <v>32</v>
      </c>
      <c r="X27" s="181" t="s">
        <v>326</v>
      </c>
      <c r="Y27" s="272"/>
      <c r="Z27" s="2"/>
      <c r="AA27" s="2"/>
      <c r="AB27" s="2"/>
    </row>
    <row r="28" spans="1:28" s="161" customFormat="1" ht="14.1" customHeight="1" thickBot="1" x14ac:dyDescent="0.35">
      <c r="A28" s="273" t="s">
        <v>78</v>
      </c>
      <c r="B28" s="274" t="s">
        <v>86</v>
      </c>
      <c r="C28" s="275">
        <v>2304</v>
      </c>
      <c r="D28" s="153">
        <v>9069201</v>
      </c>
      <c r="E28" s="276">
        <v>43714</v>
      </c>
      <c r="F28" s="153" t="s">
        <v>45</v>
      </c>
      <c r="G28" s="277">
        <v>43714</v>
      </c>
      <c r="H28" s="444"/>
      <c r="I28" s="279"/>
      <c r="J28" s="280"/>
      <c r="K28" s="278"/>
      <c r="L28" s="279"/>
      <c r="M28" s="279"/>
      <c r="N28" s="280"/>
      <c r="O28" s="278">
        <v>170</v>
      </c>
      <c r="P28" s="279">
        <v>120</v>
      </c>
      <c r="Q28" s="280">
        <v>60</v>
      </c>
      <c r="R28" s="278"/>
      <c r="S28" s="280"/>
      <c r="T28" s="279">
        <v>14.45</v>
      </c>
      <c r="U28" s="282">
        <f t="shared" si="1"/>
        <v>364.45</v>
      </c>
      <c r="V28" s="452" t="s">
        <v>7</v>
      </c>
      <c r="W28" s="454" t="s">
        <v>74</v>
      </c>
      <c r="X28" s="181" t="s">
        <v>326</v>
      </c>
      <c r="Y28" s="181"/>
      <c r="Z28" s="180"/>
      <c r="AA28" s="181"/>
      <c r="AB28" s="2"/>
    </row>
    <row r="29" spans="1:28" s="161" customFormat="1" ht="14.1" customHeight="1" thickBot="1" x14ac:dyDescent="0.35">
      <c r="A29" s="399" t="s">
        <v>78</v>
      </c>
      <c r="B29" s="400" t="s">
        <v>192</v>
      </c>
      <c r="C29" s="401" t="s">
        <v>225</v>
      </c>
      <c r="D29" s="423">
        <v>8140305</v>
      </c>
      <c r="E29" s="402">
        <v>44057</v>
      </c>
      <c r="F29" s="423" t="s">
        <v>234</v>
      </c>
      <c r="G29" s="434">
        <v>44057</v>
      </c>
      <c r="H29" s="404"/>
      <c r="I29" s="404"/>
      <c r="J29" s="404"/>
      <c r="K29" s="404"/>
      <c r="L29" s="404"/>
      <c r="M29" s="404"/>
      <c r="N29" s="404"/>
      <c r="O29" s="404">
        <v>-95</v>
      </c>
      <c r="P29" s="404"/>
      <c r="Q29" s="404"/>
      <c r="R29" s="404"/>
      <c r="S29" s="404"/>
      <c r="T29" s="405">
        <v>-9.0299999999999994</v>
      </c>
      <c r="U29" s="435">
        <f t="shared" si="1"/>
        <v>-104.03</v>
      </c>
      <c r="V29" s="407" t="s">
        <v>235</v>
      </c>
      <c r="W29" s="436" t="s">
        <v>5</v>
      </c>
      <c r="X29" s="110" t="s">
        <v>326</v>
      </c>
      <c r="Y29" s="334"/>
      <c r="Z29" s="181"/>
      <c r="AA29" s="2"/>
      <c r="AB29" s="2"/>
    </row>
    <row r="30" spans="1:28" s="161" customFormat="1" ht="14.1" customHeight="1" x14ac:dyDescent="0.2">
      <c r="A30" s="111" t="s">
        <v>48</v>
      </c>
      <c r="B30" s="151" t="s">
        <v>102</v>
      </c>
      <c r="C30" s="151"/>
      <c r="D30" s="374">
        <v>7220251</v>
      </c>
      <c r="E30" s="164">
        <v>44034</v>
      </c>
      <c r="F30" s="375" t="s">
        <v>224</v>
      </c>
      <c r="G30" s="403">
        <v>44034</v>
      </c>
      <c r="H30" s="54"/>
      <c r="I30" s="156"/>
      <c r="J30" s="53"/>
      <c r="K30" s="54"/>
      <c r="L30" s="156"/>
      <c r="M30" s="156"/>
      <c r="N30" s="53"/>
      <c r="O30" s="54"/>
      <c r="P30" s="156"/>
      <c r="Q30" s="376"/>
      <c r="R30" s="111">
        <v>-144</v>
      </c>
      <c r="S30" s="329"/>
      <c r="T30" s="406">
        <v>-13.32</v>
      </c>
      <c r="U30" s="326">
        <f t="shared" si="1"/>
        <v>-157.32</v>
      </c>
      <c r="V30" s="151" t="s">
        <v>224</v>
      </c>
      <c r="W30" s="408" t="s">
        <v>93</v>
      </c>
      <c r="X30" s="455" t="s">
        <v>18</v>
      </c>
      <c r="Y30" s="221"/>
      <c r="Z30" s="221"/>
      <c r="AA30" s="221"/>
      <c r="AB30" s="221"/>
    </row>
    <row r="31" spans="1:28" s="161" customFormat="1" ht="14.1" customHeight="1" x14ac:dyDescent="0.3">
      <c r="A31" s="82" t="s">
        <v>5</v>
      </c>
      <c r="B31" s="3" t="s">
        <v>284</v>
      </c>
      <c r="C31" s="4"/>
      <c r="D31" s="384">
        <v>8310103</v>
      </c>
      <c r="E31" s="385">
        <v>44074</v>
      </c>
      <c r="F31" s="384" t="s">
        <v>21</v>
      </c>
      <c r="G31" s="386">
        <v>44074</v>
      </c>
      <c r="H31" s="46"/>
      <c r="I31" s="387"/>
      <c r="J31" s="47"/>
      <c r="K31" s="46"/>
      <c r="L31" s="387"/>
      <c r="M31" s="387"/>
      <c r="N31" s="47"/>
      <c r="O31" s="46"/>
      <c r="P31" s="7"/>
      <c r="Q31" s="47"/>
      <c r="R31" s="46">
        <v>165.5</v>
      </c>
      <c r="S31" s="47"/>
      <c r="T31" s="388">
        <v>13.65</v>
      </c>
      <c r="U31" s="390">
        <f t="shared" si="1"/>
        <v>179.15</v>
      </c>
      <c r="V31" s="382" t="s">
        <v>36</v>
      </c>
      <c r="W31" s="396" t="s">
        <v>5</v>
      </c>
      <c r="X31" s="181" t="s">
        <v>18</v>
      </c>
      <c r="Y31" s="180"/>
      <c r="Z31" s="181"/>
      <c r="AA31" s="2"/>
      <c r="AB31" s="2"/>
    </row>
    <row r="32" spans="1:28" s="161" customFormat="1" ht="14.1" customHeight="1" x14ac:dyDescent="0.3">
      <c r="A32" s="111" t="s">
        <v>44</v>
      </c>
      <c r="B32" s="169" t="s">
        <v>210</v>
      </c>
      <c r="C32" s="170"/>
      <c r="D32" s="321">
        <v>6190052</v>
      </c>
      <c r="E32" s="164">
        <v>44001</v>
      </c>
      <c r="F32" s="321" t="s">
        <v>51</v>
      </c>
      <c r="G32" s="322">
        <v>44001</v>
      </c>
      <c r="H32" s="54"/>
      <c r="I32" s="156"/>
      <c r="J32" s="53"/>
      <c r="K32" s="54"/>
      <c r="L32" s="156"/>
      <c r="M32" s="156">
        <v>750</v>
      </c>
      <c r="N32" s="53"/>
      <c r="O32" s="54"/>
      <c r="P32" s="173"/>
      <c r="Q32" s="53"/>
      <c r="R32" s="54"/>
      <c r="S32" s="53"/>
      <c r="T32" s="165"/>
      <c r="U32" s="326">
        <f t="shared" si="1"/>
        <v>750</v>
      </c>
      <c r="V32" s="151" t="s">
        <v>29</v>
      </c>
      <c r="W32" s="329" t="s">
        <v>44</v>
      </c>
      <c r="X32" s="161" t="s">
        <v>308</v>
      </c>
      <c r="Y32" s="228"/>
      <c r="Z32" s="371"/>
      <c r="AA32" s="371"/>
      <c r="AB32" s="371"/>
    </row>
    <row r="33" spans="1:28" s="161" customFormat="1" ht="14.1" customHeight="1" x14ac:dyDescent="0.3">
      <c r="A33" s="113" t="s">
        <v>49</v>
      </c>
      <c r="B33" s="189" t="s">
        <v>132</v>
      </c>
      <c r="C33" s="190"/>
      <c r="D33" s="190">
        <v>8079105</v>
      </c>
      <c r="E33" s="267">
        <v>43684</v>
      </c>
      <c r="F33" s="190" t="s">
        <v>21</v>
      </c>
      <c r="G33" s="268">
        <v>43684</v>
      </c>
      <c r="H33" s="58"/>
      <c r="I33" s="192"/>
      <c r="J33" s="57"/>
      <c r="K33" s="58"/>
      <c r="L33" s="192"/>
      <c r="M33" s="192"/>
      <c r="N33" s="57"/>
      <c r="O33" s="58"/>
      <c r="P33" s="192"/>
      <c r="Q33" s="57"/>
      <c r="R33" s="58">
        <v>78</v>
      </c>
      <c r="S33" s="57"/>
      <c r="T33" s="269">
        <v>6.63</v>
      </c>
      <c r="U33" s="270">
        <f t="shared" si="1"/>
        <v>84.63</v>
      </c>
      <c r="V33" s="189" t="s">
        <v>39</v>
      </c>
      <c r="W33" s="271" t="s">
        <v>133</v>
      </c>
      <c r="X33" s="371" t="s">
        <v>146</v>
      </c>
      <c r="Y33" s="373"/>
      <c r="Z33" s="371"/>
      <c r="AA33" s="2"/>
      <c r="AB33" s="2"/>
    </row>
    <row r="34" spans="1:28" s="161" customFormat="1" ht="14.1" customHeight="1" x14ac:dyDescent="0.3">
      <c r="A34" s="112" t="s">
        <v>5</v>
      </c>
      <c r="B34" s="105" t="s">
        <v>103</v>
      </c>
      <c r="C34" s="140"/>
      <c r="D34" s="320">
        <v>8070101</v>
      </c>
      <c r="E34" s="159">
        <v>44050</v>
      </c>
      <c r="F34" s="320" t="s">
        <v>21</v>
      </c>
      <c r="G34" s="323">
        <v>44050</v>
      </c>
      <c r="H34" s="50"/>
      <c r="I34" s="157"/>
      <c r="J34" s="49"/>
      <c r="K34" s="50"/>
      <c r="L34" s="157"/>
      <c r="M34" s="157"/>
      <c r="N34" s="49"/>
      <c r="O34" s="50"/>
      <c r="P34" s="166"/>
      <c r="Q34" s="49"/>
      <c r="R34" s="50">
        <v>57</v>
      </c>
      <c r="S34" s="49"/>
      <c r="T34" s="160">
        <v>4.42</v>
      </c>
      <c r="U34" s="327">
        <f t="shared" si="1"/>
        <v>61.42</v>
      </c>
      <c r="V34" s="152" t="s">
        <v>36</v>
      </c>
      <c r="W34" s="331" t="s">
        <v>80</v>
      </c>
      <c r="X34" s="181" t="s">
        <v>322</v>
      </c>
      <c r="Y34" s="180"/>
      <c r="Z34" s="181"/>
      <c r="AA34" s="2"/>
      <c r="AB34" s="2"/>
    </row>
    <row r="35" spans="1:28" s="161" customFormat="1" ht="14.1" customHeight="1" x14ac:dyDescent="0.3">
      <c r="A35" s="82" t="s">
        <v>5</v>
      </c>
      <c r="B35" s="3" t="s">
        <v>103</v>
      </c>
      <c r="C35" s="4"/>
      <c r="D35" s="384">
        <v>8170103</v>
      </c>
      <c r="E35" s="385">
        <v>44060</v>
      </c>
      <c r="F35" s="384" t="s">
        <v>21</v>
      </c>
      <c r="G35" s="386">
        <v>44060</v>
      </c>
      <c r="H35" s="46"/>
      <c r="I35" s="387"/>
      <c r="J35" s="47"/>
      <c r="K35" s="46"/>
      <c r="L35" s="387"/>
      <c r="M35" s="387"/>
      <c r="N35" s="47"/>
      <c r="O35" s="46"/>
      <c r="P35" s="7"/>
      <c r="Q35" s="47"/>
      <c r="R35" s="46">
        <v>104</v>
      </c>
      <c r="S35" s="47"/>
      <c r="T35" s="388">
        <v>8.06</v>
      </c>
      <c r="U35" s="390">
        <f t="shared" si="1"/>
        <v>112.06</v>
      </c>
      <c r="V35" s="382" t="s">
        <v>36</v>
      </c>
      <c r="W35" s="396" t="s">
        <v>5</v>
      </c>
      <c r="X35" s="181" t="s">
        <v>18</v>
      </c>
      <c r="Y35" s="180"/>
      <c r="Z35" s="181"/>
      <c r="AA35" s="2"/>
      <c r="AB35" s="2"/>
    </row>
    <row r="36" spans="1:28" s="161" customFormat="1" ht="14.1" customHeight="1" thickBot="1" x14ac:dyDescent="0.35">
      <c r="A36" s="94" t="s">
        <v>93</v>
      </c>
      <c r="B36" s="285" t="s">
        <v>262</v>
      </c>
      <c r="C36" s="296"/>
      <c r="D36" s="296">
        <v>8240101</v>
      </c>
      <c r="E36" s="287">
        <v>44067</v>
      </c>
      <c r="F36" s="296" t="s">
        <v>21</v>
      </c>
      <c r="G36" s="441">
        <v>44067</v>
      </c>
      <c r="H36" s="442"/>
      <c r="I36" s="289"/>
      <c r="J36" s="446"/>
      <c r="K36" s="442"/>
      <c r="L36" s="289"/>
      <c r="M36" s="289"/>
      <c r="N36" s="446"/>
      <c r="O36" s="442"/>
      <c r="P36" s="289"/>
      <c r="Q36" s="446"/>
      <c r="R36" s="442">
        <v>174</v>
      </c>
      <c r="S36" s="446"/>
      <c r="T36" s="290">
        <v>16.97</v>
      </c>
      <c r="U36" s="449">
        <f t="shared" si="1"/>
        <v>190.97</v>
      </c>
      <c r="V36" s="395" t="s">
        <v>39</v>
      </c>
      <c r="W36" s="453" t="s">
        <v>223</v>
      </c>
      <c r="X36" s="80" t="s">
        <v>18</v>
      </c>
      <c r="Y36" s="180"/>
      <c r="Z36" s="181"/>
      <c r="AA36" s="2"/>
      <c r="AB36" s="2"/>
    </row>
    <row r="37" spans="1:28" s="161" customFormat="1" ht="14.1" customHeight="1" thickBot="1" x14ac:dyDescent="0.35">
      <c r="A37" s="273" t="s">
        <v>6</v>
      </c>
      <c r="B37" s="274" t="s">
        <v>77</v>
      </c>
      <c r="C37" s="275"/>
      <c r="D37" s="275">
        <v>11189071</v>
      </c>
      <c r="E37" s="276">
        <v>43788</v>
      </c>
      <c r="F37" s="275" t="s">
        <v>155</v>
      </c>
      <c r="G37" s="324">
        <v>43788</v>
      </c>
      <c r="H37" s="279"/>
      <c r="I37" s="279"/>
      <c r="J37" s="279"/>
      <c r="K37" s="279"/>
      <c r="L37" s="279"/>
      <c r="M37" s="279"/>
      <c r="N37" s="279"/>
      <c r="O37" s="279">
        <v>370</v>
      </c>
      <c r="P37" s="279"/>
      <c r="Q37" s="279">
        <v>20</v>
      </c>
      <c r="R37" s="279"/>
      <c r="S37" s="279"/>
      <c r="T37" s="281">
        <v>26.83</v>
      </c>
      <c r="U37" s="328">
        <f t="shared" si="1"/>
        <v>416.83</v>
      </c>
      <c r="V37" s="283" t="s">
        <v>43</v>
      </c>
      <c r="W37" s="330" t="s">
        <v>5</v>
      </c>
      <c r="X37" s="85" t="s">
        <v>156</v>
      </c>
      <c r="Y37" s="272"/>
      <c r="Z37" s="2"/>
      <c r="AA37" s="2"/>
      <c r="AB37" s="2"/>
    </row>
    <row r="38" spans="1:28" s="161" customFormat="1" ht="14.1" customHeight="1" x14ac:dyDescent="0.3">
      <c r="A38" s="98" t="s">
        <v>6</v>
      </c>
      <c r="B38" s="3" t="s">
        <v>77</v>
      </c>
      <c r="C38" s="4"/>
      <c r="D38" s="384">
        <v>8310251</v>
      </c>
      <c r="E38" s="385">
        <v>44074</v>
      </c>
      <c r="F38" s="384" t="s">
        <v>196</v>
      </c>
      <c r="G38" s="79">
        <v>44074</v>
      </c>
      <c r="H38" s="46"/>
      <c r="I38" s="47"/>
      <c r="J38" s="28"/>
      <c r="K38" s="28"/>
      <c r="L38" s="28"/>
      <c r="M38" s="46"/>
      <c r="N38" s="28"/>
      <c r="O38" s="46"/>
      <c r="P38" s="7">
        <v>75</v>
      </c>
      <c r="Q38" s="47"/>
      <c r="R38" s="46"/>
      <c r="S38" s="47"/>
      <c r="T38" s="32"/>
      <c r="U38" s="391">
        <f t="shared" si="1"/>
        <v>75</v>
      </c>
      <c r="V38" s="382" t="s">
        <v>29</v>
      </c>
      <c r="W38" s="396" t="s">
        <v>48</v>
      </c>
      <c r="X38" s="181" t="s">
        <v>18</v>
      </c>
      <c r="Y38" s="180"/>
      <c r="Z38" s="181"/>
      <c r="AA38" s="2"/>
      <c r="AB38" s="2"/>
    </row>
    <row r="39" spans="1:28" s="161" customFormat="1" ht="14.1" customHeight="1" x14ac:dyDescent="0.3">
      <c r="A39" s="102" t="s">
        <v>49</v>
      </c>
      <c r="B39" s="189" t="s">
        <v>106</v>
      </c>
      <c r="C39" s="190"/>
      <c r="D39" s="190">
        <v>3229107</v>
      </c>
      <c r="E39" s="267">
        <v>43546</v>
      </c>
      <c r="F39" s="190" t="s">
        <v>21</v>
      </c>
      <c r="G39" s="154">
        <v>43546</v>
      </c>
      <c r="H39" s="58"/>
      <c r="I39" s="57"/>
      <c r="J39" s="60"/>
      <c r="K39" s="60"/>
      <c r="L39" s="60"/>
      <c r="M39" s="58"/>
      <c r="N39" s="60"/>
      <c r="O39" s="58"/>
      <c r="P39" s="192"/>
      <c r="Q39" s="57"/>
      <c r="R39" s="58">
        <v>90</v>
      </c>
      <c r="S39" s="57"/>
      <c r="T39" s="59">
        <v>7.76</v>
      </c>
      <c r="U39" s="298">
        <f t="shared" si="1"/>
        <v>97.76</v>
      </c>
      <c r="V39" s="189" t="s">
        <v>36</v>
      </c>
      <c r="W39" s="271" t="s">
        <v>80</v>
      </c>
      <c r="X39" s="2" t="s">
        <v>142</v>
      </c>
      <c r="Y39" s="272"/>
      <c r="Z39" s="2"/>
      <c r="AA39" s="2"/>
      <c r="AB39" s="2"/>
    </row>
    <row r="40" spans="1:28" s="161" customFormat="1" ht="14.1" customHeight="1" x14ac:dyDescent="0.3">
      <c r="A40" s="98" t="s">
        <v>44</v>
      </c>
      <c r="B40" s="3" t="s">
        <v>137</v>
      </c>
      <c r="C40" s="4"/>
      <c r="D40" s="384">
        <v>8270261</v>
      </c>
      <c r="E40" s="385">
        <v>44070</v>
      </c>
      <c r="F40" s="384" t="s">
        <v>21</v>
      </c>
      <c r="G40" s="79">
        <v>44070</v>
      </c>
      <c r="H40" s="46"/>
      <c r="I40" s="47"/>
      <c r="J40" s="28"/>
      <c r="K40" s="28"/>
      <c r="L40" s="28"/>
      <c r="M40" s="46"/>
      <c r="N40" s="28"/>
      <c r="O40" s="46"/>
      <c r="P40" s="7"/>
      <c r="Q40" s="47"/>
      <c r="R40" s="46">
        <v>69</v>
      </c>
      <c r="S40" s="47"/>
      <c r="T40" s="32">
        <v>5.87</v>
      </c>
      <c r="U40" s="391">
        <f t="shared" si="1"/>
        <v>74.87</v>
      </c>
      <c r="V40" s="382" t="s">
        <v>7</v>
      </c>
      <c r="W40" s="396" t="s">
        <v>44</v>
      </c>
      <c r="X40" s="181" t="s">
        <v>18</v>
      </c>
      <c r="Y40" s="180"/>
      <c r="Z40" s="181"/>
      <c r="AA40" s="2"/>
      <c r="AB40" s="2"/>
    </row>
    <row r="41" spans="1:28" s="161" customFormat="1" ht="14.1" customHeight="1" x14ac:dyDescent="0.3">
      <c r="A41" s="98" t="s">
        <v>5</v>
      </c>
      <c r="B41" s="3" t="s">
        <v>40</v>
      </c>
      <c r="C41" s="4"/>
      <c r="D41" s="384">
        <v>8250102</v>
      </c>
      <c r="E41" s="385">
        <v>44068</v>
      </c>
      <c r="F41" s="384" t="s">
        <v>21</v>
      </c>
      <c r="G41" s="79">
        <v>44068</v>
      </c>
      <c r="H41" s="46"/>
      <c r="I41" s="47"/>
      <c r="J41" s="28"/>
      <c r="K41" s="28"/>
      <c r="L41" s="28"/>
      <c r="M41" s="46"/>
      <c r="N41" s="28"/>
      <c r="O41" s="46"/>
      <c r="P41" s="7"/>
      <c r="Q41" s="47"/>
      <c r="R41" s="46">
        <v>451</v>
      </c>
      <c r="S41" s="47"/>
      <c r="T41" s="32"/>
      <c r="U41" s="391">
        <f t="shared" si="1"/>
        <v>451</v>
      </c>
      <c r="V41" s="382" t="s">
        <v>36</v>
      </c>
      <c r="W41" s="396" t="s">
        <v>5</v>
      </c>
      <c r="X41" s="181" t="s">
        <v>322</v>
      </c>
      <c r="Y41" s="180"/>
      <c r="Z41" s="181"/>
      <c r="AA41" s="2"/>
      <c r="AB41" s="2"/>
    </row>
    <row r="42" spans="1:28" s="161" customFormat="1" ht="13.5" customHeight="1" x14ac:dyDescent="0.3">
      <c r="A42" s="102" t="s">
        <v>8</v>
      </c>
      <c r="B42" s="150" t="s">
        <v>213</v>
      </c>
      <c r="C42" s="153"/>
      <c r="D42" s="153">
        <v>6060052</v>
      </c>
      <c r="E42" s="162">
        <v>43988</v>
      </c>
      <c r="F42" s="153" t="s">
        <v>51</v>
      </c>
      <c r="G42" s="154">
        <v>43988</v>
      </c>
      <c r="H42" s="58"/>
      <c r="I42" s="57"/>
      <c r="J42" s="60"/>
      <c r="K42" s="60"/>
      <c r="L42" s="60"/>
      <c r="M42" s="58">
        <v>500</v>
      </c>
      <c r="N42" s="60">
        <v>2492</v>
      </c>
      <c r="O42" s="58"/>
      <c r="P42" s="155"/>
      <c r="Q42" s="57"/>
      <c r="R42" s="58"/>
      <c r="S42" s="57"/>
      <c r="T42" s="59"/>
      <c r="U42" s="298">
        <f t="shared" si="1"/>
        <v>2992</v>
      </c>
      <c r="V42" s="150" t="s">
        <v>7</v>
      </c>
      <c r="W42" s="271" t="s">
        <v>8</v>
      </c>
      <c r="X42" s="161" t="s">
        <v>367</v>
      </c>
      <c r="Y42" s="228"/>
      <c r="Z42" s="371"/>
      <c r="AA42" s="371"/>
      <c r="AB42" s="371"/>
    </row>
    <row r="43" spans="1:28" s="161" customFormat="1" ht="14.1" customHeight="1" x14ac:dyDescent="0.3">
      <c r="A43" s="98" t="s">
        <v>5</v>
      </c>
      <c r="B43" s="3" t="s">
        <v>239</v>
      </c>
      <c r="C43" s="4"/>
      <c r="D43" s="384">
        <v>8180101</v>
      </c>
      <c r="E43" s="385">
        <v>44061</v>
      </c>
      <c r="F43" s="384" t="s">
        <v>21</v>
      </c>
      <c r="G43" s="79">
        <v>44061</v>
      </c>
      <c r="H43" s="46"/>
      <c r="I43" s="47"/>
      <c r="J43" s="28"/>
      <c r="K43" s="28"/>
      <c r="L43" s="28"/>
      <c r="M43" s="46"/>
      <c r="N43" s="28"/>
      <c r="O43" s="46"/>
      <c r="P43" s="7"/>
      <c r="Q43" s="47"/>
      <c r="R43" s="46">
        <v>70.5</v>
      </c>
      <c r="S43" s="47"/>
      <c r="T43" s="32">
        <v>5.99</v>
      </c>
      <c r="U43" s="391">
        <f t="shared" si="1"/>
        <v>76.489999999999995</v>
      </c>
      <c r="V43" s="382" t="s">
        <v>36</v>
      </c>
      <c r="W43" s="396" t="s">
        <v>5</v>
      </c>
      <c r="X43" s="181" t="s">
        <v>18</v>
      </c>
      <c r="Y43" s="180"/>
      <c r="Z43" s="181"/>
      <c r="AA43" s="2"/>
      <c r="AB43" s="2"/>
    </row>
    <row r="44" spans="1:28" s="161" customFormat="1" ht="14.1" customHeight="1" x14ac:dyDescent="0.3">
      <c r="A44" s="102" t="s">
        <v>49</v>
      </c>
      <c r="B44" s="189" t="s">
        <v>83</v>
      </c>
      <c r="C44" s="190"/>
      <c r="D44" s="190">
        <v>2270103</v>
      </c>
      <c r="E44" s="267">
        <v>43888</v>
      </c>
      <c r="F44" s="190" t="s">
        <v>21</v>
      </c>
      <c r="G44" s="191">
        <v>43888</v>
      </c>
      <c r="H44" s="58"/>
      <c r="I44" s="57"/>
      <c r="J44" s="60"/>
      <c r="K44" s="60"/>
      <c r="L44" s="60"/>
      <c r="M44" s="58"/>
      <c r="N44" s="60"/>
      <c r="O44" s="58"/>
      <c r="P44" s="192"/>
      <c r="Q44" s="57"/>
      <c r="R44" s="58">
        <v>180</v>
      </c>
      <c r="S44" s="57"/>
      <c r="T44" s="59">
        <v>16.649999999999999</v>
      </c>
      <c r="U44" s="298">
        <f t="shared" si="1"/>
        <v>196.65</v>
      </c>
      <c r="V44" s="189" t="s">
        <v>36</v>
      </c>
      <c r="W44" s="271" t="s">
        <v>5</v>
      </c>
      <c r="X44" s="2" t="s">
        <v>216</v>
      </c>
      <c r="Y44" s="272"/>
      <c r="Z44" s="2"/>
      <c r="AA44" s="2"/>
      <c r="AB44" s="2"/>
    </row>
    <row r="45" spans="1:28" s="161" customFormat="1" ht="14.1" customHeight="1" x14ac:dyDescent="0.3">
      <c r="A45" s="102" t="s">
        <v>44</v>
      </c>
      <c r="B45" s="189" t="s">
        <v>121</v>
      </c>
      <c r="C45" s="190"/>
      <c r="D45" s="190">
        <v>7139261</v>
      </c>
      <c r="E45" s="267">
        <v>43659</v>
      </c>
      <c r="F45" s="190" t="s">
        <v>87</v>
      </c>
      <c r="G45" s="154">
        <v>43659</v>
      </c>
      <c r="H45" s="58"/>
      <c r="I45" s="57"/>
      <c r="J45" s="60"/>
      <c r="K45" s="60"/>
      <c r="L45" s="60"/>
      <c r="M45" s="58"/>
      <c r="N45" s="60"/>
      <c r="O45" s="58"/>
      <c r="P45" s="192">
        <v>270</v>
      </c>
      <c r="Q45" s="57"/>
      <c r="R45" s="58"/>
      <c r="S45" s="57"/>
      <c r="T45" s="59"/>
      <c r="U45" s="298">
        <f t="shared" si="1"/>
        <v>270</v>
      </c>
      <c r="V45" s="189" t="s">
        <v>7</v>
      </c>
      <c r="W45" s="271" t="s">
        <v>44</v>
      </c>
      <c r="X45" s="2" t="s">
        <v>145</v>
      </c>
      <c r="Y45" s="272"/>
      <c r="Z45" s="2"/>
      <c r="AA45" s="2"/>
      <c r="AB45" s="2"/>
    </row>
    <row r="46" spans="1:28" s="161" customFormat="1" ht="14.1" customHeight="1" thickBot="1" x14ac:dyDescent="0.35">
      <c r="A46" s="102" t="s">
        <v>44</v>
      </c>
      <c r="B46" s="189" t="s">
        <v>193</v>
      </c>
      <c r="C46" s="190"/>
      <c r="D46" s="153">
        <v>5260104</v>
      </c>
      <c r="E46" s="162">
        <v>43977</v>
      </c>
      <c r="F46" s="153" t="s">
        <v>21</v>
      </c>
      <c r="G46" s="191">
        <v>43977</v>
      </c>
      <c r="H46" s="58"/>
      <c r="I46" s="57"/>
      <c r="J46" s="60"/>
      <c r="K46" s="60"/>
      <c r="L46" s="60"/>
      <c r="M46" s="58"/>
      <c r="N46" s="60"/>
      <c r="O46" s="58"/>
      <c r="P46" s="192"/>
      <c r="Q46" s="57"/>
      <c r="R46" s="58">
        <v>165</v>
      </c>
      <c r="S46" s="57"/>
      <c r="T46" s="59">
        <v>15.26</v>
      </c>
      <c r="U46" s="298">
        <f t="shared" si="1"/>
        <v>180.26</v>
      </c>
      <c r="V46" s="189" t="s">
        <v>36</v>
      </c>
      <c r="W46" s="271" t="s">
        <v>5</v>
      </c>
      <c r="X46" s="181" t="s">
        <v>368</v>
      </c>
      <c r="Y46" s="272"/>
      <c r="Z46" s="2"/>
      <c r="AA46" s="2"/>
      <c r="AB46" s="2"/>
    </row>
    <row r="47" spans="1:28" s="161" customFormat="1" ht="14.1" customHeight="1" thickBot="1" x14ac:dyDescent="0.35">
      <c r="A47" s="421" t="s">
        <v>93</v>
      </c>
      <c r="B47" s="422" t="s">
        <v>188</v>
      </c>
      <c r="C47" s="423"/>
      <c r="D47" s="423">
        <v>8050103</v>
      </c>
      <c r="E47" s="424">
        <v>44048</v>
      </c>
      <c r="F47" s="423" t="s">
        <v>21</v>
      </c>
      <c r="G47" s="425">
        <v>44048</v>
      </c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>
        <v>40.049999999999997</v>
      </c>
      <c r="S47" s="426"/>
      <c r="T47" s="427">
        <v>4.95</v>
      </c>
      <c r="U47" s="430">
        <f t="shared" si="1"/>
        <v>45</v>
      </c>
      <c r="V47" s="421" t="s">
        <v>64</v>
      </c>
      <c r="W47" s="428" t="s">
        <v>81</v>
      </c>
      <c r="X47" s="431" t="s">
        <v>79</v>
      </c>
      <c r="Y47" s="180"/>
      <c r="Z47" s="181"/>
      <c r="AA47" s="2"/>
      <c r="AB47" s="2"/>
    </row>
    <row r="48" spans="1:28" s="161" customFormat="1" ht="14.1" customHeight="1" x14ac:dyDescent="0.3">
      <c r="A48" s="98" t="s">
        <v>93</v>
      </c>
      <c r="B48" s="3" t="s">
        <v>276</v>
      </c>
      <c r="C48" s="4"/>
      <c r="D48" s="70">
        <v>8260292</v>
      </c>
      <c r="E48" s="136">
        <v>44069</v>
      </c>
      <c r="F48" s="48" t="s">
        <v>21</v>
      </c>
      <c r="G48" s="79">
        <v>44069</v>
      </c>
      <c r="H48" s="46"/>
      <c r="I48" s="28"/>
      <c r="J48" s="28"/>
      <c r="K48" s="28"/>
      <c r="L48" s="28"/>
      <c r="M48" s="46"/>
      <c r="N48" s="28"/>
      <c r="O48" s="46"/>
      <c r="P48" s="7"/>
      <c r="Q48" s="47"/>
      <c r="R48" s="46">
        <v>110</v>
      </c>
      <c r="S48" s="47"/>
      <c r="T48" s="32">
        <v>9.35</v>
      </c>
      <c r="U48" s="391">
        <f t="shared" si="1"/>
        <v>119.35</v>
      </c>
      <c r="V48" s="382" t="s">
        <v>36</v>
      </c>
      <c r="W48" s="2" t="s">
        <v>5</v>
      </c>
      <c r="X48" s="83" t="s">
        <v>319</v>
      </c>
      <c r="Y48" s="180"/>
      <c r="Z48" s="181"/>
      <c r="AA48" s="2"/>
      <c r="AB48" s="2"/>
    </row>
    <row r="49" spans="1:28" s="161" customFormat="1" ht="14.1" customHeight="1" x14ac:dyDescent="0.3">
      <c r="A49" s="98" t="s">
        <v>49</v>
      </c>
      <c r="B49" s="3" t="s">
        <v>206</v>
      </c>
      <c r="C49" s="4"/>
      <c r="D49" s="70">
        <v>8210104</v>
      </c>
      <c r="E49" s="136">
        <v>44064</v>
      </c>
      <c r="F49" s="48" t="s">
        <v>21</v>
      </c>
      <c r="G49" s="79">
        <v>44064</v>
      </c>
      <c r="H49" s="46"/>
      <c r="I49" s="28"/>
      <c r="J49" s="28"/>
      <c r="K49" s="28"/>
      <c r="L49" s="28"/>
      <c r="M49" s="46"/>
      <c r="N49" s="28"/>
      <c r="O49" s="46"/>
      <c r="P49" s="7"/>
      <c r="Q49" s="47"/>
      <c r="R49" s="46">
        <v>286</v>
      </c>
      <c r="S49" s="47"/>
      <c r="T49" s="32">
        <v>23.6</v>
      </c>
      <c r="U49" s="391">
        <f t="shared" si="1"/>
        <v>309.60000000000002</v>
      </c>
      <c r="V49" s="382" t="s">
        <v>36</v>
      </c>
      <c r="W49" s="2" t="s">
        <v>5</v>
      </c>
      <c r="X49" s="83" t="s">
        <v>320</v>
      </c>
      <c r="Y49" s="180"/>
      <c r="Z49" s="181"/>
      <c r="AA49" s="2"/>
      <c r="AB49" s="2"/>
    </row>
    <row r="50" spans="1:28" s="161" customFormat="1" ht="14.1" customHeight="1" thickBot="1" x14ac:dyDescent="0.35">
      <c r="A50" s="102" t="s">
        <v>93</v>
      </c>
      <c r="B50" s="189" t="s">
        <v>91</v>
      </c>
      <c r="C50" s="190"/>
      <c r="D50" s="104">
        <v>6010294</v>
      </c>
      <c r="E50" s="141">
        <v>43983</v>
      </c>
      <c r="F50" s="43" t="s">
        <v>21</v>
      </c>
      <c r="G50" s="191">
        <v>43983</v>
      </c>
      <c r="H50" s="58"/>
      <c r="I50" s="60"/>
      <c r="J50" s="60"/>
      <c r="K50" s="60"/>
      <c r="L50" s="60"/>
      <c r="M50" s="58"/>
      <c r="N50" s="60"/>
      <c r="O50" s="58"/>
      <c r="P50" s="192"/>
      <c r="Q50" s="57"/>
      <c r="R50" s="58">
        <v>58</v>
      </c>
      <c r="S50" s="57"/>
      <c r="T50" s="59">
        <v>4.8600000000000003</v>
      </c>
      <c r="U50" s="298">
        <f t="shared" si="1"/>
        <v>62.86</v>
      </c>
      <c r="V50" s="150" t="s">
        <v>36</v>
      </c>
      <c r="W50" s="67" t="s">
        <v>5</v>
      </c>
      <c r="X50" s="83" t="s">
        <v>228</v>
      </c>
      <c r="Y50" s="272"/>
      <c r="Z50" s="2"/>
      <c r="AA50" s="2"/>
      <c r="AB50" s="2"/>
    </row>
    <row r="51" spans="1:28" s="161" customFormat="1" ht="14.1" customHeight="1" thickBot="1" x14ac:dyDescent="0.35">
      <c r="A51" s="182" t="s">
        <v>6</v>
      </c>
      <c r="B51" s="183" t="s">
        <v>226</v>
      </c>
      <c r="C51" s="184"/>
      <c r="D51" s="184">
        <v>8190051</v>
      </c>
      <c r="E51" s="185">
        <v>44062</v>
      </c>
      <c r="F51" s="184" t="s">
        <v>242</v>
      </c>
      <c r="G51" s="186">
        <v>44062</v>
      </c>
      <c r="H51" s="68"/>
      <c r="I51" s="68"/>
      <c r="J51" s="68"/>
      <c r="K51" s="68">
        <v>79</v>
      </c>
      <c r="L51" s="68"/>
      <c r="M51" s="68"/>
      <c r="N51" s="68"/>
      <c r="O51" s="68"/>
      <c r="P51" s="68"/>
      <c r="Q51" s="68"/>
      <c r="R51" s="68"/>
      <c r="S51" s="68"/>
      <c r="T51" s="187"/>
      <c r="U51" s="392">
        <f t="shared" si="1"/>
        <v>79</v>
      </c>
      <c r="V51" s="182" t="s">
        <v>29</v>
      </c>
      <c r="W51" s="45" t="s">
        <v>6</v>
      </c>
      <c r="X51" s="114" t="s">
        <v>18</v>
      </c>
      <c r="Y51" s="180"/>
      <c r="Z51" s="181"/>
      <c r="AA51" s="2"/>
      <c r="AB51" s="2"/>
    </row>
    <row r="52" spans="1:28" s="161" customFormat="1" ht="14.1" customHeight="1" x14ac:dyDescent="0.3">
      <c r="A52" s="102" t="s">
        <v>48</v>
      </c>
      <c r="B52" s="189" t="s">
        <v>195</v>
      </c>
      <c r="C52" s="190"/>
      <c r="D52" s="104">
        <v>6010251</v>
      </c>
      <c r="E52" s="141">
        <v>43983</v>
      </c>
      <c r="F52" s="43" t="s">
        <v>196</v>
      </c>
      <c r="G52" s="191">
        <v>43983</v>
      </c>
      <c r="H52" s="58"/>
      <c r="I52" s="60"/>
      <c r="J52" s="60"/>
      <c r="K52" s="60"/>
      <c r="L52" s="58"/>
      <c r="M52" s="58"/>
      <c r="N52" s="58"/>
      <c r="O52" s="58"/>
      <c r="P52" s="192">
        <v>45</v>
      </c>
      <c r="Q52" s="57"/>
      <c r="R52" s="155"/>
      <c r="S52" s="57"/>
      <c r="T52" s="59"/>
      <c r="U52" s="298">
        <f t="shared" si="1"/>
        <v>45</v>
      </c>
      <c r="V52" s="150" t="s">
        <v>29</v>
      </c>
      <c r="W52" s="67" t="s">
        <v>48</v>
      </c>
      <c r="X52" s="83" t="s">
        <v>309</v>
      </c>
      <c r="Y52" s="272"/>
      <c r="Z52" s="2"/>
      <c r="AA52" s="2"/>
      <c r="AB52" s="2"/>
    </row>
    <row r="53" spans="1:28" s="161" customFormat="1" ht="14.1" customHeight="1" thickBot="1" x14ac:dyDescent="0.35">
      <c r="A53" s="101" t="s">
        <v>93</v>
      </c>
      <c r="B53" s="169" t="s">
        <v>105</v>
      </c>
      <c r="C53" s="170"/>
      <c r="D53" s="103">
        <v>6220291</v>
      </c>
      <c r="E53" s="142">
        <v>44004</v>
      </c>
      <c r="F53" s="99" t="s">
        <v>21</v>
      </c>
      <c r="G53" s="171">
        <v>44004</v>
      </c>
      <c r="H53" s="54"/>
      <c r="I53" s="56"/>
      <c r="J53" s="56"/>
      <c r="K53" s="56"/>
      <c r="L53" s="56"/>
      <c r="M53" s="54"/>
      <c r="N53" s="56"/>
      <c r="O53" s="54"/>
      <c r="P53" s="173"/>
      <c r="Q53" s="53"/>
      <c r="R53" s="54">
        <v>127</v>
      </c>
      <c r="S53" s="53">
        <v>24</v>
      </c>
      <c r="T53" s="55">
        <v>10.8</v>
      </c>
      <c r="U53" s="310">
        <f t="shared" si="1"/>
        <v>161.80000000000001</v>
      </c>
      <c r="V53" s="151" t="s">
        <v>36</v>
      </c>
      <c r="W53" s="172" t="s">
        <v>5</v>
      </c>
      <c r="X53" s="83" t="s">
        <v>297</v>
      </c>
      <c r="Y53" s="272"/>
      <c r="Z53" s="2"/>
      <c r="AA53" s="2"/>
      <c r="AB53" s="2"/>
    </row>
    <row r="54" spans="1:28" s="161" customFormat="1" ht="14.1" customHeight="1" thickBot="1" x14ac:dyDescent="0.35">
      <c r="A54" s="415" t="s">
        <v>6</v>
      </c>
      <c r="B54" s="416" t="s">
        <v>201</v>
      </c>
      <c r="C54" s="417"/>
      <c r="D54" s="438">
        <v>7010106</v>
      </c>
      <c r="E54" s="439">
        <v>44013</v>
      </c>
      <c r="F54" s="440" t="s">
        <v>21</v>
      </c>
      <c r="G54" s="418">
        <v>44013</v>
      </c>
      <c r="H54" s="443"/>
      <c r="I54" s="445"/>
      <c r="J54" s="445"/>
      <c r="K54" s="445"/>
      <c r="L54" s="445"/>
      <c r="M54" s="443"/>
      <c r="N54" s="445"/>
      <c r="O54" s="443"/>
      <c r="P54" s="419"/>
      <c r="Q54" s="447"/>
      <c r="R54" s="443">
        <v>55</v>
      </c>
      <c r="S54" s="447"/>
      <c r="T54" s="448">
        <v>4.54</v>
      </c>
      <c r="U54" s="450">
        <f t="shared" si="1"/>
        <v>59.54</v>
      </c>
      <c r="V54" s="416" t="s">
        <v>7</v>
      </c>
      <c r="W54" s="420" t="s">
        <v>6</v>
      </c>
      <c r="X54" s="114" t="s">
        <v>18</v>
      </c>
      <c r="Y54" s="180"/>
      <c r="Z54" s="2"/>
      <c r="AA54" s="2"/>
      <c r="AB54" s="2"/>
    </row>
    <row r="55" spans="1:28" s="161" customFormat="1" ht="14.1" customHeight="1" thickBot="1" x14ac:dyDescent="0.35">
      <c r="A55" s="100" t="s">
        <v>48</v>
      </c>
      <c r="B55" s="105" t="s">
        <v>138</v>
      </c>
      <c r="C55" s="140"/>
      <c r="D55" s="144">
        <v>7310251</v>
      </c>
      <c r="E55" s="143">
        <v>44043</v>
      </c>
      <c r="F55" s="44" t="s">
        <v>21</v>
      </c>
      <c r="G55" s="108">
        <v>44044</v>
      </c>
      <c r="H55" s="50"/>
      <c r="I55" s="52"/>
      <c r="J55" s="52"/>
      <c r="K55" s="52"/>
      <c r="L55" s="52"/>
      <c r="M55" s="50"/>
      <c r="N55" s="52"/>
      <c r="O55" s="50"/>
      <c r="P55" s="166"/>
      <c r="Q55" s="49"/>
      <c r="R55" s="50">
        <v>131</v>
      </c>
      <c r="S55" s="49"/>
      <c r="T55" s="51">
        <v>10.81</v>
      </c>
      <c r="U55" s="409">
        <f t="shared" ref="U55:U86" si="2">SUM(H55:T55)</f>
        <v>141.81</v>
      </c>
      <c r="V55" s="152" t="s">
        <v>39</v>
      </c>
      <c r="W55" s="66" t="s">
        <v>139</v>
      </c>
      <c r="X55" s="83" t="s">
        <v>18</v>
      </c>
      <c r="Y55" s="180"/>
      <c r="Z55" s="181"/>
      <c r="AA55" s="2"/>
      <c r="AB55" s="2"/>
    </row>
    <row r="56" spans="1:28" s="161" customFormat="1" ht="14.1" customHeight="1" thickBot="1" x14ac:dyDescent="0.35">
      <c r="A56" s="98" t="s">
        <v>5</v>
      </c>
      <c r="B56" s="3" t="s">
        <v>138</v>
      </c>
      <c r="C56" s="4"/>
      <c r="D56" s="70">
        <v>8280103</v>
      </c>
      <c r="E56" s="136">
        <v>44071</v>
      </c>
      <c r="F56" s="48" t="s">
        <v>21</v>
      </c>
      <c r="G56" s="79">
        <v>44071</v>
      </c>
      <c r="H56" s="46"/>
      <c r="I56" s="28"/>
      <c r="J56" s="28"/>
      <c r="K56" s="28"/>
      <c r="L56" s="28"/>
      <c r="M56" s="46"/>
      <c r="N56" s="28"/>
      <c r="O56" s="46"/>
      <c r="P56" s="7"/>
      <c r="Q56" s="47"/>
      <c r="R56" s="46">
        <v>223</v>
      </c>
      <c r="S56" s="47"/>
      <c r="T56" s="32">
        <v>18.399999999999999</v>
      </c>
      <c r="U56" s="391">
        <f t="shared" si="2"/>
        <v>241.4</v>
      </c>
      <c r="V56" s="382" t="s">
        <v>39</v>
      </c>
      <c r="W56" s="2" t="s">
        <v>277</v>
      </c>
      <c r="X56" s="188" t="s">
        <v>18</v>
      </c>
      <c r="Y56" s="180"/>
      <c r="Z56" s="181"/>
      <c r="AA56" s="2"/>
      <c r="AB56" s="2"/>
    </row>
    <row r="57" spans="1:28" s="161" customFormat="1" ht="14.1" customHeight="1" x14ac:dyDescent="0.3">
      <c r="A57" s="100" t="s">
        <v>5</v>
      </c>
      <c r="B57" s="105" t="s">
        <v>244</v>
      </c>
      <c r="C57" s="140"/>
      <c r="D57" s="144">
        <v>7310105</v>
      </c>
      <c r="E57" s="143">
        <v>44043</v>
      </c>
      <c r="F57" s="44" t="s">
        <v>224</v>
      </c>
      <c r="G57" s="108">
        <v>44043</v>
      </c>
      <c r="H57" s="50"/>
      <c r="I57" s="52"/>
      <c r="J57" s="52"/>
      <c r="K57" s="52"/>
      <c r="L57" s="52"/>
      <c r="M57" s="50"/>
      <c r="N57" s="52"/>
      <c r="O57" s="50"/>
      <c r="P57" s="166"/>
      <c r="Q57" s="49"/>
      <c r="R57" s="50">
        <v>-62.17</v>
      </c>
      <c r="S57" s="49"/>
      <c r="T57" s="51"/>
      <c r="U57" s="409">
        <f t="shared" si="2"/>
        <v>-62.17</v>
      </c>
      <c r="V57" s="152" t="s">
        <v>235</v>
      </c>
      <c r="W57" s="66" t="s">
        <v>93</v>
      </c>
      <c r="X57" s="83" t="s">
        <v>18</v>
      </c>
      <c r="Y57" s="180"/>
      <c r="Z57" s="2"/>
      <c r="AA57" s="2"/>
      <c r="AB57" s="2"/>
    </row>
    <row r="58" spans="1:28" s="161" customFormat="1" ht="14.1" customHeight="1" thickBot="1" x14ac:dyDescent="0.35">
      <c r="A58" s="100" t="s">
        <v>5</v>
      </c>
      <c r="B58" s="105" t="s">
        <v>229</v>
      </c>
      <c r="C58" s="140"/>
      <c r="D58" s="144">
        <v>8110105</v>
      </c>
      <c r="E58" s="143">
        <v>44054</v>
      </c>
      <c r="F58" s="44" t="s">
        <v>21</v>
      </c>
      <c r="G58" s="108">
        <v>44054</v>
      </c>
      <c r="H58" s="50"/>
      <c r="I58" s="52"/>
      <c r="J58" s="52"/>
      <c r="K58" s="52"/>
      <c r="L58" s="52"/>
      <c r="M58" s="50"/>
      <c r="N58" s="52"/>
      <c r="O58" s="50"/>
      <c r="P58" s="166"/>
      <c r="Q58" s="49"/>
      <c r="R58" s="50">
        <v>125.5</v>
      </c>
      <c r="S58" s="49"/>
      <c r="T58" s="51">
        <v>11.61</v>
      </c>
      <c r="U58" s="409">
        <f t="shared" si="2"/>
        <v>137.11000000000001</v>
      </c>
      <c r="V58" s="152" t="s">
        <v>36</v>
      </c>
      <c r="W58" s="66" t="s">
        <v>5</v>
      </c>
      <c r="X58" s="83" t="s">
        <v>18</v>
      </c>
      <c r="Y58" s="180"/>
      <c r="Z58" s="181"/>
      <c r="AA58" s="2"/>
      <c r="AB58" s="2"/>
    </row>
    <row r="59" spans="1:28" s="161" customFormat="1" ht="14.1" customHeight="1" thickBot="1" x14ac:dyDescent="0.35">
      <c r="A59" s="182" t="s">
        <v>93</v>
      </c>
      <c r="B59" s="183" t="s">
        <v>124</v>
      </c>
      <c r="C59" s="184"/>
      <c r="D59" s="184">
        <v>8280292</v>
      </c>
      <c r="E59" s="185">
        <v>44071</v>
      </c>
      <c r="F59" s="184" t="s">
        <v>21</v>
      </c>
      <c r="G59" s="186">
        <v>44071</v>
      </c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>
        <v>202</v>
      </c>
      <c r="S59" s="68"/>
      <c r="T59" s="187">
        <v>17.68</v>
      </c>
      <c r="U59" s="393">
        <f t="shared" si="2"/>
        <v>219.68</v>
      </c>
      <c r="V59" s="182" t="s">
        <v>7</v>
      </c>
      <c r="W59" s="45" t="s">
        <v>6</v>
      </c>
      <c r="X59" s="45" t="s">
        <v>18</v>
      </c>
      <c r="Y59" s="334"/>
      <c r="Z59" s="181"/>
      <c r="AA59" s="2"/>
      <c r="AB59" s="2"/>
    </row>
    <row r="60" spans="1:28" s="161" customFormat="1" ht="14.1" customHeight="1" x14ac:dyDescent="0.3">
      <c r="A60" s="98" t="s">
        <v>5</v>
      </c>
      <c r="B60" s="3" t="s">
        <v>261</v>
      </c>
      <c r="C60" s="4"/>
      <c r="D60" s="70">
        <v>8310101</v>
      </c>
      <c r="E60" s="136">
        <v>44074</v>
      </c>
      <c r="F60" s="48" t="s">
        <v>21</v>
      </c>
      <c r="G60" s="79">
        <v>44074</v>
      </c>
      <c r="H60" s="46"/>
      <c r="I60" s="28"/>
      <c r="J60" s="28"/>
      <c r="K60" s="28"/>
      <c r="L60" s="28"/>
      <c r="M60" s="46"/>
      <c r="N60" s="28"/>
      <c r="O60" s="46"/>
      <c r="P60" s="7"/>
      <c r="Q60" s="47"/>
      <c r="R60" s="46">
        <v>42</v>
      </c>
      <c r="S60" s="47"/>
      <c r="T60" s="32">
        <v>3.78</v>
      </c>
      <c r="U60" s="71">
        <f t="shared" si="2"/>
        <v>45.78</v>
      </c>
      <c r="V60" s="82" t="s">
        <v>36</v>
      </c>
      <c r="W60" s="2" t="s">
        <v>80</v>
      </c>
      <c r="X60" s="83" t="s">
        <v>18</v>
      </c>
      <c r="Y60" s="180"/>
      <c r="Z60" s="181"/>
      <c r="AA60" s="2"/>
      <c r="AB60" s="2"/>
    </row>
    <row r="61" spans="1:28" s="161" customFormat="1" ht="14.1" customHeight="1" x14ac:dyDescent="0.3">
      <c r="A61" s="100" t="s">
        <v>8</v>
      </c>
      <c r="B61" s="105" t="s">
        <v>227</v>
      </c>
      <c r="C61" s="140"/>
      <c r="D61" s="144">
        <v>8100053</v>
      </c>
      <c r="E61" s="143">
        <v>44053</v>
      </c>
      <c r="F61" s="44" t="s">
        <v>51</v>
      </c>
      <c r="G61" s="108">
        <v>44053</v>
      </c>
      <c r="H61" s="50"/>
      <c r="I61" s="52"/>
      <c r="J61" s="52"/>
      <c r="K61" s="52"/>
      <c r="L61" s="52"/>
      <c r="M61" s="50">
        <v>500</v>
      </c>
      <c r="N61" s="52"/>
      <c r="O61" s="50"/>
      <c r="P61" s="166"/>
      <c r="Q61" s="49"/>
      <c r="R61" s="50"/>
      <c r="S61" s="49"/>
      <c r="T61" s="51"/>
      <c r="U61" s="139">
        <f t="shared" si="2"/>
        <v>500</v>
      </c>
      <c r="V61" s="112" t="s">
        <v>29</v>
      </c>
      <c r="W61" s="66" t="s">
        <v>8</v>
      </c>
      <c r="X61" s="83" t="s">
        <v>18</v>
      </c>
      <c r="Y61" s="180"/>
      <c r="Z61" s="181"/>
      <c r="AA61" s="2"/>
      <c r="AB61" s="2"/>
    </row>
    <row r="62" spans="1:28" s="161" customFormat="1" ht="13.5" customHeight="1" x14ac:dyDescent="0.3">
      <c r="A62" s="102" t="s">
        <v>49</v>
      </c>
      <c r="B62" s="189" t="s">
        <v>125</v>
      </c>
      <c r="C62" s="190"/>
      <c r="D62" s="104">
        <v>1100106</v>
      </c>
      <c r="E62" s="141">
        <v>43840</v>
      </c>
      <c r="F62" s="43" t="s">
        <v>21</v>
      </c>
      <c r="G62" s="154">
        <v>43840</v>
      </c>
      <c r="H62" s="58"/>
      <c r="I62" s="60"/>
      <c r="J62" s="60"/>
      <c r="K62" s="60"/>
      <c r="L62" s="60"/>
      <c r="M62" s="58"/>
      <c r="N62" s="60"/>
      <c r="O62" s="58"/>
      <c r="P62" s="192"/>
      <c r="Q62" s="57"/>
      <c r="R62" s="58">
        <v>282</v>
      </c>
      <c r="S62" s="57"/>
      <c r="T62" s="59">
        <v>23.97</v>
      </c>
      <c r="U62" s="138">
        <f t="shared" si="2"/>
        <v>305.97000000000003</v>
      </c>
      <c r="V62" s="113" t="s">
        <v>36</v>
      </c>
      <c r="W62" s="158" t="s">
        <v>80</v>
      </c>
      <c r="X62" s="83" t="s">
        <v>311</v>
      </c>
      <c r="Y62" s="272"/>
      <c r="Z62" s="2"/>
      <c r="AA62" s="2"/>
      <c r="AB62" s="2"/>
    </row>
    <row r="63" spans="1:28" s="161" customFormat="1" ht="14.1" customHeight="1" x14ac:dyDescent="0.3">
      <c r="A63" s="102" t="s">
        <v>35</v>
      </c>
      <c r="B63" s="189" t="s">
        <v>125</v>
      </c>
      <c r="C63" s="190"/>
      <c r="D63" s="104">
        <v>1150056</v>
      </c>
      <c r="E63" s="141">
        <v>43845</v>
      </c>
      <c r="F63" s="43" t="s">
        <v>108</v>
      </c>
      <c r="G63" s="154">
        <v>43845</v>
      </c>
      <c r="H63" s="58"/>
      <c r="I63" s="60"/>
      <c r="J63" s="60"/>
      <c r="K63" s="60">
        <v>58.5</v>
      </c>
      <c r="L63" s="60"/>
      <c r="M63" s="58"/>
      <c r="N63" s="60"/>
      <c r="O63" s="58"/>
      <c r="P63" s="192"/>
      <c r="Q63" s="57"/>
      <c r="R63" s="58"/>
      <c r="S63" s="57"/>
      <c r="T63" s="59"/>
      <c r="U63" s="138">
        <f t="shared" si="2"/>
        <v>58.5</v>
      </c>
      <c r="V63" s="113" t="s">
        <v>29</v>
      </c>
      <c r="W63" s="158" t="s">
        <v>35</v>
      </c>
      <c r="X63" s="83" t="s">
        <v>311</v>
      </c>
      <c r="Y63" s="272"/>
      <c r="Z63" s="2"/>
      <c r="AA63" s="2"/>
      <c r="AB63" s="2"/>
    </row>
    <row r="64" spans="1:28" s="161" customFormat="1" ht="14.1" customHeight="1" x14ac:dyDescent="0.3">
      <c r="A64" s="102" t="s">
        <v>49</v>
      </c>
      <c r="B64" s="189" t="s">
        <v>125</v>
      </c>
      <c r="C64" s="190"/>
      <c r="D64" s="104">
        <v>3030105</v>
      </c>
      <c r="E64" s="141">
        <v>43893</v>
      </c>
      <c r="F64" s="43" t="s">
        <v>21</v>
      </c>
      <c r="G64" s="191">
        <v>43893</v>
      </c>
      <c r="H64" s="58"/>
      <c r="I64" s="60"/>
      <c r="J64" s="60"/>
      <c r="K64" s="60"/>
      <c r="L64" s="60"/>
      <c r="M64" s="58"/>
      <c r="N64" s="60"/>
      <c r="O64" s="58"/>
      <c r="P64" s="192"/>
      <c r="Q64" s="57"/>
      <c r="R64" s="58">
        <v>210</v>
      </c>
      <c r="S64" s="57"/>
      <c r="T64" s="59">
        <v>17.850000000000001</v>
      </c>
      <c r="U64" s="138">
        <f t="shared" si="2"/>
        <v>227.85</v>
      </c>
      <c r="V64" s="113" t="s">
        <v>36</v>
      </c>
      <c r="W64" s="67" t="s">
        <v>80</v>
      </c>
      <c r="X64" s="83" t="s">
        <v>311</v>
      </c>
      <c r="Y64" s="272"/>
      <c r="Z64" s="2"/>
      <c r="AA64" s="2"/>
      <c r="AB64" s="2"/>
    </row>
    <row r="65" spans="1:28" s="161" customFormat="1" ht="13.5" customHeight="1" x14ac:dyDescent="0.3">
      <c r="A65" s="102" t="s">
        <v>35</v>
      </c>
      <c r="B65" s="189" t="s">
        <v>185</v>
      </c>
      <c r="C65" s="190"/>
      <c r="D65" s="104">
        <v>4290053</v>
      </c>
      <c r="E65" s="141">
        <v>43950</v>
      </c>
      <c r="F65" s="43" t="s">
        <v>186</v>
      </c>
      <c r="G65" s="191">
        <v>43950</v>
      </c>
      <c r="H65" s="58"/>
      <c r="I65" s="60"/>
      <c r="J65" s="60"/>
      <c r="K65" s="60">
        <v>58.5</v>
      </c>
      <c r="L65" s="60"/>
      <c r="M65" s="58"/>
      <c r="N65" s="60"/>
      <c r="O65" s="58"/>
      <c r="P65" s="192"/>
      <c r="Q65" s="57"/>
      <c r="R65" s="58"/>
      <c r="S65" s="57"/>
      <c r="T65" s="59"/>
      <c r="U65" s="138">
        <f t="shared" si="2"/>
        <v>58.5</v>
      </c>
      <c r="V65" s="113" t="s">
        <v>29</v>
      </c>
      <c r="W65" s="67" t="s">
        <v>35</v>
      </c>
      <c r="X65" s="83" t="s">
        <v>311</v>
      </c>
      <c r="Y65" s="272"/>
      <c r="Z65" s="2"/>
      <c r="AA65" s="2"/>
      <c r="AB65" s="2"/>
    </row>
    <row r="66" spans="1:28" s="161" customFormat="1" ht="13.5" customHeight="1" thickBot="1" x14ac:dyDescent="0.35">
      <c r="A66" s="98" t="s">
        <v>93</v>
      </c>
      <c r="B66" s="3" t="s">
        <v>247</v>
      </c>
      <c r="C66" s="4" t="s">
        <v>248</v>
      </c>
      <c r="D66" s="70">
        <v>8200292</v>
      </c>
      <c r="E66" s="136">
        <v>44063</v>
      </c>
      <c r="F66" s="48" t="s">
        <v>21</v>
      </c>
      <c r="G66" s="79">
        <v>44063</v>
      </c>
      <c r="H66" s="46"/>
      <c r="I66" s="28"/>
      <c r="J66" s="28"/>
      <c r="K66" s="28"/>
      <c r="L66" s="28"/>
      <c r="M66" s="46"/>
      <c r="N66" s="28"/>
      <c r="O66" s="46"/>
      <c r="P66" s="7"/>
      <c r="Q66" s="47"/>
      <c r="R66" s="46">
        <v>79</v>
      </c>
      <c r="S66" s="47">
        <v>18</v>
      </c>
      <c r="T66" s="32">
        <v>6.62</v>
      </c>
      <c r="U66" s="71">
        <f t="shared" si="2"/>
        <v>103.62</v>
      </c>
      <c r="V66" s="82" t="s">
        <v>36</v>
      </c>
      <c r="W66" s="2" t="s">
        <v>5</v>
      </c>
      <c r="X66" s="83" t="s">
        <v>18</v>
      </c>
      <c r="Y66" s="180"/>
      <c r="Z66" s="181"/>
      <c r="AA66" s="2"/>
      <c r="AB66" s="2"/>
    </row>
    <row r="67" spans="1:28" s="158" customFormat="1" ht="13.5" customHeight="1" thickBot="1" x14ac:dyDescent="0.35">
      <c r="A67" s="98" t="s">
        <v>93</v>
      </c>
      <c r="B67" s="3" t="s">
        <v>247</v>
      </c>
      <c r="C67" s="4" t="s">
        <v>248</v>
      </c>
      <c r="D67" s="70">
        <v>8240295</v>
      </c>
      <c r="E67" s="136">
        <v>44067</v>
      </c>
      <c r="F67" s="48" t="s">
        <v>21</v>
      </c>
      <c r="G67" s="79">
        <v>44067</v>
      </c>
      <c r="H67" s="46"/>
      <c r="I67" s="28"/>
      <c r="J67" s="28"/>
      <c r="K67" s="28"/>
      <c r="L67" s="28"/>
      <c r="M67" s="46"/>
      <c r="N67" s="28"/>
      <c r="O67" s="46"/>
      <c r="P67" s="7"/>
      <c r="Q67" s="47"/>
      <c r="R67" s="46">
        <v>50</v>
      </c>
      <c r="S67" s="47">
        <v>9</v>
      </c>
      <c r="T67" s="32">
        <v>4.1900000000000004</v>
      </c>
      <c r="U67" s="71">
        <f t="shared" si="2"/>
        <v>63.19</v>
      </c>
      <c r="V67" s="82" t="s">
        <v>7</v>
      </c>
      <c r="W67" s="2" t="s">
        <v>93</v>
      </c>
      <c r="X67" s="188" t="s">
        <v>18</v>
      </c>
      <c r="Y67" s="180"/>
      <c r="Z67" s="181"/>
      <c r="AA67" s="2"/>
      <c r="AB67" s="2"/>
    </row>
    <row r="68" spans="1:28" s="161" customFormat="1" ht="13.5" customHeight="1" x14ac:dyDescent="0.3">
      <c r="A68" s="98" t="s">
        <v>5</v>
      </c>
      <c r="B68" s="3" t="s">
        <v>243</v>
      </c>
      <c r="C68" s="4"/>
      <c r="D68" s="70">
        <v>8190105</v>
      </c>
      <c r="E68" s="136">
        <v>44062</v>
      </c>
      <c r="F68" s="48" t="s">
        <v>21</v>
      </c>
      <c r="G68" s="79">
        <v>44062</v>
      </c>
      <c r="H68" s="46"/>
      <c r="I68" s="28"/>
      <c r="J68" s="28"/>
      <c r="K68" s="28"/>
      <c r="L68" s="28"/>
      <c r="M68" s="46"/>
      <c r="N68" s="28"/>
      <c r="O68" s="46"/>
      <c r="P68" s="7"/>
      <c r="Q68" s="47"/>
      <c r="R68" s="46">
        <v>114</v>
      </c>
      <c r="S68" s="47">
        <v>18</v>
      </c>
      <c r="T68" s="32">
        <v>8.84</v>
      </c>
      <c r="U68" s="71">
        <f t="shared" si="2"/>
        <v>140.84</v>
      </c>
      <c r="V68" s="82" t="s">
        <v>36</v>
      </c>
      <c r="W68" s="2" t="s">
        <v>5</v>
      </c>
      <c r="X68" s="83" t="s">
        <v>18</v>
      </c>
      <c r="Y68" s="180"/>
      <c r="Z68" s="181"/>
      <c r="AA68" s="2"/>
      <c r="AB68" s="2"/>
    </row>
    <row r="69" spans="1:28" s="161" customFormat="1" ht="14.1" customHeight="1" x14ac:dyDescent="0.3">
      <c r="A69" s="102" t="s">
        <v>44</v>
      </c>
      <c r="B69" s="189" t="s">
        <v>99</v>
      </c>
      <c r="C69" s="190" t="s">
        <v>100</v>
      </c>
      <c r="D69" s="104">
        <v>2139261</v>
      </c>
      <c r="E69" s="141">
        <v>43509</v>
      </c>
      <c r="F69" s="43" t="s">
        <v>45</v>
      </c>
      <c r="G69" s="154">
        <v>43509</v>
      </c>
      <c r="H69" s="58"/>
      <c r="I69" s="60"/>
      <c r="J69" s="60"/>
      <c r="K69" s="60"/>
      <c r="L69" s="60"/>
      <c r="M69" s="58"/>
      <c r="N69" s="60"/>
      <c r="O69" s="58"/>
      <c r="P69" s="192">
        <v>180</v>
      </c>
      <c r="Q69" s="57">
        <v>90</v>
      </c>
      <c r="R69" s="58"/>
      <c r="S69" s="57"/>
      <c r="T69" s="59"/>
      <c r="U69" s="138">
        <f t="shared" si="2"/>
        <v>270</v>
      </c>
      <c r="V69" s="113" t="s">
        <v>7</v>
      </c>
      <c r="W69" s="158" t="s">
        <v>74</v>
      </c>
      <c r="X69" s="83" t="s">
        <v>241</v>
      </c>
      <c r="Y69" s="272"/>
      <c r="Z69" s="2"/>
      <c r="AA69" s="2"/>
      <c r="AB69" s="2"/>
    </row>
    <row r="70" spans="1:28" s="161" customFormat="1" ht="14.1" customHeight="1" x14ac:dyDescent="0.3">
      <c r="A70" s="98" t="s">
        <v>44</v>
      </c>
      <c r="B70" s="3" t="s">
        <v>274</v>
      </c>
      <c r="C70" s="4" t="s">
        <v>275</v>
      </c>
      <c r="D70" s="70">
        <v>8260293</v>
      </c>
      <c r="E70" s="136">
        <v>44069</v>
      </c>
      <c r="F70" s="48" t="s">
        <v>21</v>
      </c>
      <c r="G70" s="79">
        <v>44069</v>
      </c>
      <c r="H70" s="46"/>
      <c r="I70" s="28"/>
      <c r="J70" s="28"/>
      <c r="K70" s="28"/>
      <c r="L70" s="28"/>
      <c r="M70" s="46"/>
      <c r="N70" s="28"/>
      <c r="O70" s="46"/>
      <c r="P70" s="7"/>
      <c r="Q70" s="47"/>
      <c r="R70" s="46">
        <v>49.95</v>
      </c>
      <c r="S70" s="47"/>
      <c r="T70" s="32">
        <v>4.62</v>
      </c>
      <c r="U70" s="71">
        <f t="shared" si="2"/>
        <v>54.57</v>
      </c>
      <c r="V70" s="82" t="s">
        <v>36</v>
      </c>
      <c r="W70" s="2" t="s">
        <v>93</v>
      </c>
      <c r="X70" s="83" t="s">
        <v>321</v>
      </c>
      <c r="Y70" s="180"/>
      <c r="Z70" s="181"/>
      <c r="AA70" s="2"/>
      <c r="AB70" s="2"/>
    </row>
    <row r="71" spans="1:28" s="161" customFormat="1" ht="14.1" customHeight="1" x14ac:dyDescent="0.3">
      <c r="A71" s="98" t="s">
        <v>44</v>
      </c>
      <c r="B71" s="3" t="s">
        <v>280</v>
      </c>
      <c r="C71" s="4" t="s">
        <v>245</v>
      </c>
      <c r="D71" s="70">
        <v>8280297</v>
      </c>
      <c r="E71" s="136">
        <v>44071</v>
      </c>
      <c r="F71" s="48" t="s">
        <v>45</v>
      </c>
      <c r="G71" s="79">
        <v>44071</v>
      </c>
      <c r="H71" s="46"/>
      <c r="I71" s="28"/>
      <c r="J71" s="28"/>
      <c r="K71" s="28"/>
      <c r="L71" s="28"/>
      <c r="M71" s="46"/>
      <c r="N71" s="28"/>
      <c r="O71" s="46"/>
      <c r="P71" s="7">
        <v>180</v>
      </c>
      <c r="Q71" s="47">
        <v>90</v>
      </c>
      <c r="R71" s="46"/>
      <c r="S71" s="47"/>
      <c r="T71" s="32"/>
      <c r="U71" s="71">
        <f t="shared" si="2"/>
        <v>270</v>
      </c>
      <c r="V71" s="82" t="s">
        <v>7</v>
      </c>
      <c r="W71" s="2" t="s">
        <v>44</v>
      </c>
      <c r="X71" s="83" t="s">
        <v>298</v>
      </c>
      <c r="Y71" s="180"/>
      <c r="Z71" s="181"/>
      <c r="AA71" s="2"/>
      <c r="AB71" s="2"/>
    </row>
    <row r="72" spans="1:28" s="161" customFormat="1" ht="14.1" customHeight="1" x14ac:dyDescent="0.3">
      <c r="A72" s="102" t="s">
        <v>49</v>
      </c>
      <c r="B72" s="150" t="s">
        <v>165</v>
      </c>
      <c r="C72" s="153"/>
      <c r="D72" s="104">
        <v>12279101</v>
      </c>
      <c r="E72" s="141">
        <v>43826</v>
      </c>
      <c r="F72" s="43" t="s">
        <v>166</v>
      </c>
      <c r="G72" s="154">
        <v>43826</v>
      </c>
      <c r="H72" s="58"/>
      <c r="I72" s="60"/>
      <c r="J72" s="60"/>
      <c r="K72" s="60"/>
      <c r="L72" s="60"/>
      <c r="M72" s="58"/>
      <c r="N72" s="60"/>
      <c r="O72" s="58">
        <v>60</v>
      </c>
      <c r="P72" s="155"/>
      <c r="Q72" s="57">
        <v>8</v>
      </c>
      <c r="R72" s="58"/>
      <c r="S72" s="57"/>
      <c r="T72" s="59">
        <v>5.25</v>
      </c>
      <c r="U72" s="138">
        <f t="shared" si="2"/>
        <v>73.25</v>
      </c>
      <c r="V72" s="113" t="s">
        <v>36</v>
      </c>
      <c r="W72" s="158" t="s">
        <v>5</v>
      </c>
      <c r="X72" s="83" t="s">
        <v>167</v>
      </c>
      <c r="Y72" s="272"/>
      <c r="Z72" s="2"/>
      <c r="AA72" s="2"/>
      <c r="AB72" s="2"/>
    </row>
    <row r="73" spans="1:28" ht="13.5" customHeight="1" x14ac:dyDescent="0.3">
      <c r="A73" s="382" t="s">
        <v>48</v>
      </c>
      <c r="B73" s="3" t="s">
        <v>282</v>
      </c>
      <c r="C73" s="4"/>
      <c r="D73" s="48">
        <v>8310252</v>
      </c>
      <c r="E73" s="136">
        <v>44074</v>
      </c>
      <c r="F73" s="48" t="s">
        <v>196</v>
      </c>
      <c r="G73" s="218">
        <v>44074</v>
      </c>
      <c r="H73" s="46"/>
      <c r="I73" s="46"/>
      <c r="J73" s="46"/>
      <c r="K73" s="46"/>
      <c r="L73" s="46"/>
      <c r="M73" s="46"/>
      <c r="N73" s="46"/>
      <c r="O73" s="46"/>
      <c r="P73" s="7">
        <v>90</v>
      </c>
      <c r="Q73" s="387"/>
      <c r="R73" s="46"/>
      <c r="S73" s="387"/>
      <c r="T73" s="389"/>
      <c r="U73" s="71">
        <f t="shared" si="2"/>
        <v>90</v>
      </c>
      <c r="V73" s="82" t="s">
        <v>29</v>
      </c>
      <c r="W73" s="2" t="s">
        <v>48</v>
      </c>
      <c r="X73" s="83" t="s">
        <v>18</v>
      </c>
      <c r="Y73" s="180"/>
      <c r="Z73" s="181"/>
      <c r="AA73" s="2"/>
      <c r="AB73" s="2"/>
    </row>
    <row r="74" spans="1:28" s="161" customFormat="1" ht="14.1" customHeight="1" x14ac:dyDescent="0.3">
      <c r="A74" s="98" t="s">
        <v>44</v>
      </c>
      <c r="B74" s="3" t="s">
        <v>202</v>
      </c>
      <c r="C74" s="383"/>
      <c r="D74" s="70">
        <v>8280261</v>
      </c>
      <c r="E74" s="136">
        <v>44071</v>
      </c>
      <c r="F74" s="48" t="s">
        <v>45</v>
      </c>
      <c r="G74" s="79">
        <v>44071</v>
      </c>
      <c r="H74" s="28"/>
      <c r="I74" s="28"/>
      <c r="J74" s="28"/>
      <c r="K74" s="28"/>
      <c r="L74" s="28"/>
      <c r="M74" s="28"/>
      <c r="N74" s="28"/>
      <c r="O74" s="46"/>
      <c r="P74" s="7">
        <v>180</v>
      </c>
      <c r="Q74" s="47">
        <v>90</v>
      </c>
      <c r="R74" s="46"/>
      <c r="S74" s="47"/>
      <c r="T74" s="32"/>
      <c r="U74" s="71">
        <f t="shared" si="2"/>
        <v>270</v>
      </c>
      <c r="V74" s="82" t="s">
        <v>7</v>
      </c>
      <c r="W74" s="2" t="s">
        <v>44</v>
      </c>
      <c r="X74" s="83" t="s">
        <v>18</v>
      </c>
      <c r="Y74" s="180"/>
      <c r="Z74" s="181"/>
      <c r="AA74" s="2"/>
      <c r="AB74" s="2"/>
    </row>
    <row r="75" spans="1:28" s="161" customFormat="1" ht="13.5" customHeight="1" thickBot="1" x14ac:dyDescent="0.35">
      <c r="A75" s="98" t="s">
        <v>6</v>
      </c>
      <c r="B75" s="3" t="s">
        <v>252</v>
      </c>
      <c r="C75" s="4"/>
      <c r="D75" s="70">
        <v>8240051</v>
      </c>
      <c r="E75" s="136">
        <v>44067</v>
      </c>
      <c r="F75" s="48" t="s">
        <v>51</v>
      </c>
      <c r="G75" s="79">
        <v>44067</v>
      </c>
      <c r="H75" s="46"/>
      <c r="I75" s="28"/>
      <c r="J75" s="28"/>
      <c r="K75" s="28"/>
      <c r="L75" s="28"/>
      <c r="M75" s="46">
        <v>750</v>
      </c>
      <c r="N75" s="28"/>
      <c r="O75" s="46"/>
      <c r="P75" s="7"/>
      <c r="Q75" s="47"/>
      <c r="R75" s="46"/>
      <c r="S75" s="47"/>
      <c r="T75" s="32"/>
      <c r="U75" s="71">
        <f t="shared" si="2"/>
        <v>750</v>
      </c>
      <c r="V75" s="82" t="s">
        <v>29</v>
      </c>
      <c r="W75" s="2" t="s">
        <v>32</v>
      </c>
      <c r="X75" s="83" t="s">
        <v>18</v>
      </c>
      <c r="Y75" s="180"/>
      <c r="Z75" s="181"/>
      <c r="AA75" s="2"/>
      <c r="AB75" s="2"/>
    </row>
    <row r="76" spans="1:28" s="161" customFormat="1" ht="13.5" customHeight="1" thickBot="1" x14ac:dyDescent="0.35">
      <c r="A76" s="182" t="s">
        <v>32</v>
      </c>
      <c r="B76" s="183" t="s">
        <v>252</v>
      </c>
      <c r="C76" s="184"/>
      <c r="D76" s="184">
        <v>8270061</v>
      </c>
      <c r="E76" s="185">
        <v>44070</v>
      </c>
      <c r="F76" s="184" t="s">
        <v>45</v>
      </c>
      <c r="G76" s="186">
        <v>44070</v>
      </c>
      <c r="H76" s="68"/>
      <c r="I76" s="68"/>
      <c r="J76" s="68"/>
      <c r="K76" s="68"/>
      <c r="L76" s="68"/>
      <c r="M76" s="68"/>
      <c r="N76" s="68"/>
      <c r="O76" s="68"/>
      <c r="P76" s="68"/>
      <c r="Q76" s="68">
        <v>90</v>
      </c>
      <c r="R76" s="68"/>
      <c r="S76" s="68"/>
      <c r="T76" s="187"/>
      <c r="U76" s="393">
        <f t="shared" si="2"/>
        <v>90</v>
      </c>
      <c r="V76" s="182" t="s">
        <v>7</v>
      </c>
      <c r="W76" s="45" t="s">
        <v>32</v>
      </c>
      <c r="X76" s="45" t="s">
        <v>18</v>
      </c>
      <c r="Y76" s="334"/>
      <c r="Z76" s="181"/>
      <c r="AA76" s="2"/>
      <c r="AB76" s="2"/>
    </row>
    <row r="77" spans="1:28" s="161" customFormat="1" ht="13.5" customHeight="1" x14ac:dyDescent="0.3">
      <c r="A77" s="102" t="s">
        <v>14</v>
      </c>
      <c r="B77" s="189" t="s">
        <v>208</v>
      </c>
      <c r="C77" s="190"/>
      <c r="D77" s="104">
        <v>6060051</v>
      </c>
      <c r="E77" s="141">
        <v>43988</v>
      </c>
      <c r="F77" s="43" t="s">
        <v>51</v>
      </c>
      <c r="G77" s="191">
        <v>43988</v>
      </c>
      <c r="H77" s="58"/>
      <c r="I77" s="60"/>
      <c r="J77" s="60"/>
      <c r="K77" s="60"/>
      <c r="L77" s="60"/>
      <c r="M77" s="58">
        <v>850</v>
      </c>
      <c r="N77" s="60"/>
      <c r="O77" s="58"/>
      <c r="P77" s="192"/>
      <c r="Q77" s="57"/>
      <c r="R77" s="58"/>
      <c r="S77" s="57"/>
      <c r="T77" s="59"/>
      <c r="U77" s="138">
        <f t="shared" si="2"/>
        <v>850</v>
      </c>
      <c r="V77" s="113" t="s">
        <v>29</v>
      </c>
      <c r="W77" s="67" t="s">
        <v>14</v>
      </c>
      <c r="X77" s="372" t="s">
        <v>380</v>
      </c>
      <c r="Y77" s="228"/>
      <c r="Z77" s="371"/>
      <c r="AA77" s="371"/>
      <c r="AB77" s="371"/>
    </row>
    <row r="78" spans="1:28" s="161" customFormat="1" ht="14.1" customHeight="1" thickBot="1" x14ac:dyDescent="0.35">
      <c r="A78" s="100" t="s">
        <v>5</v>
      </c>
      <c r="B78" s="105" t="s">
        <v>230</v>
      </c>
      <c r="C78" s="140"/>
      <c r="D78" s="144">
        <v>8130105</v>
      </c>
      <c r="E78" s="143">
        <v>44056</v>
      </c>
      <c r="F78" s="44" t="s">
        <v>21</v>
      </c>
      <c r="G78" s="108">
        <v>44056</v>
      </c>
      <c r="H78" s="50"/>
      <c r="I78" s="52"/>
      <c r="J78" s="52"/>
      <c r="K78" s="52"/>
      <c r="L78" s="52"/>
      <c r="M78" s="50"/>
      <c r="N78" s="52"/>
      <c r="O78" s="50"/>
      <c r="P78" s="166"/>
      <c r="Q78" s="49"/>
      <c r="R78" s="50">
        <v>54</v>
      </c>
      <c r="S78" s="49">
        <v>9</v>
      </c>
      <c r="T78" s="51">
        <v>4.8600000000000003</v>
      </c>
      <c r="U78" s="139">
        <f t="shared" si="2"/>
        <v>67.86</v>
      </c>
      <c r="V78" s="112" t="s">
        <v>36</v>
      </c>
      <c r="W78" s="66" t="s">
        <v>5</v>
      </c>
      <c r="X78" s="83" t="s">
        <v>18</v>
      </c>
      <c r="Y78" s="180"/>
      <c r="Z78" s="181"/>
      <c r="AA78" s="2"/>
      <c r="AB78" s="2"/>
    </row>
    <row r="79" spans="1:28" s="161" customFormat="1" ht="14.1" customHeight="1" thickBot="1" x14ac:dyDescent="0.35">
      <c r="A79" s="102" t="s">
        <v>49</v>
      </c>
      <c r="B79" s="189" t="s">
        <v>152</v>
      </c>
      <c r="C79" s="190"/>
      <c r="D79" s="104">
        <v>10099105</v>
      </c>
      <c r="E79" s="141">
        <v>43747</v>
      </c>
      <c r="F79" s="43" t="s">
        <v>21</v>
      </c>
      <c r="G79" s="154">
        <v>43747</v>
      </c>
      <c r="H79" s="58"/>
      <c r="I79" s="60"/>
      <c r="J79" s="60"/>
      <c r="K79" s="60"/>
      <c r="L79" s="60"/>
      <c r="M79" s="58"/>
      <c r="N79" s="60"/>
      <c r="O79" s="58"/>
      <c r="P79" s="192"/>
      <c r="Q79" s="57"/>
      <c r="R79" s="58">
        <v>59</v>
      </c>
      <c r="S79" s="57"/>
      <c r="T79" s="59">
        <v>5.46</v>
      </c>
      <c r="U79" s="138">
        <f t="shared" si="2"/>
        <v>64.459999999999994</v>
      </c>
      <c r="V79" s="113" t="s">
        <v>36</v>
      </c>
      <c r="W79" s="158" t="s">
        <v>80</v>
      </c>
      <c r="X79" s="188" t="s">
        <v>153</v>
      </c>
      <c r="Y79" s="272"/>
      <c r="Z79" s="2"/>
      <c r="AA79" s="2"/>
      <c r="AB79" s="2"/>
    </row>
    <row r="80" spans="1:28" s="161" customFormat="1" ht="14.1" customHeight="1" x14ac:dyDescent="0.3">
      <c r="A80" s="102" t="s">
        <v>14</v>
      </c>
      <c r="B80" s="189" t="s">
        <v>123</v>
      </c>
      <c r="C80" s="190" t="s">
        <v>168</v>
      </c>
      <c r="D80" s="104">
        <v>1270041</v>
      </c>
      <c r="E80" s="141">
        <v>43857</v>
      </c>
      <c r="F80" s="43" t="s">
        <v>169</v>
      </c>
      <c r="G80" s="154">
        <v>43857</v>
      </c>
      <c r="H80" s="58"/>
      <c r="I80" s="60"/>
      <c r="J80" s="60"/>
      <c r="K80" s="60"/>
      <c r="L80" s="60"/>
      <c r="M80" s="58"/>
      <c r="N80" s="60"/>
      <c r="O80" s="58">
        <v>60</v>
      </c>
      <c r="P80" s="192"/>
      <c r="Q80" s="57">
        <v>12</v>
      </c>
      <c r="R80" s="58"/>
      <c r="S80" s="57"/>
      <c r="T80" s="59">
        <v>5.7</v>
      </c>
      <c r="U80" s="138">
        <f t="shared" si="2"/>
        <v>77.7</v>
      </c>
      <c r="V80" s="113" t="s">
        <v>43</v>
      </c>
      <c r="W80" s="158" t="s">
        <v>80</v>
      </c>
      <c r="X80" s="83" t="s">
        <v>358</v>
      </c>
      <c r="Y80" s="272"/>
      <c r="Z80" s="2"/>
      <c r="AA80" s="2"/>
      <c r="AB80" s="2"/>
    </row>
    <row r="81" spans="1:28" s="161" customFormat="1" ht="14.1" customHeight="1" x14ac:dyDescent="0.3">
      <c r="A81" s="102" t="s">
        <v>14</v>
      </c>
      <c r="B81" s="150" t="s">
        <v>123</v>
      </c>
      <c r="C81" s="153" t="s">
        <v>168</v>
      </c>
      <c r="D81" s="104">
        <v>1310041</v>
      </c>
      <c r="E81" s="141">
        <v>43861</v>
      </c>
      <c r="F81" s="43" t="s">
        <v>134</v>
      </c>
      <c r="G81" s="154">
        <v>43861</v>
      </c>
      <c r="H81" s="58"/>
      <c r="I81" s="60"/>
      <c r="J81" s="60"/>
      <c r="K81" s="60"/>
      <c r="L81" s="60"/>
      <c r="M81" s="58"/>
      <c r="N81" s="60"/>
      <c r="O81" s="58">
        <v>590</v>
      </c>
      <c r="P81" s="155"/>
      <c r="Q81" s="57">
        <v>24</v>
      </c>
      <c r="R81" s="58"/>
      <c r="S81" s="57"/>
      <c r="T81" s="59">
        <v>56.05</v>
      </c>
      <c r="U81" s="138">
        <f t="shared" si="2"/>
        <v>670.05</v>
      </c>
      <c r="V81" s="113" t="s">
        <v>36</v>
      </c>
      <c r="W81" s="158" t="s">
        <v>80</v>
      </c>
      <c r="X81" s="372" t="s">
        <v>358</v>
      </c>
      <c r="Y81" s="373"/>
      <c r="Z81" s="371"/>
      <c r="AA81" s="2"/>
      <c r="AB81" s="2"/>
    </row>
    <row r="82" spans="1:28" s="161" customFormat="1" ht="14.1" customHeight="1" x14ac:dyDescent="0.3">
      <c r="A82" s="102" t="s">
        <v>35</v>
      </c>
      <c r="B82" s="189" t="s">
        <v>172</v>
      </c>
      <c r="C82" s="190"/>
      <c r="D82" s="104">
        <v>2060402</v>
      </c>
      <c r="E82" s="141">
        <v>43867</v>
      </c>
      <c r="F82" s="43" t="s">
        <v>45</v>
      </c>
      <c r="G82" s="191">
        <v>43867</v>
      </c>
      <c r="H82" s="58"/>
      <c r="I82" s="60"/>
      <c r="J82" s="60"/>
      <c r="K82" s="60"/>
      <c r="L82" s="60"/>
      <c r="M82" s="58"/>
      <c r="N82" s="60"/>
      <c r="O82" s="58"/>
      <c r="P82" s="192">
        <v>180</v>
      </c>
      <c r="Q82" s="57">
        <v>90</v>
      </c>
      <c r="R82" s="58"/>
      <c r="S82" s="57"/>
      <c r="T82" s="59"/>
      <c r="U82" s="138">
        <f t="shared" si="2"/>
        <v>270</v>
      </c>
      <c r="V82" s="113" t="s">
        <v>7</v>
      </c>
      <c r="W82" s="158" t="s">
        <v>35</v>
      </c>
      <c r="X82" s="83" t="s">
        <v>173</v>
      </c>
      <c r="Y82" s="272"/>
      <c r="Z82" s="2"/>
      <c r="AA82" s="2"/>
      <c r="AB82" s="2"/>
    </row>
    <row r="83" spans="1:28" s="161" customFormat="1" ht="14.1" customHeight="1" x14ac:dyDescent="0.3">
      <c r="A83" s="100" t="s">
        <v>93</v>
      </c>
      <c r="B83" s="105" t="s">
        <v>84</v>
      </c>
      <c r="C83" s="140"/>
      <c r="D83" s="144">
        <v>7200105</v>
      </c>
      <c r="E83" s="143">
        <v>44032</v>
      </c>
      <c r="F83" s="44" t="s">
        <v>21</v>
      </c>
      <c r="G83" s="108">
        <v>44032</v>
      </c>
      <c r="H83" s="50"/>
      <c r="I83" s="52"/>
      <c r="J83" s="52"/>
      <c r="K83" s="52"/>
      <c r="L83" s="52"/>
      <c r="M83" s="50"/>
      <c r="N83" s="52"/>
      <c r="O83" s="50"/>
      <c r="P83" s="166"/>
      <c r="Q83" s="49"/>
      <c r="R83" s="50">
        <v>120</v>
      </c>
      <c r="S83" s="49">
        <v>18</v>
      </c>
      <c r="T83" s="51">
        <v>9.9</v>
      </c>
      <c r="U83" s="139">
        <f t="shared" si="2"/>
        <v>147.9</v>
      </c>
      <c r="V83" s="112" t="s">
        <v>36</v>
      </c>
      <c r="W83" s="66" t="s">
        <v>5</v>
      </c>
      <c r="X83" s="83" t="s">
        <v>359</v>
      </c>
      <c r="Y83" s="180"/>
      <c r="Z83" s="2"/>
      <c r="AA83" s="2"/>
      <c r="AB83" s="2"/>
    </row>
    <row r="84" spans="1:28" s="161" customFormat="1" ht="14.1" customHeight="1" thickBot="1" x14ac:dyDescent="0.35">
      <c r="A84" s="102" t="s">
        <v>49</v>
      </c>
      <c r="B84" s="189" t="s">
        <v>107</v>
      </c>
      <c r="C84" s="190"/>
      <c r="D84" s="104">
        <v>9129101</v>
      </c>
      <c r="E84" s="141">
        <v>43720</v>
      </c>
      <c r="F84" s="43" t="s">
        <v>21</v>
      </c>
      <c r="G84" s="154">
        <v>43720</v>
      </c>
      <c r="H84" s="58"/>
      <c r="I84" s="60"/>
      <c r="J84" s="60"/>
      <c r="K84" s="60"/>
      <c r="L84" s="60"/>
      <c r="M84" s="58"/>
      <c r="N84" s="60"/>
      <c r="O84" s="58"/>
      <c r="P84" s="192"/>
      <c r="Q84" s="57"/>
      <c r="R84" s="58">
        <v>170</v>
      </c>
      <c r="S84" s="57">
        <v>33</v>
      </c>
      <c r="T84" s="59">
        <v>16.579999999999998</v>
      </c>
      <c r="U84" s="138">
        <f t="shared" si="2"/>
        <v>219.57999999999998</v>
      </c>
      <c r="V84" s="113" t="s">
        <v>36</v>
      </c>
      <c r="W84" s="158" t="s">
        <v>5</v>
      </c>
      <c r="X84" s="83" t="s">
        <v>351</v>
      </c>
      <c r="Y84" s="272"/>
      <c r="Z84" s="2"/>
      <c r="AA84" s="2"/>
      <c r="AB84" s="2"/>
    </row>
    <row r="85" spans="1:28" s="161" customFormat="1" ht="14.1" customHeight="1" thickBot="1" x14ac:dyDescent="0.35">
      <c r="A85" s="102" t="s">
        <v>49</v>
      </c>
      <c r="B85" s="189" t="s">
        <v>107</v>
      </c>
      <c r="C85" s="190"/>
      <c r="D85" s="104">
        <v>2180107</v>
      </c>
      <c r="E85" s="141">
        <v>43879</v>
      </c>
      <c r="F85" s="43" t="s">
        <v>21</v>
      </c>
      <c r="G85" s="191">
        <v>43879</v>
      </c>
      <c r="H85" s="58"/>
      <c r="I85" s="60"/>
      <c r="J85" s="60"/>
      <c r="K85" s="60"/>
      <c r="L85" s="60"/>
      <c r="M85" s="58"/>
      <c r="N85" s="60"/>
      <c r="O85" s="58"/>
      <c r="P85" s="192"/>
      <c r="Q85" s="57"/>
      <c r="R85" s="58">
        <v>46.63</v>
      </c>
      <c r="S85" s="57"/>
      <c r="T85" s="59"/>
      <c r="U85" s="138">
        <f t="shared" si="2"/>
        <v>46.63</v>
      </c>
      <c r="V85" s="113" t="s">
        <v>36</v>
      </c>
      <c r="W85" s="158" t="s">
        <v>80</v>
      </c>
      <c r="X85" s="188" t="s">
        <v>351</v>
      </c>
      <c r="Y85" s="272"/>
      <c r="Z85" s="2"/>
      <c r="AA85" s="2"/>
      <c r="AB85" s="2"/>
    </row>
    <row r="86" spans="1:28" s="161" customFormat="1" ht="14.1" customHeight="1" thickBot="1" x14ac:dyDescent="0.35">
      <c r="A86" s="98" t="s">
        <v>93</v>
      </c>
      <c r="B86" s="3" t="s">
        <v>279</v>
      </c>
      <c r="C86" s="4"/>
      <c r="D86" s="70">
        <v>8270291</v>
      </c>
      <c r="E86" s="136">
        <v>44070</v>
      </c>
      <c r="F86" s="48" t="s">
        <v>21</v>
      </c>
      <c r="G86" s="79">
        <v>44070</v>
      </c>
      <c r="H86" s="46"/>
      <c r="I86" s="28"/>
      <c r="J86" s="28"/>
      <c r="K86" s="28"/>
      <c r="L86" s="28"/>
      <c r="M86" s="46"/>
      <c r="N86" s="28"/>
      <c r="O86" s="46"/>
      <c r="P86" s="7"/>
      <c r="Q86" s="47"/>
      <c r="R86" s="46">
        <v>164</v>
      </c>
      <c r="S86" s="47"/>
      <c r="T86" s="32">
        <v>14.76</v>
      </c>
      <c r="U86" s="71">
        <f t="shared" si="2"/>
        <v>178.76</v>
      </c>
      <c r="V86" s="82" t="s">
        <v>36</v>
      </c>
      <c r="W86" s="2" t="s">
        <v>5</v>
      </c>
      <c r="X86" s="188" t="s">
        <v>328</v>
      </c>
      <c r="Y86" s="180"/>
      <c r="Z86" s="181"/>
      <c r="AA86" s="2"/>
      <c r="AB86" s="2"/>
    </row>
    <row r="87" spans="1:28" s="161" customFormat="1" ht="14.1" customHeight="1" thickBot="1" x14ac:dyDescent="0.35">
      <c r="A87" s="152" t="s">
        <v>93</v>
      </c>
      <c r="B87" s="105" t="s">
        <v>204</v>
      </c>
      <c r="C87" s="140"/>
      <c r="D87" s="144">
        <v>7200103</v>
      </c>
      <c r="E87" s="143">
        <v>44032</v>
      </c>
      <c r="F87" s="44" t="s">
        <v>21</v>
      </c>
      <c r="G87" s="108">
        <v>44032</v>
      </c>
      <c r="H87" s="50"/>
      <c r="I87" s="50"/>
      <c r="J87" s="50"/>
      <c r="K87" s="50"/>
      <c r="L87" s="50"/>
      <c r="M87" s="50"/>
      <c r="N87" s="50"/>
      <c r="O87" s="50"/>
      <c r="P87" s="166"/>
      <c r="Q87" s="157"/>
      <c r="R87" s="50">
        <v>225</v>
      </c>
      <c r="S87" s="157"/>
      <c r="T87" s="379">
        <v>20.25</v>
      </c>
      <c r="U87" s="139">
        <f t="shared" ref="U87:U118" si="3">SUM(H87:T87)</f>
        <v>245.25</v>
      </c>
      <c r="V87" s="112" t="s">
        <v>39</v>
      </c>
      <c r="W87" s="66" t="s">
        <v>14</v>
      </c>
      <c r="X87" s="83" t="s">
        <v>328</v>
      </c>
      <c r="Y87" s="180"/>
      <c r="Z87" s="2"/>
      <c r="AA87" s="2"/>
      <c r="AB87" s="2"/>
    </row>
    <row r="88" spans="1:28" s="161" customFormat="1" ht="13.5" customHeight="1" thickBot="1" x14ac:dyDescent="0.35">
      <c r="A88" s="421" t="s">
        <v>93</v>
      </c>
      <c r="B88" s="422" t="s">
        <v>232</v>
      </c>
      <c r="C88" s="423" t="s">
        <v>233</v>
      </c>
      <c r="D88" s="423">
        <v>8140294</v>
      </c>
      <c r="E88" s="424">
        <v>44057</v>
      </c>
      <c r="F88" s="423" t="s">
        <v>21</v>
      </c>
      <c r="G88" s="425">
        <v>44057</v>
      </c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>
        <v>55</v>
      </c>
      <c r="S88" s="426"/>
      <c r="T88" s="427">
        <v>4.8099999999999996</v>
      </c>
      <c r="U88" s="451">
        <f t="shared" si="3"/>
        <v>59.81</v>
      </c>
      <c r="V88" s="421" t="s">
        <v>36</v>
      </c>
      <c r="W88" s="428" t="s">
        <v>5</v>
      </c>
      <c r="X88" s="45" t="s">
        <v>18</v>
      </c>
      <c r="Y88" s="334"/>
      <c r="Z88" s="181"/>
      <c r="AA88" s="2"/>
      <c r="AB88" s="2"/>
    </row>
    <row r="89" spans="1:28" s="2" customFormat="1" ht="14.1" customHeight="1" x14ac:dyDescent="0.3">
      <c r="A89" s="98" t="s">
        <v>14</v>
      </c>
      <c r="B89" s="3" t="s">
        <v>272</v>
      </c>
      <c r="C89" s="4" t="s">
        <v>273</v>
      </c>
      <c r="D89" s="70">
        <v>8260059</v>
      </c>
      <c r="E89" s="136">
        <v>44069</v>
      </c>
      <c r="F89" s="48" t="s">
        <v>237</v>
      </c>
      <c r="G89" s="79">
        <v>44069</v>
      </c>
      <c r="H89" s="46"/>
      <c r="I89" s="28"/>
      <c r="J89" s="28"/>
      <c r="K89" s="28"/>
      <c r="L89" s="28"/>
      <c r="M89" s="46">
        <v>67.62</v>
      </c>
      <c r="N89" s="28"/>
      <c r="O89" s="46"/>
      <c r="P89" s="7"/>
      <c r="Q89" s="47"/>
      <c r="R89" s="46"/>
      <c r="S89" s="47"/>
      <c r="T89" s="32"/>
      <c r="U89" s="71">
        <f t="shared" si="3"/>
        <v>67.62</v>
      </c>
      <c r="V89" s="82" t="s">
        <v>29</v>
      </c>
      <c r="W89" s="2" t="s">
        <v>14</v>
      </c>
      <c r="X89" s="83" t="s">
        <v>18</v>
      </c>
      <c r="Y89" s="180" t="s">
        <v>278</v>
      </c>
      <c r="Z89" s="181"/>
    </row>
    <row r="90" spans="1:28" s="2" customFormat="1" ht="14.1" customHeight="1" x14ac:dyDescent="0.3">
      <c r="A90" s="102" t="s">
        <v>14</v>
      </c>
      <c r="B90" s="189" t="s">
        <v>76</v>
      </c>
      <c r="C90" s="190" t="s">
        <v>158</v>
      </c>
      <c r="D90" s="104">
        <v>11259041</v>
      </c>
      <c r="E90" s="141">
        <v>43794</v>
      </c>
      <c r="F90" s="43" t="s">
        <v>159</v>
      </c>
      <c r="G90" s="154">
        <v>43794</v>
      </c>
      <c r="H90" s="58"/>
      <c r="I90" s="60"/>
      <c r="J90" s="60"/>
      <c r="K90" s="60"/>
      <c r="L90" s="60"/>
      <c r="M90" s="58"/>
      <c r="N90" s="60"/>
      <c r="O90" s="58">
        <v>299</v>
      </c>
      <c r="P90" s="192"/>
      <c r="Q90" s="57">
        <v>18</v>
      </c>
      <c r="R90" s="58"/>
      <c r="S90" s="57"/>
      <c r="T90" s="59">
        <v>30.65</v>
      </c>
      <c r="U90" s="138">
        <f t="shared" si="3"/>
        <v>347.65</v>
      </c>
      <c r="V90" s="113" t="s">
        <v>36</v>
      </c>
      <c r="W90" s="158" t="s">
        <v>14</v>
      </c>
      <c r="X90" s="83" t="s">
        <v>290</v>
      </c>
      <c r="Y90" s="272"/>
    </row>
    <row r="91" spans="1:28" s="2" customFormat="1" ht="14.1" customHeight="1" x14ac:dyDescent="0.3">
      <c r="A91" s="102" t="s">
        <v>6</v>
      </c>
      <c r="B91" s="189" t="s">
        <v>76</v>
      </c>
      <c r="C91" s="190" t="s">
        <v>119</v>
      </c>
      <c r="D91" s="104">
        <v>5010501</v>
      </c>
      <c r="E91" s="141">
        <v>43952</v>
      </c>
      <c r="F91" s="43" t="s">
        <v>51</v>
      </c>
      <c r="G91" s="191">
        <v>43952</v>
      </c>
      <c r="H91" s="58"/>
      <c r="I91" s="60"/>
      <c r="J91" s="60"/>
      <c r="K91" s="60"/>
      <c r="L91" s="60"/>
      <c r="M91" s="58">
        <v>237</v>
      </c>
      <c r="N91" s="60"/>
      <c r="O91" s="58"/>
      <c r="P91" s="192"/>
      <c r="Q91" s="57"/>
      <c r="R91" s="58"/>
      <c r="S91" s="57"/>
      <c r="T91" s="59"/>
      <c r="U91" s="138">
        <f t="shared" si="3"/>
        <v>237</v>
      </c>
      <c r="V91" s="113" t="s">
        <v>29</v>
      </c>
      <c r="W91" s="67" t="s">
        <v>6</v>
      </c>
      <c r="X91" s="83" t="s">
        <v>290</v>
      </c>
      <c r="Y91" s="272"/>
    </row>
    <row r="92" spans="1:28" s="2" customFormat="1" ht="14.1" customHeight="1" thickBot="1" x14ac:dyDescent="0.35">
      <c r="A92" s="102" t="s">
        <v>6</v>
      </c>
      <c r="B92" s="189" t="s">
        <v>76</v>
      </c>
      <c r="C92" s="190" t="s">
        <v>82</v>
      </c>
      <c r="D92" s="104">
        <v>6010508</v>
      </c>
      <c r="E92" s="141">
        <v>43983</v>
      </c>
      <c r="F92" s="43" t="s">
        <v>51</v>
      </c>
      <c r="G92" s="191">
        <v>43983</v>
      </c>
      <c r="H92" s="58"/>
      <c r="I92" s="60"/>
      <c r="J92" s="60"/>
      <c r="K92" s="60"/>
      <c r="L92" s="60"/>
      <c r="M92" s="58">
        <v>237</v>
      </c>
      <c r="N92" s="60"/>
      <c r="O92" s="58"/>
      <c r="P92" s="192"/>
      <c r="Q92" s="57"/>
      <c r="R92" s="58"/>
      <c r="S92" s="57"/>
      <c r="T92" s="59"/>
      <c r="U92" s="138">
        <f t="shared" si="3"/>
        <v>237</v>
      </c>
      <c r="V92" s="113" t="s">
        <v>29</v>
      </c>
      <c r="W92" s="67" t="s">
        <v>6</v>
      </c>
      <c r="X92" s="83" t="s">
        <v>290</v>
      </c>
      <c r="Y92" s="272"/>
    </row>
    <row r="93" spans="1:28" s="2" customFormat="1" ht="14.1" customHeight="1" thickBot="1" x14ac:dyDescent="0.35">
      <c r="A93" s="100" t="s">
        <v>14</v>
      </c>
      <c r="B93" s="105" t="s">
        <v>76</v>
      </c>
      <c r="C93" s="140" t="s">
        <v>82</v>
      </c>
      <c r="D93" s="144">
        <v>8030051</v>
      </c>
      <c r="E93" s="143">
        <v>44046</v>
      </c>
      <c r="F93" s="44" t="s">
        <v>51</v>
      </c>
      <c r="G93" s="108">
        <v>44046</v>
      </c>
      <c r="H93" s="50"/>
      <c r="I93" s="52"/>
      <c r="J93" s="52"/>
      <c r="K93" s="52"/>
      <c r="L93" s="52"/>
      <c r="M93" s="50">
        <v>237</v>
      </c>
      <c r="N93" s="52"/>
      <c r="O93" s="50"/>
      <c r="P93" s="166"/>
      <c r="Q93" s="49"/>
      <c r="R93" s="50"/>
      <c r="S93" s="49"/>
      <c r="T93" s="51"/>
      <c r="U93" s="139">
        <f t="shared" si="3"/>
        <v>237</v>
      </c>
      <c r="V93" s="112" t="s">
        <v>29</v>
      </c>
      <c r="W93" s="66" t="s">
        <v>14</v>
      </c>
      <c r="X93" s="188" t="s">
        <v>290</v>
      </c>
      <c r="Y93" s="180"/>
      <c r="Z93" s="181"/>
    </row>
    <row r="94" spans="1:28" s="2" customFormat="1" ht="14.1" customHeight="1" x14ac:dyDescent="0.3">
      <c r="A94" s="100" t="s">
        <v>93</v>
      </c>
      <c r="B94" s="105" t="s">
        <v>111</v>
      </c>
      <c r="C94" s="140"/>
      <c r="D94" s="144">
        <v>7170292</v>
      </c>
      <c r="E94" s="143">
        <v>44029</v>
      </c>
      <c r="F94" s="44" t="s">
        <v>21</v>
      </c>
      <c r="G94" s="108">
        <v>44032</v>
      </c>
      <c r="H94" s="50"/>
      <c r="I94" s="52"/>
      <c r="J94" s="52"/>
      <c r="K94" s="52"/>
      <c r="L94" s="52"/>
      <c r="M94" s="50"/>
      <c r="N94" s="52"/>
      <c r="O94" s="50"/>
      <c r="P94" s="166"/>
      <c r="Q94" s="49"/>
      <c r="R94" s="50">
        <v>172</v>
      </c>
      <c r="S94" s="49">
        <v>36</v>
      </c>
      <c r="T94" s="51">
        <v>14.19</v>
      </c>
      <c r="U94" s="139">
        <f t="shared" si="3"/>
        <v>222.19</v>
      </c>
      <c r="V94" s="112" t="s">
        <v>36</v>
      </c>
      <c r="W94" s="66" t="s">
        <v>80</v>
      </c>
      <c r="X94" s="83" t="s">
        <v>352</v>
      </c>
      <c r="Y94" s="180"/>
    </row>
    <row r="95" spans="1:28" s="2" customFormat="1" ht="14.1" customHeight="1" x14ac:dyDescent="0.3">
      <c r="A95" s="102" t="s">
        <v>8</v>
      </c>
      <c r="B95" s="189" t="s">
        <v>110</v>
      </c>
      <c r="C95" s="190"/>
      <c r="D95" s="104">
        <v>4299012</v>
      </c>
      <c r="E95" s="141">
        <v>43584</v>
      </c>
      <c r="F95" s="43" t="s">
        <v>45</v>
      </c>
      <c r="G95" s="154">
        <v>43584</v>
      </c>
      <c r="H95" s="58"/>
      <c r="I95" s="60"/>
      <c r="J95" s="60"/>
      <c r="K95" s="60"/>
      <c r="L95" s="60"/>
      <c r="M95" s="58"/>
      <c r="N95" s="60"/>
      <c r="O95" s="58"/>
      <c r="P95" s="192">
        <v>180</v>
      </c>
      <c r="Q95" s="57">
        <v>90</v>
      </c>
      <c r="R95" s="58"/>
      <c r="S95" s="57"/>
      <c r="T95" s="59"/>
      <c r="U95" s="138">
        <f t="shared" si="3"/>
        <v>270</v>
      </c>
      <c r="V95" s="113" t="s">
        <v>7</v>
      </c>
      <c r="W95" s="158" t="s">
        <v>35</v>
      </c>
      <c r="X95" s="83" t="s">
        <v>143</v>
      </c>
      <c r="Y95" s="272"/>
    </row>
    <row r="96" spans="1:28" s="2" customFormat="1" ht="14.1" customHeight="1" x14ac:dyDescent="0.3">
      <c r="A96" s="98" t="s">
        <v>8</v>
      </c>
      <c r="B96" s="3" t="s">
        <v>246</v>
      </c>
      <c r="C96" s="4"/>
      <c r="D96" s="70">
        <v>8060011</v>
      </c>
      <c r="E96" s="136">
        <v>44049</v>
      </c>
      <c r="F96" s="48" t="s">
        <v>236</v>
      </c>
      <c r="G96" s="79">
        <v>44063</v>
      </c>
      <c r="H96" s="46">
        <v>1495</v>
      </c>
      <c r="I96" s="28"/>
      <c r="J96" s="28">
        <v>360</v>
      </c>
      <c r="K96" s="28"/>
      <c r="L96" s="28"/>
      <c r="M96" s="46"/>
      <c r="N96" s="28"/>
      <c r="O96" s="46"/>
      <c r="P96" s="7"/>
      <c r="Q96" s="47"/>
      <c r="R96" s="46"/>
      <c r="S96" s="47"/>
      <c r="T96" s="32">
        <v>108.39</v>
      </c>
      <c r="U96" s="71">
        <f t="shared" si="3"/>
        <v>1963.39</v>
      </c>
      <c r="V96" s="82" t="s">
        <v>7</v>
      </c>
      <c r="W96" s="2" t="s">
        <v>32</v>
      </c>
      <c r="X96" s="83" t="s">
        <v>18</v>
      </c>
      <c r="Y96" s="180"/>
      <c r="Z96" s="181"/>
    </row>
    <row r="97" spans="1:26" s="2" customFormat="1" ht="14.1" customHeight="1" x14ac:dyDescent="0.3">
      <c r="A97" s="102" t="s">
        <v>48</v>
      </c>
      <c r="B97" s="189" t="s">
        <v>197</v>
      </c>
      <c r="C97" s="190"/>
      <c r="D97" s="104">
        <v>6040259</v>
      </c>
      <c r="E97" s="141">
        <v>43986</v>
      </c>
      <c r="F97" s="43" t="s">
        <v>196</v>
      </c>
      <c r="G97" s="191">
        <v>43987</v>
      </c>
      <c r="H97" s="58"/>
      <c r="I97" s="60"/>
      <c r="J97" s="60"/>
      <c r="K97" s="60"/>
      <c r="L97" s="60"/>
      <c r="M97" s="58"/>
      <c r="N97" s="60"/>
      <c r="O97" s="58"/>
      <c r="P97" s="192">
        <v>45</v>
      </c>
      <c r="Q97" s="57"/>
      <c r="R97" s="58"/>
      <c r="S97" s="57"/>
      <c r="T97" s="59"/>
      <c r="U97" s="138">
        <f t="shared" si="3"/>
        <v>45</v>
      </c>
      <c r="V97" s="113" t="s">
        <v>29</v>
      </c>
      <c r="W97" s="67" t="s">
        <v>44</v>
      </c>
      <c r="X97" s="83" t="s">
        <v>310</v>
      </c>
      <c r="Y97" s="272"/>
    </row>
    <row r="98" spans="1:26" s="2" customFormat="1" ht="14.1" customHeight="1" x14ac:dyDescent="0.3">
      <c r="A98" s="98" t="s">
        <v>6</v>
      </c>
      <c r="B98" s="3" t="s">
        <v>283</v>
      </c>
      <c r="C98" s="4"/>
      <c r="D98" s="70">
        <v>8220071</v>
      </c>
      <c r="E98" s="136">
        <v>44065</v>
      </c>
      <c r="F98" s="48" t="s">
        <v>45</v>
      </c>
      <c r="G98" s="79">
        <v>44065</v>
      </c>
      <c r="H98" s="46"/>
      <c r="I98" s="28"/>
      <c r="J98" s="28"/>
      <c r="K98" s="28"/>
      <c r="L98" s="28"/>
      <c r="M98" s="46"/>
      <c r="N98" s="28"/>
      <c r="O98" s="46"/>
      <c r="P98" s="7">
        <v>180</v>
      </c>
      <c r="Q98" s="47"/>
      <c r="R98" s="46"/>
      <c r="S98" s="47"/>
      <c r="T98" s="32"/>
      <c r="U98" s="71">
        <f t="shared" si="3"/>
        <v>180</v>
      </c>
      <c r="V98" s="82" t="s">
        <v>7</v>
      </c>
      <c r="W98" s="2" t="s">
        <v>6</v>
      </c>
      <c r="X98" s="83" t="s">
        <v>18</v>
      </c>
      <c r="Y98" s="180"/>
      <c r="Z98" s="181"/>
    </row>
    <row r="99" spans="1:26" s="2" customFormat="1" ht="14.1" customHeight="1" x14ac:dyDescent="0.3">
      <c r="A99" s="101" t="s">
        <v>48</v>
      </c>
      <c r="B99" s="169" t="s">
        <v>104</v>
      </c>
      <c r="C99" s="170"/>
      <c r="D99" s="103">
        <v>7010104</v>
      </c>
      <c r="E99" s="142">
        <v>44013</v>
      </c>
      <c r="F99" s="99" t="s">
        <v>21</v>
      </c>
      <c r="G99" s="171">
        <v>44013</v>
      </c>
      <c r="H99" s="54"/>
      <c r="I99" s="56"/>
      <c r="J99" s="56"/>
      <c r="K99" s="56"/>
      <c r="L99" s="56"/>
      <c r="M99" s="54"/>
      <c r="N99" s="56"/>
      <c r="O99" s="54"/>
      <c r="P99" s="173"/>
      <c r="Q99" s="53"/>
      <c r="R99" s="54">
        <v>148</v>
      </c>
      <c r="S99" s="53">
        <v>27</v>
      </c>
      <c r="T99" s="55">
        <v>13.32</v>
      </c>
      <c r="U99" s="145">
        <f t="shared" si="3"/>
        <v>188.32</v>
      </c>
      <c r="V99" s="111" t="s">
        <v>36</v>
      </c>
      <c r="W99" s="172" t="s">
        <v>80</v>
      </c>
      <c r="X99" s="83" t="s">
        <v>18</v>
      </c>
      <c r="Y99" s="180"/>
    </row>
    <row r="100" spans="1:26" s="2" customFormat="1" ht="14.1" customHeight="1" x14ac:dyDescent="0.3">
      <c r="A100" s="102" t="s">
        <v>49</v>
      </c>
      <c r="B100" s="189" t="s">
        <v>163</v>
      </c>
      <c r="C100" s="190"/>
      <c r="D100" s="104">
        <v>11219105</v>
      </c>
      <c r="E100" s="141">
        <v>43805</v>
      </c>
      <c r="F100" s="43" t="s">
        <v>52</v>
      </c>
      <c r="G100" s="154">
        <v>43805</v>
      </c>
      <c r="H100" s="58"/>
      <c r="I100" s="60"/>
      <c r="J100" s="60"/>
      <c r="K100" s="60"/>
      <c r="L100" s="60"/>
      <c r="M100" s="58"/>
      <c r="N100" s="60"/>
      <c r="O100" s="58">
        <v>45</v>
      </c>
      <c r="P100" s="192">
        <v>90</v>
      </c>
      <c r="Q100" s="57"/>
      <c r="R100" s="58"/>
      <c r="S100" s="57"/>
      <c r="T100" s="59">
        <v>3.83</v>
      </c>
      <c r="U100" s="138">
        <f t="shared" si="3"/>
        <v>138.83000000000001</v>
      </c>
      <c r="V100" s="113" t="s">
        <v>7</v>
      </c>
      <c r="W100" s="158" t="s">
        <v>8</v>
      </c>
      <c r="X100" s="83" t="s">
        <v>164</v>
      </c>
      <c r="Y100" s="272"/>
    </row>
    <row r="101" spans="1:26" s="2" customFormat="1" ht="14.1" customHeight="1" x14ac:dyDescent="0.3">
      <c r="A101" s="102" t="s">
        <v>49</v>
      </c>
      <c r="B101" s="189" t="s">
        <v>150</v>
      </c>
      <c r="C101" s="190"/>
      <c r="D101" s="104">
        <v>9179105</v>
      </c>
      <c r="E101" s="141">
        <v>43725</v>
      </c>
      <c r="F101" s="43" t="s">
        <v>21</v>
      </c>
      <c r="G101" s="154">
        <v>43725</v>
      </c>
      <c r="H101" s="58"/>
      <c r="I101" s="60"/>
      <c r="J101" s="60"/>
      <c r="K101" s="60"/>
      <c r="L101" s="60"/>
      <c r="M101" s="58"/>
      <c r="N101" s="60"/>
      <c r="O101" s="58"/>
      <c r="P101" s="192"/>
      <c r="Q101" s="57"/>
      <c r="R101" s="58">
        <v>58</v>
      </c>
      <c r="S101" s="57"/>
      <c r="T101" s="59">
        <v>4.93</v>
      </c>
      <c r="U101" s="138">
        <f t="shared" si="3"/>
        <v>62.93</v>
      </c>
      <c r="V101" s="113" t="s">
        <v>7</v>
      </c>
      <c r="W101" s="158" t="s">
        <v>8</v>
      </c>
      <c r="X101" s="372" t="s">
        <v>146</v>
      </c>
      <c r="Y101" s="373"/>
      <c r="Z101" s="371"/>
    </row>
    <row r="102" spans="1:26" s="2" customFormat="1" ht="14.1" customHeight="1" x14ac:dyDescent="0.3">
      <c r="A102" s="102" t="s">
        <v>49</v>
      </c>
      <c r="B102" s="189" t="s">
        <v>147</v>
      </c>
      <c r="C102" s="190" t="s">
        <v>148</v>
      </c>
      <c r="D102" s="104">
        <v>8309102</v>
      </c>
      <c r="E102" s="141">
        <v>43707</v>
      </c>
      <c r="F102" s="43" t="s">
        <v>21</v>
      </c>
      <c r="G102" s="154">
        <v>43707</v>
      </c>
      <c r="H102" s="58"/>
      <c r="I102" s="60"/>
      <c r="J102" s="60"/>
      <c r="K102" s="60"/>
      <c r="L102" s="60"/>
      <c r="M102" s="58"/>
      <c r="N102" s="60"/>
      <c r="O102" s="58"/>
      <c r="P102" s="192"/>
      <c r="Q102" s="57"/>
      <c r="R102" s="58">
        <v>103</v>
      </c>
      <c r="S102" s="57"/>
      <c r="T102" s="59">
        <v>9.7899999999999991</v>
      </c>
      <c r="U102" s="138">
        <f t="shared" si="3"/>
        <v>112.78999999999999</v>
      </c>
      <c r="V102" s="113" t="s">
        <v>43</v>
      </c>
      <c r="W102" s="158" t="s">
        <v>80</v>
      </c>
      <c r="X102" s="83" t="s">
        <v>149</v>
      </c>
      <c r="Y102" s="272"/>
    </row>
    <row r="103" spans="1:26" s="2" customFormat="1" ht="14.1" customHeight="1" x14ac:dyDescent="0.3">
      <c r="A103" s="100" t="s">
        <v>44</v>
      </c>
      <c r="B103" s="105" t="s">
        <v>218</v>
      </c>
      <c r="C103" s="140"/>
      <c r="D103" s="144">
        <v>8030101</v>
      </c>
      <c r="E103" s="143">
        <v>44046</v>
      </c>
      <c r="F103" s="44" t="s">
        <v>21</v>
      </c>
      <c r="G103" s="108">
        <v>44046</v>
      </c>
      <c r="H103" s="50"/>
      <c r="I103" s="52"/>
      <c r="J103" s="52"/>
      <c r="K103" s="52"/>
      <c r="L103" s="52"/>
      <c r="M103" s="50"/>
      <c r="N103" s="52"/>
      <c r="O103" s="50"/>
      <c r="P103" s="166"/>
      <c r="Q103" s="49"/>
      <c r="R103" s="50">
        <v>117</v>
      </c>
      <c r="S103" s="49">
        <v>12</v>
      </c>
      <c r="T103" s="51">
        <v>9.8000000000000007</v>
      </c>
      <c r="U103" s="139">
        <f t="shared" si="3"/>
        <v>138.80000000000001</v>
      </c>
      <c r="V103" s="112" t="s">
        <v>36</v>
      </c>
      <c r="W103" s="66" t="s">
        <v>5</v>
      </c>
      <c r="X103" s="83" t="s">
        <v>18</v>
      </c>
      <c r="Y103" s="180"/>
      <c r="Z103" s="181"/>
    </row>
    <row r="104" spans="1:26" s="2" customFormat="1" ht="14.1" customHeight="1" thickBot="1" x14ac:dyDescent="0.35">
      <c r="A104" s="98" t="s">
        <v>48</v>
      </c>
      <c r="B104" s="3" t="s">
        <v>251</v>
      </c>
      <c r="C104" s="4"/>
      <c r="D104" s="70">
        <v>8260071</v>
      </c>
      <c r="E104" s="136">
        <v>44069</v>
      </c>
      <c r="F104" s="48" t="s">
        <v>45</v>
      </c>
      <c r="G104" s="79">
        <v>44069</v>
      </c>
      <c r="H104" s="46"/>
      <c r="I104" s="28"/>
      <c r="J104" s="28"/>
      <c r="K104" s="28"/>
      <c r="L104" s="28"/>
      <c r="M104" s="46"/>
      <c r="N104" s="28"/>
      <c r="O104" s="46"/>
      <c r="P104" s="7">
        <v>180</v>
      </c>
      <c r="Q104" s="47"/>
      <c r="R104" s="46"/>
      <c r="S104" s="47"/>
      <c r="T104" s="32"/>
      <c r="U104" s="71">
        <f t="shared" si="3"/>
        <v>180</v>
      </c>
      <c r="V104" s="82" t="s">
        <v>7</v>
      </c>
      <c r="W104" s="2" t="s">
        <v>6</v>
      </c>
      <c r="X104" s="83" t="s">
        <v>325</v>
      </c>
      <c r="Y104" s="180"/>
      <c r="Z104" s="181"/>
    </row>
    <row r="105" spans="1:26" s="2" customFormat="1" ht="14.1" customHeight="1" thickBot="1" x14ac:dyDescent="0.35">
      <c r="A105" s="100" t="s">
        <v>93</v>
      </c>
      <c r="B105" s="105" t="s">
        <v>231</v>
      </c>
      <c r="C105" s="140"/>
      <c r="D105" s="144">
        <v>8130291</v>
      </c>
      <c r="E105" s="143">
        <v>44056</v>
      </c>
      <c r="F105" s="44" t="s">
        <v>21</v>
      </c>
      <c r="G105" s="108">
        <v>44056</v>
      </c>
      <c r="H105" s="50"/>
      <c r="I105" s="52"/>
      <c r="J105" s="52"/>
      <c r="K105" s="52"/>
      <c r="L105" s="52"/>
      <c r="M105" s="50"/>
      <c r="N105" s="52"/>
      <c r="O105" s="50"/>
      <c r="P105" s="166"/>
      <c r="Q105" s="49"/>
      <c r="R105" s="50">
        <v>98</v>
      </c>
      <c r="S105" s="49">
        <v>18</v>
      </c>
      <c r="T105" s="51">
        <v>8.09</v>
      </c>
      <c r="U105" s="139">
        <f t="shared" si="3"/>
        <v>124.09</v>
      </c>
      <c r="V105" s="112" t="s">
        <v>36</v>
      </c>
      <c r="W105" s="66" t="s">
        <v>93</v>
      </c>
      <c r="X105" s="188" t="s">
        <v>18</v>
      </c>
      <c r="Y105" s="180"/>
      <c r="Z105" s="181"/>
    </row>
    <row r="106" spans="1:26" s="2" customFormat="1" ht="14.1" customHeight="1" x14ac:dyDescent="0.3">
      <c r="A106" s="102" t="s">
        <v>93</v>
      </c>
      <c r="B106" s="189" t="s">
        <v>199</v>
      </c>
      <c r="C106" s="190" t="s">
        <v>109</v>
      </c>
      <c r="D106" s="104">
        <v>6080296</v>
      </c>
      <c r="E106" s="141">
        <v>43990</v>
      </c>
      <c r="F106" s="43" t="s">
        <v>21</v>
      </c>
      <c r="G106" s="191">
        <v>43990</v>
      </c>
      <c r="H106" s="58"/>
      <c r="I106" s="60"/>
      <c r="J106" s="60"/>
      <c r="K106" s="60"/>
      <c r="L106" s="60"/>
      <c r="M106" s="58"/>
      <c r="N106" s="60"/>
      <c r="O106" s="58"/>
      <c r="P106" s="192"/>
      <c r="Q106" s="57"/>
      <c r="R106" s="58">
        <v>49</v>
      </c>
      <c r="S106" s="57">
        <v>9</v>
      </c>
      <c r="T106" s="59">
        <v>4.47</v>
      </c>
      <c r="U106" s="138">
        <f t="shared" si="3"/>
        <v>62.47</v>
      </c>
      <c r="V106" s="113" t="s">
        <v>36</v>
      </c>
      <c r="W106" s="67" t="s">
        <v>80</v>
      </c>
      <c r="X106" s="83" t="s">
        <v>350</v>
      </c>
      <c r="Y106" s="272"/>
    </row>
    <row r="107" spans="1:26" s="2" customFormat="1" ht="14.1" customHeight="1" x14ac:dyDescent="0.3">
      <c r="A107" s="101" t="s">
        <v>93</v>
      </c>
      <c r="B107" s="169" t="s">
        <v>199</v>
      </c>
      <c r="C107" s="170" t="s">
        <v>114</v>
      </c>
      <c r="D107" s="103">
        <v>6240296</v>
      </c>
      <c r="E107" s="142">
        <v>44006</v>
      </c>
      <c r="F107" s="99" t="s">
        <v>21</v>
      </c>
      <c r="G107" s="171">
        <v>44006</v>
      </c>
      <c r="H107" s="54"/>
      <c r="I107" s="56"/>
      <c r="J107" s="56"/>
      <c r="K107" s="56"/>
      <c r="L107" s="56"/>
      <c r="M107" s="54"/>
      <c r="N107" s="56"/>
      <c r="O107" s="54"/>
      <c r="P107" s="173"/>
      <c r="Q107" s="53"/>
      <c r="R107" s="54">
        <v>49</v>
      </c>
      <c r="S107" s="53">
        <v>9</v>
      </c>
      <c r="T107" s="55">
        <v>4.41</v>
      </c>
      <c r="U107" s="145">
        <f t="shared" si="3"/>
        <v>62.41</v>
      </c>
      <c r="V107" s="111" t="s">
        <v>36</v>
      </c>
      <c r="W107" s="172" t="s">
        <v>5</v>
      </c>
      <c r="X107" s="83" t="s">
        <v>350</v>
      </c>
      <c r="Y107" s="272"/>
    </row>
    <row r="108" spans="1:26" s="2" customFormat="1" ht="14.1" customHeight="1" x14ac:dyDescent="0.3">
      <c r="A108" s="98" t="s">
        <v>93</v>
      </c>
      <c r="B108" s="3" t="s">
        <v>157</v>
      </c>
      <c r="C108" s="4" t="s">
        <v>260</v>
      </c>
      <c r="D108" s="70">
        <v>8240293</v>
      </c>
      <c r="E108" s="136">
        <v>44067</v>
      </c>
      <c r="F108" s="48" t="s">
        <v>21</v>
      </c>
      <c r="G108" s="79">
        <v>44067</v>
      </c>
      <c r="H108" s="46"/>
      <c r="I108" s="28"/>
      <c r="J108" s="28"/>
      <c r="K108" s="28"/>
      <c r="L108" s="28"/>
      <c r="M108" s="46"/>
      <c r="N108" s="28"/>
      <c r="O108" s="46"/>
      <c r="P108" s="7"/>
      <c r="Q108" s="47"/>
      <c r="R108" s="46">
        <v>22.5</v>
      </c>
      <c r="S108" s="47"/>
      <c r="T108" s="32">
        <v>1.86</v>
      </c>
      <c r="U108" s="71">
        <f t="shared" si="3"/>
        <v>24.36</v>
      </c>
      <c r="V108" s="82" t="s">
        <v>39</v>
      </c>
      <c r="W108" s="2" t="s">
        <v>223</v>
      </c>
      <c r="X108" s="83" t="s">
        <v>18</v>
      </c>
      <c r="Y108" s="180"/>
      <c r="Z108" s="181"/>
    </row>
    <row r="109" spans="1:26" s="2" customFormat="1" ht="14.1" customHeight="1" x14ac:dyDescent="0.3">
      <c r="A109" s="102" t="s">
        <v>49</v>
      </c>
      <c r="B109" s="189" t="s">
        <v>95</v>
      </c>
      <c r="C109" s="190"/>
      <c r="D109" s="104">
        <v>4159101</v>
      </c>
      <c r="E109" s="141">
        <v>43570</v>
      </c>
      <c r="F109" s="43" t="s">
        <v>21</v>
      </c>
      <c r="G109" s="154">
        <v>43570</v>
      </c>
      <c r="H109" s="58"/>
      <c r="I109" s="60"/>
      <c r="J109" s="60"/>
      <c r="K109" s="60"/>
      <c r="L109" s="60"/>
      <c r="M109" s="58"/>
      <c r="N109" s="60"/>
      <c r="O109" s="58"/>
      <c r="P109" s="192"/>
      <c r="Q109" s="57"/>
      <c r="R109" s="58">
        <v>78</v>
      </c>
      <c r="S109" s="57">
        <v>17</v>
      </c>
      <c r="T109" s="59">
        <v>6.83</v>
      </c>
      <c r="U109" s="138">
        <f t="shared" si="3"/>
        <v>101.83</v>
      </c>
      <c r="V109" s="113" t="s">
        <v>36</v>
      </c>
      <c r="W109" s="158" t="s">
        <v>80</v>
      </c>
      <c r="X109" s="83" t="s">
        <v>329</v>
      </c>
      <c r="Y109" s="272"/>
    </row>
    <row r="110" spans="1:26" s="2" customFormat="1" ht="14.1" customHeight="1" x14ac:dyDescent="0.3">
      <c r="A110" s="102" t="s">
        <v>49</v>
      </c>
      <c r="B110" s="189" t="s">
        <v>95</v>
      </c>
      <c r="C110" s="190"/>
      <c r="D110" s="104">
        <v>9069103</v>
      </c>
      <c r="E110" s="141">
        <v>43714</v>
      </c>
      <c r="F110" s="43" t="s">
        <v>21</v>
      </c>
      <c r="G110" s="154">
        <v>43714</v>
      </c>
      <c r="H110" s="58"/>
      <c r="I110" s="60"/>
      <c r="J110" s="60"/>
      <c r="K110" s="60"/>
      <c r="L110" s="60"/>
      <c r="M110" s="58"/>
      <c r="N110" s="60"/>
      <c r="O110" s="58"/>
      <c r="P110" s="192"/>
      <c r="Q110" s="57"/>
      <c r="R110" s="58">
        <v>39</v>
      </c>
      <c r="S110" s="57"/>
      <c r="T110" s="59">
        <v>3.41</v>
      </c>
      <c r="U110" s="138">
        <f t="shared" si="3"/>
        <v>42.41</v>
      </c>
      <c r="V110" s="113" t="s">
        <v>7</v>
      </c>
      <c r="W110" s="158" t="s">
        <v>14</v>
      </c>
      <c r="X110" s="83" t="s">
        <v>329</v>
      </c>
      <c r="Y110" s="272"/>
    </row>
    <row r="111" spans="1:26" s="2" customFormat="1" ht="14.1" customHeight="1" x14ac:dyDescent="0.3">
      <c r="A111" s="102" t="s">
        <v>49</v>
      </c>
      <c r="B111" s="189" t="s">
        <v>95</v>
      </c>
      <c r="C111" s="190"/>
      <c r="D111" s="104">
        <v>9269103</v>
      </c>
      <c r="E111" s="141">
        <v>43734</v>
      </c>
      <c r="F111" s="43" t="s">
        <v>21</v>
      </c>
      <c r="G111" s="154">
        <v>43734</v>
      </c>
      <c r="H111" s="58"/>
      <c r="I111" s="60"/>
      <c r="J111" s="60"/>
      <c r="K111" s="60"/>
      <c r="L111" s="60"/>
      <c r="M111" s="58"/>
      <c r="N111" s="60"/>
      <c r="O111" s="58"/>
      <c r="P111" s="192"/>
      <c r="Q111" s="57"/>
      <c r="R111" s="58">
        <v>104</v>
      </c>
      <c r="S111" s="57"/>
      <c r="T111" s="59">
        <v>9.1</v>
      </c>
      <c r="U111" s="138">
        <f t="shared" si="3"/>
        <v>113.1</v>
      </c>
      <c r="V111" s="113" t="s">
        <v>39</v>
      </c>
      <c r="W111" s="158" t="s">
        <v>151</v>
      </c>
      <c r="X111" s="83" t="s">
        <v>329</v>
      </c>
      <c r="Y111" s="272"/>
    </row>
    <row r="112" spans="1:26" s="2" customFormat="1" ht="14.1" customHeight="1" x14ac:dyDescent="0.3">
      <c r="A112" s="98" t="s">
        <v>5</v>
      </c>
      <c r="B112" s="3" t="s">
        <v>129</v>
      </c>
      <c r="C112" s="4" t="s">
        <v>174</v>
      </c>
      <c r="D112" s="70">
        <v>8250104</v>
      </c>
      <c r="E112" s="136">
        <v>44068</v>
      </c>
      <c r="F112" s="48" t="s">
        <v>21</v>
      </c>
      <c r="G112" s="79">
        <v>44068</v>
      </c>
      <c r="H112" s="46"/>
      <c r="I112" s="28"/>
      <c r="J112" s="28"/>
      <c r="K112" s="28"/>
      <c r="L112" s="28"/>
      <c r="M112" s="46"/>
      <c r="N112" s="28"/>
      <c r="O112" s="46"/>
      <c r="P112" s="7"/>
      <c r="Q112" s="47"/>
      <c r="R112" s="46">
        <v>90</v>
      </c>
      <c r="S112" s="47">
        <v>17</v>
      </c>
      <c r="T112" s="32">
        <v>8.33</v>
      </c>
      <c r="U112" s="71">
        <f t="shared" si="3"/>
        <v>115.33</v>
      </c>
      <c r="V112" s="82" t="s">
        <v>36</v>
      </c>
      <c r="W112" s="2" t="s">
        <v>5</v>
      </c>
      <c r="X112" s="83" t="s">
        <v>330</v>
      </c>
      <c r="Y112" s="180"/>
      <c r="Z112" s="181"/>
    </row>
    <row r="113" spans="1:28" s="2" customFormat="1" ht="14.1" customHeight="1" x14ac:dyDescent="0.3">
      <c r="A113" s="98" t="s">
        <v>44</v>
      </c>
      <c r="B113" s="3" t="s">
        <v>129</v>
      </c>
      <c r="C113" s="4" t="s">
        <v>174</v>
      </c>
      <c r="D113" s="70">
        <v>8260261</v>
      </c>
      <c r="E113" s="136">
        <v>44069</v>
      </c>
      <c r="F113" s="48" t="s">
        <v>45</v>
      </c>
      <c r="G113" s="79">
        <v>44069</v>
      </c>
      <c r="H113" s="46"/>
      <c r="I113" s="28"/>
      <c r="J113" s="28"/>
      <c r="K113" s="28"/>
      <c r="L113" s="28"/>
      <c r="M113" s="46"/>
      <c r="N113" s="28"/>
      <c r="O113" s="46"/>
      <c r="P113" s="7">
        <v>180</v>
      </c>
      <c r="Q113" s="47">
        <v>90</v>
      </c>
      <c r="R113" s="46"/>
      <c r="S113" s="47"/>
      <c r="T113" s="32"/>
      <c r="U113" s="71">
        <f t="shared" si="3"/>
        <v>270</v>
      </c>
      <c r="V113" s="82" t="s">
        <v>7</v>
      </c>
      <c r="W113" s="2" t="s">
        <v>44</v>
      </c>
      <c r="X113" s="83" t="s">
        <v>18</v>
      </c>
      <c r="Y113" s="180"/>
      <c r="Z113" s="181"/>
    </row>
    <row r="114" spans="1:28" s="2" customFormat="1" ht="14.1" customHeight="1" x14ac:dyDescent="0.3">
      <c r="A114" s="98" t="s">
        <v>93</v>
      </c>
      <c r="B114" s="3" t="s">
        <v>281</v>
      </c>
      <c r="C114" s="4"/>
      <c r="D114" s="70">
        <v>8280293</v>
      </c>
      <c r="E114" s="136">
        <v>44071</v>
      </c>
      <c r="F114" s="48" t="s">
        <v>21</v>
      </c>
      <c r="G114" s="79">
        <v>44071</v>
      </c>
      <c r="H114" s="46"/>
      <c r="I114" s="28"/>
      <c r="J114" s="28"/>
      <c r="K114" s="28"/>
      <c r="L114" s="28"/>
      <c r="M114" s="46"/>
      <c r="N114" s="28"/>
      <c r="O114" s="46"/>
      <c r="P114" s="7"/>
      <c r="Q114" s="47"/>
      <c r="R114" s="46">
        <v>49</v>
      </c>
      <c r="S114" s="47">
        <v>9</v>
      </c>
      <c r="T114" s="32">
        <v>4.04</v>
      </c>
      <c r="U114" s="71">
        <f t="shared" si="3"/>
        <v>62.04</v>
      </c>
      <c r="V114" s="82" t="s">
        <v>36</v>
      </c>
      <c r="W114" s="2" t="s">
        <v>5</v>
      </c>
      <c r="X114" s="83" t="s">
        <v>18</v>
      </c>
      <c r="Y114" s="180"/>
      <c r="Z114" s="181"/>
    </row>
    <row r="115" spans="1:28" s="2" customFormat="1" ht="14.1" customHeight="1" x14ac:dyDescent="0.3">
      <c r="A115" s="102" t="s">
        <v>5</v>
      </c>
      <c r="B115" s="189" t="s">
        <v>117</v>
      </c>
      <c r="C115" s="190" t="s">
        <v>184</v>
      </c>
      <c r="D115" s="104">
        <v>4200101</v>
      </c>
      <c r="E115" s="141">
        <v>43941</v>
      </c>
      <c r="F115" s="43" t="s">
        <v>21</v>
      </c>
      <c r="G115" s="191">
        <v>43941</v>
      </c>
      <c r="H115" s="58"/>
      <c r="I115" s="60"/>
      <c r="J115" s="60"/>
      <c r="K115" s="60"/>
      <c r="L115" s="60"/>
      <c r="M115" s="58"/>
      <c r="N115" s="60"/>
      <c r="O115" s="58"/>
      <c r="P115" s="192"/>
      <c r="Q115" s="57"/>
      <c r="R115" s="58">
        <v>153</v>
      </c>
      <c r="S115" s="57"/>
      <c r="T115" s="59">
        <v>13.01</v>
      </c>
      <c r="U115" s="138">
        <f t="shared" si="3"/>
        <v>166.01</v>
      </c>
      <c r="V115" s="113" t="s">
        <v>36</v>
      </c>
      <c r="W115" s="67" t="s">
        <v>5</v>
      </c>
      <c r="X115" s="83" t="s">
        <v>312</v>
      </c>
      <c r="Y115" s="272"/>
    </row>
    <row r="116" spans="1:28" s="2" customFormat="1" ht="14.1" customHeight="1" x14ac:dyDescent="0.3">
      <c r="A116" s="101" t="s">
        <v>5</v>
      </c>
      <c r="B116" s="169" t="s">
        <v>117</v>
      </c>
      <c r="C116" s="170" t="s">
        <v>184</v>
      </c>
      <c r="D116" s="103">
        <v>6190101</v>
      </c>
      <c r="E116" s="142">
        <v>44001</v>
      </c>
      <c r="F116" s="99" t="s">
        <v>21</v>
      </c>
      <c r="G116" s="171">
        <v>44001</v>
      </c>
      <c r="H116" s="54"/>
      <c r="I116" s="56"/>
      <c r="J116" s="56"/>
      <c r="K116" s="56"/>
      <c r="L116" s="56"/>
      <c r="M116" s="54"/>
      <c r="N116" s="56"/>
      <c r="O116" s="54"/>
      <c r="P116" s="173"/>
      <c r="Q116" s="53"/>
      <c r="R116" s="54">
        <v>180</v>
      </c>
      <c r="S116" s="53"/>
      <c r="T116" s="55">
        <v>15.3</v>
      </c>
      <c r="U116" s="145">
        <f t="shared" si="3"/>
        <v>195.3</v>
      </c>
      <c r="V116" s="111" t="s">
        <v>36</v>
      </c>
      <c r="W116" s="172" t="s">
        <v>5</v>
      </c>
      <c r="X116" s="83" t="s">
        <v>312</v>
      </c>
      <c r="Y116" s="272"/>
    </row>
    <row r="117" spans="1:28" s="2" customFormat="1" ht="14.1" customHeight="1" x14ac:dyDescent="0.3">
      <c r="A117" s="100" t="s">
        <v>5</v>
      </c>
      <c r="B117" s="105" t="s">
        <v>117</v>
      </c>
      <c r="C117" s="140" t="s">
        <v>205</v>
      </c>
      <c r="D117" s="144">
        <v>7210102</v>
      </c>
      <c r="E117" s="143">
        <v>44033</v>
      </c>
      <c r="F117" s="44" t="s">
        <v>21</v>
      </c>
      <c r="G117" s="108">
        <v>44033</v>
      </c>
      <c r="H117" s="50"/>
      <c r="I117" s="52"/>
      <c r="J117" s="52"/>
      <c r="K117" s="52"/>
      <c r="L117" s="52"/>
      <c r="M117" s="50"/>
      <c r="N117" s="52"/>
      <c r="O117" s="50"/>
      <c r="P117" s="166"/>
      <c r="Q117" s="49"/>
      <c r="R117" s="50">
        <v>173</v>
      </c>
      <c r="S117" s="49"/>
      <c r="T117" s="51">
        <v>14.71</v>
      </c>
      <c r="U117" s="139">
        <f t="shared" si="3"/>
        <v>187.71</v>
      </c>
      <c r="V117" s="112" t="s">
        <v>36</v>
      </c>
      <c r="W117" s="66" t="s">
        <v>5</v>
      </c>
      <c r="X117" s="83" t="s">
        <v>312</v>
      </c>
      <c r="Y117" s="180"/>
    </row>
    <row r="118" spans="1:28" s="2" customFormat="1" ht="14.1" customHeight="1" x14ac:dyDescent="0.3">
      <c r="A118" s="100" t="s">
        <v>5</v>
      </c>
      <c r="B118" s="105" t="s">
        <v>117</v>
      </c>
      <c r="C118" s="140" t="s">
        <v>184</v>
      </c>
      <c r="D118" s="144">
        <v>7240107</v>
      </c>
      <c r="E118" s="143">
        <v>44036</v>
      </c>
      <c r="F118" s="44" t="s">
        <v>21</v>
      </c>
      <c r="G118" s="108">
        <v>44036</v>
      </c>
      <c r="H118" s="50"/>
      <c r="I118" s="52"/>
      <c r="J118" s="52"/>
      <c r="K118" s="52"/>
      <c r="L118" s="52"/>
      <c r="M118" s="50"/>
      <c r="N118" s="52"/>
      <c r="O118" s="50"/>
      <c r="P118" s="166"/>
      <c r="Q118" s="49"/>
      <c r="R118" s="50">
        <v>117</v>
      </c>
      <c r="S118" s="49"/>
      <c r="T118" s="51">
        <v>9.9499999999999993</v>
      </c>
      <c r="U118" s="139">
        <f t="shared" si="3"/>
        <v>126.95</v>
      </c>
      <c r="V118" s="112" t="s">
        <v>36</v>
      </c>
      <c r="W118" s="66" t="s">
        <v>5</v>
      </c>
      <c r="X118" s="83" t="s">
        <v>312</v>
      </c>
      <c r="Y118" s="180"/>
    </row>
    <row r="119" spans="1:28" s="2" customFormat="1" ht="14.1" customHeight="1" x14ac:dyDescent="0.3">
      <c r="A119" s="100" t="s">
        <v>5</v>
      </c>
      <c r="B119" s="105" t="s">
        <v>117</v>
      </c>
      <c r="C119" s="140" t="s">
        <v>293</v>
      </c>
      <c r="D119" s="144">
        <v>8100101</v>
      </c>
      <c r="E119" s="143">
        <v>44053</v>
      </c>
      <c r="F119" s="44" t="s">
        <v>21</v>
      </c>
      <c r="G119" s="108">
        <v>44053</v>
      </c>
      <c r="H119" s="50"/>
      <c r="I119" s="52"/>
      <c r="J119" s="52"/>
      <c r="K119" s="52"/>
      <c r="L119" s="52"/>
      <c r="M119" s="50"/>
      <c r="N119" s="52"/>
      <c r="O119" s="50"/>
      <c r="P119" s="166"/>
      <c r="Q119" s="49"/>
      <c r="R119" s="50">
        <v>78</v>
      </c>
      <c r="S119" s="49"/>
      <c r="T119" s="51">
        <v>7.41</v>
      </c>
      <c r="U119" s="139">
        <f t="shared" ref="U119:U150" si="4">SUM(H119:T119)</f>
        <v>85.41</v>
      </c>
      <c r="V119" s="112" t="s">
        <v>36</v>
      </c>
      <c r="W119" s="66" t="s">
        <v>80</v>
      </c>
      <c r="X119" s="83" t="s">
        <v>312</v>
      </c>
      <c r="Y119" s="180"/>
      <c r="Z119" s="181"/>
    </row>
    <row r="120" spans="1:28" s="2" customFormat="1" ht="14.1" customHeight="1" x14ac:dyDescent="0.3">
      <c r="A120" s="102" t="s">
        <v>49</v>
      </c>
      <c r="B120" s="189" t="s">
        <v>53</v>
      </c>
      <c r="C120" s="190"/>
      <c r="D120" s="104">
        <v>1020061</v>
      </c>
      <c r="E120" s="141">
        <v>43832</v>
      </c>
      <c r="F120" s="43" t="s">
        <v>21</v>
      </c>
      <c r="G120" s="154">
        <v>43832</v>
      </c>
      <c r="H120" s="58"/>
      <c r="I120" s="60"/>
      <c r="J120" s="60"/>
      <c r="K120" s="60"/>
      <c r="L120" s="60"/>
      <c r="M120" s="58"/>
      <c r="N120" s="60"/>
      <c r="O120" s="58"/>
      <c r="P120" s="192"/>
      <c r="Q120" s="57"/>
      <c r="R120" s="58">
        <v>194.5</v>
      </c>
      <c r="S120" s="57"/>
      <c r="T120" s="59">
        <v>16.53</v>
      </c>
      <c r="U120" s="138">
        <f t="shared" si="4"/>
        <v>211.03</v>
      </c>
      <c r="V120" s="113" t="s">
        <v>36</v>
      </c>
      <c r="W120" s="158" t="s">
        <v>80</v>
      </c>
      <c r="X120" s="83" t="s">
        <v>312</v>
      </c>
      <c r="Y120" s="272"/>
    </row>
    <row r="121" spans="1:28" s="2" customFormat="1" ht="14.1" customHeight="1" x14ac:dyDescent="0.3">
      <c r="A121" s="102" t="s">
        <v>5</v>
      </c>
      <c r="B121" s="189" t="s">
        <v>53</v>
      </c>
      <c r="C121" s="190"/>
      <c r="D121" s="104">
        <v>2100061</v>
      </c>
      <c r="E121" s="141">
        <v>43871</v>
      </c>
      <c r="F121" s="43" t="s">
        <v>21</v>
      </c>
      <c r="G121" s="191">
        <v>43871</v>
      </c>
      <c r="H121" s="58"/>
      <c r="I121" s="60"/>
      <c r="J121" s="60"/>
      <c r="K121" s="60"/>
      <c r="L121" s="60"/>
      <c r="M121" s="58"/>
      <c r="N121" s="60"/>
      <c r="O121" s="58"/>
      <c r="P121" s="192"/>
      <c r="Q121" s="57"/>
      <c r="R121" s="58">
        <v>259.5</v>
      </c>
      <c r="S121" s="57"/>
      <c r="T121" s="59">
        <v>22.06</v>
      </c>
      <c r="U121" s="138">
        <f t="shared" si="4"/>
        <v>281.56</v>
      </c>
      <c r="V121" s="113" t="s">
        <v>36</v>
      </c>
      <c r="W121" s="158" t="s">
        <v>80</v>
      </c>
      <c r="X121" s="83" t="s">
        <v>312</v>
      </c>
      <c r="Y121" s="272"/>
    </row>
    <row r="122" spans="1:28" s="2" customFormat="1" ht="14.1" customHeight="1" x14ac:dyDescent="0.3">
      <c r="A122" s="100" t="s">
        <v>5</v>
      </c>
      <c r="B122" s="105" t="s">
        <v>53</v>
      </c>
      <c r="C122" s="140"/>
      <c r="D122" s="144">
        <v>8130101</v>
      </c>
      <c r="E122" s="143">
        <v>44056</v>
      </c>
      <c r="F122" s="44" t="s">
        <v>21</v>
      </c>
      <c r="G122" s="108">
        <v>44056</v>
      </c>
      <c r="H122" s="50"/>
      <c r="I122" s="52"/>
      <c r="J122" s="52"/>
      <c r="K122" s="52"/>
      <c r="L122" s="52"/>
      <c r="M122" s="50"/>
      <c r="N122" s="52"/>
      <c r="O122" s="50"/>
      <c r="P122" s="166"/>
      <c r="Q122" s="49"/>
      <c r="R122" s="50">
        <v>63</v>
      </c>
      <c r="S122" s="49"/>
      <c r="T122" s="51">
        <v>5.36</v>
      </c>
      <c r="U122" s="139">
        <f t="shared" si="4"/>
        <v>68.36</v>
      </c>
      <c r="V122" s="112" t="s">
        <v>36</v>
      </c>
      <c r="W122" s="66" t="s">
        <v>5</v>
      </c>
      <c r="X122" s="83" t="s">
        <v>312</v>
      </c>
      <c r="Y122" s="180"/>
      <c r="Z122" s="181"/>
    </row>
    <row r="123" spans="1:28" s="2" customFormat="1" ht="14.1" customHeight="1" x14ac:dyDescent="0.3">
      <c r="A123" s="102" t="s">
        <v>44</v>
      </c>
      <c r="B123" s="189" t="s">
        <v>178</v>
      </c>
      <c r="C123" s="190"/>
      <c r="D123" s="104">
        <v>3060041</v>
      </c>
      <c r="E123" s="141">
        <v>43896</v>
      </c>
      <c r="F123" s="43" t="s">
        <v>94</v>
      </c>
      <c r="G123" s="191">
        <v>43896</v>
      </c>
      <c r="H123" s="58"/>
      <c r="I123" s="60"/>
      <c r="J123" s="60"/>
      <c r="K123" s="60"/>
      <c r="L123" s="60"/>
      <c r="M123" s="58"/>
      <c r="N123" s="60"/>
      <c r="O123" s="58">
        <v>150</v>
      </c>
      <c r="P123" s="192"/>
      <c r="Q123" s="57">
        <v>9</v>
      </c>
      <c r="R123" s="58"/>
      <c r="S123" s="57"/>
      <c r="T123" s="59">
        <v>12.75</v>
      </c>
      <c r="U123" s="138">
        <f t="shared" si="4"/>
        <v>171.75</v>
      </c>
      <c r="V123" s="113" t="s">
        <v>36</v>
      </c>
      <c r="W123" s="67" t="s">
        <v>80</v>
      </c>
      <c r="X123" s="372" t="s">
        <v>179</v>
      </c>
      <c r="Y123" s="373"/>
      <c r="Z123" s="371"/>
    </row>
    <row r="124" spans="1:28" s="2" customFormat="1" ht="14.1" customHeight="1" x14ac:dyDescent="0.3">
      <c r="A124" s="102" t="s">
        <v>5</v>
      </c>
      <c r="B124" s="189" t="s">
        <v>175</v>
      </c>
      <c r="C124" s="190"/>
      <c r="D124" s="104">
        <v>2280061</v>
      </c>
      <c r="E124" s="141">
        <v>43889</v>
      </c>
      <c r="F124" s="43" t="s">
        <v>21</v>
      </c>
      <c r="G124" s="191">
        <v>43889</v>
      </c>
      <c r="H124" s="58"/>
      <c r="I124" s="60"/>
      <c r="J124" s="60"/>
      <c r="K124" s="60"/>
      <c r="L124" s="60"/>
      <c r="M124" s="58"/>
      <c r="N124" s="60"/>
      <c r="O124" s="58"/>
      <c r="P124" s="192"/>
      <c r="Q124" s="57"/>
      <c r="R124" s="58">
        <v>212</v>
      </c>
      <c r="S124" s="57"/>
      <c r="T124" s="59">
        <v>20.14</v>
      </c>
      <c r="U124" s="138">
        <f t="shared" si="4"/>
        <v>232.14</v>
      </c>
      <c r="V124" s="113" t="s">
        <v>43</v>
      </c>
      <c r="W124" s="158" t="s">
        <v>5</v>
      </c>
      <c r="X124" s="83" t="s">
        <v>176</v>
      </c>
      <c r="Y124" s="272"/>
    </row>
    <row r="125" spans="1:28" s="2" customFormat="1" ht="14.1" customHeight="1" x14ac:dyDescent="0.3">
      <c r="A125" s="102" t="s">
        <v>49</v>
      </c>
      <c r="B125" s="189" t="s">
        <v>120</v>
      </c>
      <c r="C125" s="190"/>
      <c r="D125" s="104">
        <v>7039103</v>
      </c>
      <c r="E125" s="141">
        <v>43649</v>
      </c>
      <c r="F125" s="43" t="s">
        <v>21</v>
      </c>
      <c r="G125" s="154">
        <v>43649</v>
      </c>
      <c r="H125" s="58"/>
      <c r="I125" s="60"/>
      <c r="J125" s="60"/>
      <c r="K125" s="60"/>
      <c r="L125" s="60"/>
      <c r="M125" s="58"/>
      <c r="N125" s="60"/>
      <c r="O125" s="58"/>
      <c r="P125" s="192"/>
      <c r="Q125" s="57"/>
      <c r="R125" s="58">
        <v>674</v>
      </c>
      <c r="S125" s="57"/>
      <c r="T125" s="59">
        <v>57.29</v>
      </c>
      <c r="U125" s="138">
        <f t="shared" si="4"/>
        <v>731.29</v>
      </c>
      <c r="V125" s="113" t="s">
        <v>36</v>
      </c>
      <c r="W125" s="158" t="s">
        <v>80</v>
      </c>
      <c r="X125" s="83" t="s">
        <v>220</v>
      </c>
      <c r="Y125" s="272"/>
    </row>
    <row r="126" spans="1:28" s="2" customFormat="1" ht="14.1" customHeight="1" x14ac:dyDescent="0.3">
      <c r="A126" s="100" t="s">
        <v>5</v>
      </c>
      <c r="B126" s="105" t="s">
        <v>212</v>
      </c>
      <c r="C126" s="140"/>
      <c r="D126" s="144">
        <v>4280067</v>
      </c>
      <c r="E126" s="143">
        <v>43949</v>
      </c>
      <c r="F126" s="44" t="s">
        <v>207</v>
      </c>
      <c r="G126" s="108">
        <v>44036</v>
      </c>
      <c r="H126" s="50">
        <v>3185</v>
      </c>
      <c r="I126" s="52"/>
      <c r="J126" s="52"/>
      <c r="K126" s="52"/>
      <c r="L126" s="52"/>
      <c r="M126" s="50"/>
      <c r="N126" s="52"/>
      <c r="O126" s="50"/>
      <c r="P126" s="166"/>
      <c r="Q126" s="49"/>
      <c r="R126" s="50"/>
      <c r="S126" s="49"/>
      <c r="T126" s="51"/>
      <c r="U126" s="139">
        <f t="shared" si="4"/>
        <v>3185</v>
      </c>
      <c r="V126" s="112" t="s">
        <v>36</v>
      </c>
      <c r="W126" s="66" t="s">
        <v>5</v>
      </c>
      <c r="X126" s="333" t="s">
        <v>79</v>
      </c>
      <c r="Y126" s="228" t="s">
        <v>286</v>
      </c>
      <c r="Z126" s="371"/>
      <c r="AA126" s="371"/>
      <c r="AB126" s="161"/>
    </row>
    <row r="127" spans="1:28" s="2" customFormat="1" ht="14.1" customHeight="1" x14ac:dyDescent="0.3">
      <c r="A127" s="100" t="s">
        <v>35</v>
      </c>
      <c r="B127" s="105" t="s">
        <v>212</v>
      </c>
      <c r="C127" s="140"/>
      <c r="D127" s="144">
        <v>8040291</v>
      </c>
      <c r="E127" s="143">
        <v>44047</v>
      </c>
      <c r="F127" s="44" t="s">
        <v>21</v>
      </c>
      <c r="G127" s="108">
        <v>44050</v>
      </c>
      <c r="H127" s="50"/>
      <c r="I127" s="52"/>
      <c r="J127" s="52"/>
      <c r="K127" s="52"/>
      <c r="L127" s="52"/>
      <c r="M127" s="50"/>
      <c r="N127" s="52"/>
      <c r="O127" s="50"/>
      <c r="P127" s="166"/>
      <c r="Q127" s="49"/>
      <c r="R127" s="50">
        <v>195</v>
      </c>
      <c r="S127" s="49">
        <v>45</v>
      </c>
      <c r="T127" s="51"/>
      <c r="U127" s="139">
        <f t="shared" si="4"/>
        <v>240</v>
      </c>
      <c r="V127" s="112" t="s">
        <v>36</v>
      </c>
      <c r="W127" s="66" t="s">
        <v>5</v>
      </c>
      <c r="X127" s="83" t="s">
        <v>18</v>
      </c>
      <c r="Y127" s="180"/>
      <c r="Z127" s="181"/>
    </row>
    <row r="128" spans="1:28" s="2" customFormat="1" ht="14.1" customHeight="1" x14ac:dyDescent="0.3">
      <c r="A128" s="98" t="s">
        <v>48</v>
      </c>
      <c r="B128" s="3" t="s">
        <v>219</v>
      </c>
      <c r="C128" s="4" t="s">
        <v>249</v>
      </c>
      <c r="D128" s="70">
        <v>8200251</v>
      </c>
      <c r="E128" s="136">
        <v>44063</v>
      </c>
      <c r="F128" s="48" t="s">
        <v>21</v>
      </c>
      <c r="G128" s="79">
        <v>44063</v>
      </c>
      <c r="H128" s="46"/>
      <c r="I128" s="28"/>
      <c r="J128" s="28"/>
      <c r="K128" s="28"/>
      <c r="L128" s="28"/>
      <c r="M128" s="46"/>
      <c r="N128" s="28"/>
      <c r="O128" s="46"/>
      <c r="P128" s="7"/>
      <c r="Q128" s="47"/>
      <c r="R128" s="46">
        <v>122</v>
      </c>
      <c r="S128" s="47"/>
      <c r="T128" s="32">
        <v>11.9</v>
      </c>
      <c r="U128" s="71">
        <f t="shared" si="4"/>
        <v>133.9</v>
      </c>
      <c r="V128" s="82" t="s">
        <v>36</v>
      </c>
      <c r="W128" s="2" t="s">
        <v>5</v>
      </c>
      <c r="X128" s="83" t="s">
        <v>328</v>
      </c>
      <c r="Y128" s="180"/>
      <c r="Z128" s="181"/>
    </row>
    <row r="129" spans="1:26" s="2" customFormat="1" ht="14.1" customHeight="1" x14ac:dyDescent="0.3">
      <c r="A129" s="98" t="s">
        <v>5</v>
      </c>
      <c r="B129" s="3" t="s">
        <v>219</v>
      </c>
      <c r="C129" s="4" t="s">
        <v>250</v>
      </c>
      <c r="D129" s="70">
        <v>8200101</v>
      </c>
      <c r="E129" s="136">
        <v>44063</v>
      </c>
      <c r="F129" s="48" t="s">
        <v>21</v>
      </c>
      <c r="G129" s="79">
        <v>44063</v>
      </c>
      <c r="H129" s="46"/>
      <c r="I129" s="28"/>
      <c r="J129" s="28"/>
      <c r="K129" s="28"/>
      <c r="L129" s="28"/>
      <c r="M129" s="46"/>
      <c r="N129" s="28"/>
      <c r="O129" s="46"/>
      <c r="P129" s="7"/>
      <c r="Q129" s="47"/>
      <c r="R129" s="46">
        <v>97</v>
      </c>
      <c r="S129" s="47"/>
      <c r="T129" s="32">
        <v>8.73</v>
      </c>
      <c r="U129" s="71">
        <f t="shared" si="4"/>
        <v>105.73</v>
      </c>
      <c r="V129" s="82" t="s">
        <v>36</v>
      </c>
      <c r="W129" s="2" t="s">
        <v>5</v>
      </c>
      <c r="X129" s="83" t="s">
        <v>328</v>
      </c>
      <c r="Y129" s="180"/>
      <c r="Z129" s="181"/>
    </row>
    <row r="130" spans="1:26" s="2" customFormat="1" ht="14.1" customHeight="1" x14ac:dyDescent="0.3">
      <c r="A130" s="102" t="s">
        <v>49</v>
      </c>
      <c r="B130" s="189" t="s">
        <v>162</v>
      </c>
      <c r="C130" s="190"/>
      <c r="D130" s="104">
        <v>7039104</v>
      </c>
      <c r="E130" s="141">
        <v>43649</v>
      </c>
      <c r="F130" s="43" t="s">
        <v>21</v>
      </c>
      <c r="G130" s="154">
        <v>43649</v>
      </c>
      <c r="H130" s="58"/>
      <c r="I130" s="60"/>
      <c r="J130" s="60"/>
      <c r="K130" s="60"/>
      <c r="L130" s="60"/>
      <c r="M130" s="58"/>
      <c r="N130" s="60"/>
      <c r="O130" s="58"/>
      <c r="P130" s="192"/>
      <c r="Q130" s="57"/>
      <c r="R130" s="58">
        <v>510</v>
      </c>
      <c r="S130" s="57"/>
      <c r="T130" s="59">
        <v>43.35</v>
      </c>
      <c r="U130" s="138">
        <f t="shared" si="4"/>
        <v>553.35</v>
      </c>
      <c r="V130" s="113" t="s">
        <v>36</v>
      </c>
      <c r="W130" s="158" t="s">
        <v>80</v>
      </c>
      <c r="X130" s="83" t="s">
        <v>363</v>
      </c>
      <c r="Y130" s="272"/>
    </row>
    <row r="131" spans="1:26" s="2" customFormat="1" ht="14.1" customHeight="1" x14ac:dyDescent="0.3">
      <c r="A131" s="102" t="s">
        <v>49</v>
      </c>
      <c r="B131" s="189" t="s">
        <v>162</v>
      </c>
      <c r="C131" s="190"/>
      <c r="D131" s="104">
        <v>12039103</v>
      </c>
      <c r="E131" s="141">
        <v>43802</v>
      </c>
      <c r="F131" s="43" t="s">
        <v>21</v>
      </c>
      <c r="G131" s="154">
        <v>43802</v>
      </c>
      <c r="H131" s="58"/>
      <c r="I131" s="60"/>
      <c r="J131" s="60"/>
      <c r="K131" s="60"/>
      <c r="L131" s="60"/>
      <c r="M131" s="58"/>
      <c r="N131" s="60"/>
      <c r="O131" s="58"/>
      <c r="P131" s="192"/>
      <c r="Q131" s="57"/>
      <c r="R131" s="58">
        <v>510</v>
      </c>
      <c r="S131" s="57"/>
      <c r="T131" s="59">
        <v>43.35</v>
      </c>
      <c r="U131" s="138">
        <f t="shared" si="4"/>
        <v>553.35</v>
      </c>
      <c r="V131" s="113" t="s">
        <v>36</v>
      </c>
      <c r="W131" s="158" t="s">
        <v>5</v>
      </c>
      <c r="X131" s="83" t="s">
        <v>240</v>
      </c>
      <c r="Y131" s="272"/>
    </row>
    <row r="132" spans="1:26" s="2" customFormat="1" ht="14.1" customHeight="1" x14ac:dyDescent="0.3">
      <c r="A132" s="100" t="s">
        <v>8</v>
      </c>
      <c r="B132" s="105" t="s">
        <v>130</v>
      </c>
      <c r="C132" s="140"/>
      <c r="D132" s="144">
        <v>8010053</v>
      </c>
      <c r="E132" s="143">
        <v>44044</v>
      </c>
      <c r="F132" s="44" t="s">
        <v>141</v>
      </c>
      <c r="G132" s="108">
        <v>44044</v>
      </c>
      <c r="H132" s="50"/>
      <c r="I132" s="52"/>
      <c r="J132" s="52"/>
      <c r="K132" s="52"/>
      <c r="L132" s="52"/>
      <c r="M132" s="50"/>
      <c r="N132" s="52">
        <v>275</v>
      </c>
      <c r="O132" s="50"/>
      <c r="P132" s="166"/>
      <c r="Q132" s="49"/>
      <c r="R132" s="50"/>
      <c r="S132" s="49"/>
      <c r="T132" s="51"/>
      <c r="U132" s="139">
        <f t="shared" si="4"/>
        <v>275</v>
      </c>
      <c r="V132" s="112" t="s">
        <v>29</v>
      </c>
      <c r="W132" s="66" t="s">
        <v>8</v>
      </c>
      <c r="X132" s="83" t="s">
        <v>18</v>
      </c>
      <c r="Y132" s="180"/>
      <c r="Z132" s="181"/>
    </row>
    <row r="133" spans="1:26" s="2" customFormat="1" ht="14.1" customHeight="1" x14ac:dyDescent="0.3">
      <c r="A133" s="102" t="s">
        <v>49</v>
      </c>
      <c r="B133" s="189" t="s">
        <v>180</v>
      </c>
      <c r="C133" s="190"/>
      <c r="D133" s="104">
        <v>3130103</v>
      </c>
      <c r="E133" s="141">
        <v>43903</v>
      </c>
      <c r="F133" s="43" t="s">
        <v>21</v>
      </c>
      <c r="G133" s="191">
        <v>43903</v>
      </c>
      <c r="H133" s="58"/>
      <c r="I133" s="60"/>
      <c r="J133" s="60"/>
      <c r="K133" s="60"/>
      <c r="L133" s="60"/>
      <c r="M133" s="58"/>
      <c r="N133" s="60"/>
      <c r="O133" s="58"/>
      <c r="P133" s="192"/>
      <c r="Q133" s="57"/>
      <c r="R133" s="58">
        <v>84</v>
      </c>
      <c r="S133" s="57"/>
      <c r="T133" s="59">
        <v>7.77</v>
      </c>
      <c r="U133" s="138">
        <f t="shared" si="4"/>
        <v>91.77</v>
      </c>
      <c r="V133" s="113" t="s">
        <v>39</v>
      </c>
      <c r="W133" s="67" t="s">
        <v>181</v>
      </c>
      <c r="X133" s="83" t="s">
        <v>182</v>
      </c>
      <c r="Y133" s="272"/>
    </row>
    <row r="134" spans="1:26" s="2" customFormat="1" ht="14.1" customHeight="1" x14ac:dyDescent="0.3">
      <c r="A134" s="98" t="s">
        <v>5</v>
      </c>
      <c r="B134" s="3" t="s">
        <v>263</v>
      </c>
      <c r="C134" s="4"/>
      <c r="D134" s="70">
        <v>8250103</v>
      </c>
      <c r="E134" s="136">
        <v>44068</v>
      </c>
      <c r="F134" s="48" t="s">
        <v>21</v>
      </c>
      <c r="G134" s="79">
        <v>44068</v>
      </c>
      <c r="H134" s="46"/>
      <c r="I134" s="28"/>
      <c r="J134" s="28"/>
      <c r="K134" s="28"/>
      <c r="L134" s="28"/>
      <c r="M134" s="46"/>
      <c r="N134" s="28"/>
      <c r="O134" s="46"/>
      <c r="P134" s="7"/>
      <c r="Q134" s="47"/>
      <c r="R134" s="46">
        <v>59</v>
      </c>
      <c r="S134" s="47"/>
      <c r="T134" s="32"/>
      <c r="U134" s="71">
        <f t="shared" si="4"/>
        <v>59</v>
      </c>
      <c r="V134" s="82" t="s">
        <v>36</v>
      </c>
      <c r="W134" s="2" t="s">
        <v>5</v>
      </c>
      <c r="X134" s="83" t="s">
        <v>328</v>
      </c>
      <c r="Y134" s="180"/>
      <c r="Z134" s="181"/>
    </row>
    <row r="135" spans="1:26" s="2" customFormat="1" ht="14.1" customHeight="1" x14ac:dyDescent="0.3">
      <c r="A135" s="98" t="s">
        <v>93</v>
      </c>
      <c r="B135" s="3" t="s">
        <v>257</v>
      </c>
      <c r="C135" s="4" t="s">
        <v>258</v>
      </c>
      <c r="D135" s="70">
        <v>8240291</v>
      </c>
      <c r="E135" s="136">
        <v>44067</v>
      </c>
      <c r="F135" s="48" t="s">
        <v>97</v>
      </c>
      <c r="G135" s="79">
        <v>44067</v>
      </c>
      <c r="H135" s="46"/>
      <c r="I135" s="28"/>
      <c r="J135" s="28"/>
      <c r="K135" s="28"/>
      <c r="L135" s="28"/>
      <c r="M135" s="46"/>
      <c r="N135" s="28"/>
      <c r="O135" s="46">
        <v>65</v>
      </c>
      <c r="P135" s="7">
        <v>90</v>
      </c>
      <c r="Q135" s="47"/>
      <c r="R135" s="46"/>
      <c r="S135" s="47"/>
      <c r="T135" s="32">
        <v>5.69</v>
      </c>
      <c r="U135" s="71">
        <f t="shared" si="4"/>
        <v>160.69</v>
      </c>
      <c r="V135" s="82" t="s">
        <v>39</v>
      </c>
      <c r="W135" s="2" t="s">
        <v>259</v>
      </c>
      <c r="X135" s="83" t="s">
        <v>328</v>
      </c>
      <c r="Y135" s="180"/>
      <c r="Z135" s="181"/>
    </row>
    <row r="136" spans="1:26" s="2" customFormat="1" ht="14.1" customHeight="1" x14ac:dyDescent="0.3">
      <c r="A136" s="98" t="s">
        <v>5</v>
      </c>
      <c r="B136" s="3" t="s">
        <v>257</v>
      </c>
      <c r="C136" s="4" t="s">
        <v>265</v>
      </c>
      <c r="D136" s="70">
        <v>8250061</v>
      </c>
      <c r="E136" s="136">
        <v>44068</v>
      </c>
      <c r="F136" s="48" t="s">
        <v>266</v>
      </c>
      <c r="G136" s="79">
        <v>44068</v>
      </c>
      <c r="H136" s="46">
        <v>375</v>
      </c>
      <c r="I136" s="28"/>
      <c r="J136" s="28"/>
      <c r="K136" s="28"/>
      <c r="L136" s="28"/>
      <c r="M136" s="46"/>
      <c r="N136" s="28"/>
      <c r="O136" s="46"/>
      <c r="P136" s="7"/>
      <c r="Q136" s="47"/>
      <c r="R136" s="46"/>
      <c r="S136" s="47"/>
      <c r="T136" s="32">
        <v>33.75</v>
      </c>
      <c r="U136" s="71">
        <f t="shared" si="4"/>
        <v>408.75</v>
      </c>
      <c r="V136" s="82" t="s">
        <v>39</v>
      </c>
      <c r="W136" s="2" t="s">
        <v>267</v>
      </c>
      <c r="X136" s="83" t="s">
        <v>328</v>
      </c>
      <c r="Y136" s="180"/>
      <c r="Z136" s="181"/>
    </row>
    <row r="137" spans="1:26" s="2" customFormat="1" ht="14.1" customHeight="1" x14ac:dyDescent="0.3">
      <c r="A137" s="98" t="s">
        <v>5</v>
      </c>
      <c r="B137" s="3" t="s">
        <v>257</v>
      </c>
      <c r="C137" s="4" t="s">
        <v>268</v>
      </c>
      <c r="D137" s="70">
        <v>8250062</v>
      </c>
      <c r="E137" s="136">
        <v>44068</v>
      </c>
      <c r="F137" s="48" t="s">
        <v>266</v>
      </c>
      <c r="G137" s="79">
        <v>44068</v>
      </c>
      <c r="H137" s="46">
        <v>375</v>
      </c>
      <c r="I137" s="28"/>
      <c r="J137" s="28"/>
      <c r="K137" s="28"/>
      <c r="L137" s="28"/>
      <c r="M137" s="46"/>
      <c r="N137" s="28"/>
      <c r="O137" s="46"/>
      <c r="P137" s="7"/>
      <c r="Q137" s="47"/>
      <c r="R137" s="46"/>
      <c r="S137" s="47"/>
      <c r="T137" s="32">
        <v>33.75</v>
      </c>
      <c r="U137" s="71">
        <f t="shared" si="4"/>
        <v>408.75</v>
      </c>
      <c r="V137" s="82" t="s">
        <v>39</v>
      </c>
      <c r="W137" s="2" t="s">
        <v>267</v>
      </c>
      <c r="X137" s="83" t="s">
        <v>328</v>
      </c>
      <c r="Y137" s="180"/>
      <c r="Z137" s="181"/>
    </row>
    <row r="138" spans="1:26" s="2" customFormat="1" ht="14.1" customHeight="1" x14ac:dyDescent="0.3">
      <c r="A138" s="98" t="s">
        <v>5</v>
      </c>
      <c r="B138" s="3" t="s">
        <v>257</v>
      </c>
      <c r="C138" s="4" t="s">
        <v>258</v>
      </c>
      <c r="D138" s="70">
        <v>8250063</v>
      </c>
      <c r="E138" s="136">
        <v>44068</v>
      </c>
      <c r="F138" s="48" t="s">
        <v>266</v>
      </c>
      <c r="G138" s="79">
        <v>44068</v>
      </c>
      <c r="H138" s="46">
        <v>375</v>
      </c>
      <c r="I138" s="28"/>
      <c r="J138" s="28"/>
      <c r="K138" s="28"/>
      <c r="L138" s="28"/>
      <c r="M138" s="46"/>
      <c r="N138" s="28"/>
      <c r="O138" s="46"/>
      <c r="P138" s="7"/>
      <c r="Q138" s="47"/>
      <c r="R138" s="46"/>
      <c r="S138" s="47"/>
      <c r="T138" s="32">
        <v>33.75</v>
      </c>
      <c r="U138" s="71">
        <f t="shared" si="4"/>
        <v>408.75</v>
      </c>
      <c r="V138" s="82" t="s">
        <v>39</v>
      </c>
      <c r="W138" s="2" t="s">
        <v>267</v>
      </c>
      <c r="X138" s="83" t="s">
        <v>328</v>
      </c>
      <c r="Y138" s="180"/>
      <c r="Z138" s="181"/>
    </row>
    <row r="139" spans="1:26" s="2" customFormat="1" ht="14.1" customHeight="1" x14ac:dyDescent="0.3">
      <c r="A139" s="98" t="s">
        <v>5</v>
      </c>
      <c r="B139" s="3" t="s">
        <v>257</v>
      </c>
      <c r="C139" s="4" t="s">
        <v>203</v>
      </c>
      <c r="D139" s="70">
        <v>8250064</v>
      </c>
      <c r="E139" s="136">
        <v>44068</v>
      </c>
      <c r="F139" s="48" t="s">
        <v>266</v>
      </c>
      <c r="G139" s="79">
        <v>44068</v>
      </c>
      <c r="H139" s="46">
        <v>375</v>
      </c>
      <c r="I139" s="28"/>
      <c r="J139" s="28"/>
      <c r="K139" s="28"/>
      <c r="L139" s="28"/>
      <c r="M139" s="46"/>
      <c r="N139" s="28"/>
      <c r="O139" s="46"/>
      <c r="P139" s="7"/>
      <c r="Q139" s="47"/>
      <c r="R139" s="46"/>
      <c r="S139" s="47"/>
      <c r="T139" s="32">
        <v>33.75</v>
      </c>
      <c r="U139" s="71">
        <f t="shared" si="4"/>
        <v>408.75</v>
      </c>
      <c r="V139" s="82" t="s">
        <v>39</v>
      </c>
      <c r="W139" s="2" t="s">
        <v>267</v>
      </c>
      <c r="X139" s="83" t="s">
        <v>328</v>
      </c>
      <c r="Y139" s="180"/>
      <c r="Z139" s="181"/>
    </row>
    <row r="140" spans="1:26" s="2" customFormat="1" ht="14.1" customHeight="1" x14ac:dyDescent="0.3">
      <c r="A140" s="98" t="s">
        <v>5</v>
      </c>
      <c r="B140" s="3" t="s">
        <v>257</v>
      </c>
      <c r="C140" s="4" t="s">
        <v>269</v>
      </c>
      <c r="D140" s="70">
        <v>8250065</v>
      </c>
      <c r="E140" s="136">
        <v>44068</v>
      </c>
      <c r="F140" s="48" t="s">
        <v>266</v>
      </c>
      <c r="G140" s="79">
        <v>44068</v>
      </c>
      <c r="H140" s="46">
        <v>375</v>
      </c>
      <c r="I140" s="28"/>
      <c r="J140" s="28"/>
      <c r="K140" s="28"/>
      <c r="L140" s="28"/>
      <c r="M140" s="46"/>
      <c r="N140" s="28"/>
      <c r="O140" s="46"/>
      <c r="P140" s="7"/>
      <c r="Q140" s="47"/>
      <c r="R140" s="46"/>
      <c r="S140" s="47"/>
      <c r="T140" s="32">
        <v>33.75</v>
      </c>
      <c r="U140" s="71">
        <f t="shared" si="4"/>
        <v>408.75</v>
      </c>
      <c r="V140" s="82" t="s">
        <v>39</v>
      </c>
      <c r="W140" s="2" t="s">
        <v>267</v>
      </c>
      <c r="X140" s="83" t="s">
        <v>328</v>
      </c>
      <c r="Y140" s="180"/>
      <c r="Z140" s="181"/>
    </row>
    <row r="141" spans="1:26" s="2" customFormat="1" ht="14.1" customHeight="1" x14ac:dyDescent="0.3">
      <c r="A141" s="98" t="s">
        <v>5</v>
      </c>
      <c r="B141" s="3" t="s">
        <v>257</v>
      </c>
      <c r="C141" s="4" t="s">
        <v>270</v>
      </c>
      <c r="D141" s="70">
        <v>8250066</v>
      </c>
      <c r="E141" s="136">
        <v>44068</v>
      </c>
      <c r="F141" s="48" t="s">
        <v>266</v>
      </c>
      <c r="G141" s="79">
        <v>44068</v>
      </c>
      <c r="H141" s="46">
        <v>375</v>
      </c>
      <c r="I141" s="28"/>
      <c r="J141" s="28"/>
      <c r="K141" s="28"/>
      <c r="L141" s="28"/>
      <c r="M141" s="46"/>
      <c r="N141" s="28"/>
      <c r="O141" s="46"/>
      <c r="P141" s="7"/>
      <c r="Q141" s="47"/>
      <c r="R141" s="46"/>
      <c r="S141" s="47"/>
      <c r="T141" s="32">
        <v>33.75</v>
      </c>
      <c r="U141" s="71">
        <f t="shared" si="4"/>
        <v>408.75</v>
      </c>
      <c r="V141" s="82" t="s">
        <v>39</v>
      </c>
      <c r="W141" s="2" t="s">
        <v>267</v>
      </c>
      <c r="X141" s="83" t="s">
        <v>328</v>
      </c>
      <c r="Y141" s="180"/>
      <c r="Z141" s="181"/>
    </row>
    <row r="142" spans="1:26" s="2" customFormat="1" ht="14.1" customHeight="1" x14ac:dyDescent="0.3">
      <c r="A142" s="98" t="s">
        <v>253</v>
      </c>
      <c r="B142" s="3" t="s">
        <v>217</v>
      </c>
      <c r="C142" s="4" t="s">
        <v>254</v>
      </c>
      <c r="D142" s="70">
        <v>8240053</v>
      </c>
      <c r="E142" s="136">
        <v>44067</v>
      </c>
      <c r="F142" s="48" t="s">
        <v>51</v>
      </c>
      <c r="G142" s="79">
        <v>44067</v>
      </c>
      <c r="H142" s="46"/>
      <c r="I142" s="28"/>
      <c r="J142" s="28"/>
      <c r="K142" s="28"/>
      <c r="L142" s="28"/>
      <c r="M142" s="46">
        <v>600</v>
      </c>
      <c r="N142" s="28"/>
      <c r="O142" s="46"/>
      <c r="P142" s="7"/>
      <c r="Q142" s="47"/>
      <c r="R142" s="46"/>
      <c r="S142" s="47"/>
      <c r="T142" s="32"/>
      <c r="U142" s="71">
        <f t="shared" si="4"/>
        <v>600</v>
      </c>
      <c r="V142" s="82" t="s">
        <v>29</v>
      </c>
      <c r="W142" s="2" t="s">
        <v>255</v>
      </c>
      <c r="X142" s="83" t="s">
        <v>18</v>
      </c>
      <c r="Y142" s="180"/>
      <c r="Z142" s="181"/>
    </row>
    <row r="143" spans="1:26" s="2" customFormat="1" ht="14.1" customHeight="1" x14ac:dyDescent="0.3">
      <c r="A143" s="98" t="s">
        <v>253</v>
      </c>
      <c r="B143" s="3" t="s">
        <v>217</v>
      </c>
      <c r="C143" s="4" t="s">
        <v>256</v>
      </c>
      <c r="D143" s="70">
        <v>8240052</v>
      </c>
      <c r="E143" s="136">
        <v>44067</v>
      </c>
      <c r="F143" s="48" t="s">
        <v>51</v>
      </c>
      <c r="G143" s="79">
        <v>44067</v>
      </c>
      <c r="H143" s="46"/>
      <c r="I143" s="28"/>
      <c r="J143" s="28"/>
      <c r="K143" s="28"/>
      <c r="L143" s="28"/>
      <c r="M143" s="46">
        <v>600</v>
      </c>
      <c r="N143" s="28"/>
      <c r="O143" s="46"/>
      <c r="P143" s="7"/>
      <c r="Q143" s="47"/>
      <c r="R143" s="46"/>
      <c r="S143" s="47"/>
      <c r="T143" s="32"/>
      <c r="U143" s="71">
        <f t="shared" si="4"/>
        <v>600</v>
      </c>
      <c r="V143" s="82" t="s">
        <v>29</v>
      </c>
      <c r="W143" s="2" t="s">
        <v>32</v>
      </c>
      <c r="X143" s="83" t="s">
        <v>18</v>
      </c>
      <c r="Y143" s="180"/>
      <c r="Z143" s="181"/>
    </row>
    <row r="144" spans="1:26" ht="13.5" customHeight="1" thickBot="1" x14ac:dyDescent="0.25">
      <c r="A144" s="348"/>
      <c r="B144" s="348"/>
      <c r="C144" s="348"/>
      <c r="D144" s="355"/>
      <c r="E144" s="349"/>
      <c r="F144" s="356"/>
      <c r="G144" s="350"/>
      <c r="H144" s="351"/>
      <c r="I144" s="351"/>
      <c r="J144" s="351"/>
      <c r="K144" s="351"/>
      <c r="L144" s="351"/>
      <c r="M144" s="351"/>
      <c r="N144" s="351"/>
      <c r="O144" s="351"/>
      <c r="P144" s="352"/>
      <c r="Q144" s="353"/>
      <c r="R144" s="347"/>
      <c r="S144" s="354"/>
      <c r="T144" s="361"/>
      <c r="U144" s="93"/>
      <c r="V144" s="347"/>
      <c r="X144" s="347"/>
    </row>
    <row r="145" spans="1:28" s="161" customFormat="1" ht="14.1" customHeight="1" thickBot="1" x14ac:dyDescent="0.35">
      <c r="A145" s="94"/>
      <c r="B145" s="285"/>
      <c r="C145" s="286"/>
      <c r="D145" s="296"/>
      <c r="E145" s="287"/>
      <c r="F145" s="296"/>
      <c r="G145" s="288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90"/>
      <c r="T145" s="290"/>
      <c r="U145" s="80"/>
      <c r="V145" s="300" t="s">
        <v>287</v>
      </c>
      <c r="W145" s="61">
        <f>SUM(U89:U143)</f>
        <v>17074.36</v>
      </c>
      <c r="X145" s="313">
        <f>W145/V145</f>
        <v>0.18299120108887865</v>
      </c>
      <c r="Y145" s="294"/>
      <c r="Z145" s="2"/>
      <c r="AA145" s="2"/>
      <c r="AB145" s="2"/>
    </row>
    <row r="146" spans="1:28" s="161" customFormat="1" ht="19.5" customHeight="1" thickBot="1" x14ac:dyDescent="0.4">
      <c r="A146" s="314"/>
      <c r="B146" s="315" t="s">
        <v>10</v>
      </c>
      <c r="C146" s="315"/>
      <c r="D146" s="45"/>
      <c r="E146" s="45"/>
      <c r="F146" s="357"/>
      <c r="G146" s="45"/>
      <c r="H146" s="316">
        <f t="shared" ref="H146:U146" si="5">SUM(H3:H143)</f>
        <v>6930</v>
      </c>
      <c r="I146" s="316">
        <f t="shared" si="5"/>
        <v>0</v>
      </c>
      <c r="J146" s="316">
        <f t="shared" si="5"/>
        <v>360</v>
      </c>
      <c r="K146" s="316">
        <f t="shared" si="5"/>
        <v>196</v>
      </c>
      <c r="L146" s="316">
        <f t="shared" si="5"/>
        <v>0</v>
      </c>
      <c r="M146" s="316">
        <f t="shared" si="5"/>
        <v>10518.62</v>
      </c>
      <c r="N146" s="316">
        <f t="shared" si="5"/>
        <v>2767</v>
      </c>
      <c r="O146" s="316">
        <f t="shared" si="5"/>
        <v>2916.5</v>
      </c>
      <c r="P146" s="316">
        <f t="shared" si="5"/>
        <v>3600</v>
      </c>
      <c r="Q146" s="316">
        <f t="shared" si="5"/>
        <v>1069</v>
      </c>
      <c r="R146" s="316">
        <f t="shared" si="5"/>
        <v>9756.4599999999991</v>
      </c>
      <c r="S146" s="316">
        <f t="shared" si="5"/>
        <v>371</v>
      </c>
      <c r="T146" s="316">
        <f t="shared" si="5"/>
        <v>1356.24</v>
      </c>
      <c r="U146" s="316">
        <f t="shared" si="5"/>
        <v>39540.82</v>
      </c>
      <c r="V146" s="317"/>
      <c r="W146" s="26"/>
      <c r="X146" s="3"/>
      <c r="Y146" s="318"/>
      <c r="Z146" s="318"/>
      <c r="AA146" s="318"/>
      <c r="AB146" s="318"/>
    </row>
    <row r="147" spans="1:28" s="161" customFormat="1" ht="14.1" customHeight="1" thickBot="1" x14ac:dyDescent="0.35">
      <c r="A147" s="3"/>
      <c r="B147" s="3"/>
      <c r="C147" s="3"/>
      <c r="D147" s="41"/>
      <c r="E147" s="5"/>
      <c r="F147" s="358"/>
      <c r="G147" s="40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3"/>
      <c r="S147" s="2"/>
      <c r="T147" s="109"/>
      <c r="U147" s="39"/>
      <c r="V147" s="319">
        <f>SUM(U3:U143)</f>
        <v>39540.82</v>
      </c>
      <c r="W147" s="3"/>
      <c r="X147" s="3"/>
      <c r="Y147" s="3"/>
      <c r="Z147" s="3"/>
      <c r="AA147" s="3"/>
      <c r="AB147" s="3"/>
    </row>
    <row r="148" spans="1:28" s="161" customFormat="1" ht="14.1" customHeight="1" x14ac:dyDescent="0.3">
      <c r="A148" s="3"/>
      <c r="B148" s="3"/>
      <c r="C148" s="3"/>
      <c r="D148" s="41"/>
      <c r="E148" s="5"/>
      <c r="F148" s="358"/>
      <c r="G148" s="40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3"/>
      <c r="S148" s="2"/>
      <c r="T148" s="109"/>
      <c r="U148" s="39"/>
      <c r="V148" s="26"/>
      <c r="W148" s="2"/>
      <c r="X148" s="3"/>
      <c r="Y148" s="3"/>
      <c r="Z148" s="3"/>
      <c r="AA148" s="3"/>
      <c r="AB148" s="3"/>
    </row>
    <row r="149" spans="1:28" s="161" customFormat="1" ht="14.1" customHeight="1" x14ac:dyDescent="0.3">
      <c r="A149" s="3"/>
      <c r="B149" s="3"/>
      <c r="C149" s="3"/>
      <c r="D149" s="41"/>
      <c r="E149" s="5"/>
      <c r="F149" s="358"/>
      <c r="G149" s="40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3"/>
      <c r="S149" s="2"/>
      <c r="T149" s="109"/>
      <c r="U149" s="39"/>
      <c r="V149" s="26"/>
      <c r="W149" s="2"/>
      <c r="X149" s="3"/>
      <c r="Y149" s="3"/>
      <c r="Z149" s="3"/>
      <c r="AA149" s="3"/>
      <c r="AB149" s="3"/>
    </row>
    <row r="150" spans="1:28" s="161" customFormat="1" ht="14.1" customHeight="1" x14ac:dyDescent="0.3">
      <c r="A150" s="3"/>
      <c r="B150" s="3"/>
      <c r="C150" s="3"/>
      <c r="D150" s="41"/>
      <c r="E150" s="5"/>
      <c r="F150" s="358"/>
      <c r="G150" s="40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3"/>
      <c r="S150" s="2"/>
      <c r="T150" s="109"/>
      <c r="U150" s="39"/>
      <c r="V150" s="26"/>
      <c r="W150" s="2"/>
      <c r="X150" s="3"/>
      <c r="Y150" s="3"/>
      <c r="Z150" s="3"/>
      <c r="AA150" s="3"/>
      <c r="AB150" s="3"/>
    </row>
    <row r="151" spans="1:28" s="161" customFormat="1" ht="14.1" customHeight="1" x14ac:dyDescent="0.3">
      <c r="A151" s="221"/>
      <c r="B151" s="221"/>
      <c r="C151" s="229"/>
      <c r="D151" s="229"/>
      <c r="E151" s="222"/>
      <c r="F151" s="229"/>
      <c r="G151" s="227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4"/>
      <c r="U151" s="233"/>
      <c r="V151" s="221"/>
      <c r="Y151" s="228"/>
    </row>
    <row r="152" spans="1:28" s="161" customFormat="1" ht="14.1" customHeight="1" x14ac:dyDescent="0.3">
      <c r="A152" s="221"/>
      <c r="B152" s="221"/>
      <c r="C152" s="229"/>
      <c r="D152" s="229"/>
      <c r="E152" s="222"/>
      <c r="F152" s="229"/>
      <c r="G152" s="227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4"/>
      <c r="U152" s="233"/>
      <c r="V152" s="221"/>
      <c r="Y152" s="228"/>
    </row>
    <row r="153" spans="1:28" s="161" customFormat="1" ht="14.1" customHeight="1" x14ac:dyDescent="0.3">
      <c r="A153" s="221"/>
      <c r="B153" s="221"/>
      <c r="C153" s="229"/>
      <c r="D153" s="229"/>
      <c r="E153" s="222"/>
      <c r="F153" s="229"/>
      <c r="G153" s="227"/>
      <c r="H153" s="223"/>
      <c r="I153" s="223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4"/>
      <c r="U153" s="233"/>
      <c r="V153" s="221"/>
      <c r="Y153" s="228"/>
    </row>
    <row r="154" spans="1:28" s="161" customFormat="1" ht="14.1" customHeight="1" x14ac:dyDescent="0.3">
      <c r="A154" s="221"/>
      <c r="B154" s="221"/>
      <c r="C154" s="229"/>
      <c r="D154" s="229"/>
      <c r="E154" s="222"/>
      <c r="F154" s="229"/>
      <c r="G154" s="227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4"/>
      <c r="U154" s="233"/>
      <c r="V154" s="221"/>
      <c r="Y154" s="228"/>
    </row>
    <row r="155" spans="1:28" s="161" customFormat="1" ht="14.1" customHeight="1" x14ac:dyDescent="0.3">
      <c r="A155" s="221"/>
      <c r="B155" s="221"/>
      <c r="C155" s="229"/>
      <c r="D155" s="229"/>
      <c r="E155" s="222"/>
      <c r="F155" s="229"/>
      <c r="G155" s="227"/>
      <c r="H155" s="223"/>
      <c r="I155" s="223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4"/>
      <c r="U155" s="233"/>
      <c r="V155" s="221"/>
      <c r="Y155" s="228"/>
    </row>
    <row r="156" spans="1:28" s="161" customFormat="1" ht="14.1" customHeight="1" x14ac:dyDescent="0.3">
      <c r="A156" s="221"/>
      <c r="B156" s="221"/>
      <c r="C156" s="229"/>
      <c r="D156" s="229"/>
      <c r="E156" s="222"/>
      <c r="F156" s="229"/>
      <c r="G156" s="227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4"/>
      <c r="U156" s="233"/>
      <c r="V156" s="221"/>
      <c r="Y156" s="228"/>
    </row>
    <row r="157" spans="1:28" s="161" customFormat="1" ht="14.1" customHeight="1" x14ac:dyDescent="0.3">
      <c r="A157" s="221"/>
      <c r="B157" s="221"/>
      <c r="C157" s="229"/>
      <c r="D157" s="229"/>
      <c r="E157" s="222"/>
      <c r="F157" s="229"/>
      <c r="G157" s="227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4"/>
      <c r="U157" s="233"/>
      <c r="V157" s="221"/>
      <c r="Y157" s="228"/>
    </row>
    <row r="158" spans="1:28" s="161" customFormat="1" ht="14.1" customHeight="1" x14ac:dyDescent="0.3">
      <c r="A158" s="221"/>
      <c r="B158" s="221"/>
      <c r="C158" s="229"/>
      <c r="D158" s="229"/>
      <c r="E158" s="222"/>
      <c r="F158" s="229"/>
      <c r="G158" s="227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4"/>
      <c r="U158" s="233"/>
      <c r="V158" s="221"/>
      <c r="Y158" s="228"/>
    </row>
    <row r="159" spans="1:28" s="161" customFormat="1" ht="14.1" customHeight="1" x14ac:dyDescent="0.3">
      <c r="A159" s="221"/>
      <c r="B159" s="221"/>
      <c r="C159" s="229"/>
      <c r="D159" s="229"/>
      <c r="E159" s="222"/>
      <c r="F159" s="229"/>
      <c r="G159" s="227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4"/>
      <c r="U159" s="233"/>
      <c r="V159" s="221"/>
      <c r="Y159" s="228"/>
    </row>
    <row r="160" spans="1:28" s="161" customFormat="1" ht="14.1" customHeight="1" x14ac:dyDescent="0.3">
      <c r="A160" s="221"/>
      <c r="B160" s="221"/>
      <c r="C160" s="229"/>
      <c r="D160" s="229"/>
      <c r="E160" s="222"/>
      <c r="F160" s="229"/>
      <c r="G160" s="227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4"/>
      <c r="U160" s="233"/>
      <c r="V160" s="221"/>
      <c r="Y160" s="228"/>
    </row>
    <row r="161" spans="1:25" s="161" customFormat="1" ht="14.1" customHeight="1" x14ac:dyDescent="0.3">
      <c r="A161" s="221"/>
      <c r="B161" s="221"/>
      <c r="C161" s="229"/>
      <c r="D161" s="229"/>
      <c r="E161" s="222"/>
      <c r="F161" s="229"/>
      <c r="G161" s="227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4"/>
      <c r="U161" s="233"/>
      <c r="V161" s="221"/>
      <c r="Y161" s="228"/>
    </row>
    <row r="162" spans="1:25" s="161" customFormat="1" ht="14.1" customHeight="1" x14ac:dyDescent="0.3">
      <c r="A162" s="221"/>
      <c r="B162" s="221"/>
      <c r="C162" s="229"/>
      <c r="D162" s="229"/>
      <c r="E162" s="222"/>
      <c r="F162" s="229"/>
      <c r="G162" s="227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4"/>
      <c r="U162" s="233"/>
      <c r="V162" s="221"/>
      <c r="Y162" s="228"/>
    </row>
    <row r="163" spans="1:25" s="161" customFormat="1" ht="14.1" customHeight="1" x14ac:dyDescent="0.3">
      <c r="A163" s="221"/>
      <c r="B163" s="221"/>
      <c r="C163" s="229"/>
      <c r="D163" s="229"/>
      <c r="E163" s="222"/>
      <c r="F163" s="229"/>
      <c r="G163" s="227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4"/>
      <c r="U163" s="233"/>
      <c r="V163" s="221"/>
      <c r="Y163" s="228"/>
    </row>
    <row r="164" spans="1:25" s="161" customFormat="1" ht="14.1" customHeight="1" x14ac:dyDescent="0.3">
      <c r="A164" s="221"/>
      <c r="B164" s="221"/>
      <c r="C164" s="229"/>
      <c r="D164" s="229"/>
      <c r="E164" s="222"/>
      <c r="F164" s="229"/>
      <c r="G164" s="227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4"/>
      <c r="U164" s="233"/>
      <c r="V164" s="221"/>
      <c r="Y164" s="228"/>
    </row>
    <row r="165" spans="1:25" s="161" customFormat="1" ht="14.1" customHeight="1" x14ac:dyDescent="0.3">
      <c r="A165" s="221"/>
      <c r="B165" s="221"/>
      <c r="C165" s="229"/>
      <c r="D165" s="229"/>
      <c r="E165" s="222"/>
      <c r="F165" s="229"/>
      <c r="G165" s="227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4"/>
      <c r="U165" s="233"/>
      <c r="V165" s="221"/>
      <c r="Y165" s="228"/>
    </row>
    <row r="166" spans="1:25" s="161" customFormat="1" ht="14.1" customHeight="1" x14ac:dyDescent="0.3">
      <c r="A166" s="221"/>
      <c r="B166" s="221"/>
      <c r="C166" s="229"/>
      <c r="D166" s="229"/>
      <c r="E166" s="222"/>
      <c r="F166" s="229"/>
      <c r="G166" s="227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4"/>
      <c r="U166" s="233"/>
      <c r="V166" s="221"/>
      <c r="Y166" s="228"/>
    </row>
    <row r="167" spans="1:25" s="161" customFormat="1" ht="14.1" customHeight="1" x14ac:dyDescent="0.3">
      <c r="A167" s="221"/>
      <c r="B167" s="221"/>
      <c r="C167" s="229"/>
      <c r="D167" s="229"/>
      <c r="E167" s="222"/>
      <c r="F167" s="229"/>
      <c r="G167" s="227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4"/>
      <c r="U167" s="233"/>
      <c r="V167" s="221"/>
      <c r="Y167" s="228"/>
    </row>
    <row r="168" spans="1:25" s="161" customFormat="1" ht="14.1" customHeight="1" x14ac:dyDescent="0.3">
      <c r="A168" s="221"/>
      <c r="B168" s="221"/>
      <c r="C168" s="229"/>
      <c r="D168" s="229"/>
      <c r="E168" s="222"/>
      <c r="F168" s="229"/>
      <c r="G168" s="227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4"/>
      <c r="U168" s="233"/>
      <c r="V168" s="221"/>
      <c r="Y168" s="228"/>
    </row>
    <row r="169" spans="1:25" s="161" customFormat="1" ht="14.1" customHeight="1" x14ac:dyDescent="0.3">
      <c r="A169" s="221"/>
      <c r="B169" s="221"/>
      <c r="C169" s="229"/>
      <c r="D169" s="229"/>
      <c r="E169" s="222"/>
      <c r="F169" s="229"/>
      <c r="G169" s="227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4"/>
      <c r="U169" s="233"/>
      <c r="V169" s="221"/>
      <c r="Y169" s="228"/>
    </row>
    <row r="170" spans="1:25" s="161" customFormat="1" ht="14.1" customHeight="1" x14ac:dyDescent="0.3">
      <c r="A170" s="221"/>
      <c r="B170" s="221"/>
      <c r="C170" s="229"/>
      <c r="D170" s="229"/>
      <c r="E170" s="222"/>
      <c r="F170" s="229"/>
      <c r="G170" s="227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4"/>
      <c r="U170" s="233"/>
      <c r="V170" s="221"/>
      <c r="Y170" s="228"/>
    </row>
    <row r="171" spans="1:25" s="161" customFormat="1" ht="14.1" customHeight="1" x14ac:dyDescent="0.3">
      <c r="A171" s="221"/>
      <c r="B171" s="221"/>
      <c r="C171" s="229"/>
      <c r="D171" s="229"/>
      <c r="E171" s="222"/>
      <c r="F171" s="229"/>
      <c r="G171" s="227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4"/>
      <c r="U171" s="233"/>
      <c r="V171" s="221"/>
      <c r="Y171" s="228"/>
    </row>
    <row r="172" spans="1:25" s="161" customFormat="1" ht="14.1" customHeight="1" x14ac:dyDescent="0.3">
      <c r="A172" s="221"/>
      <c r="B172" s="221"/>
      <c r="C172" s="229"/>
      <c r="D172" s="229"/>
      <c r="E172" s="222"/>
      <c r="F172" s="229"/>
      <c r="G172" s="227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4"/>
      <c r="U172" s="233"/>
      <c r="V172" s="221"/>
      <c r="Y172" s="228"/>
    </row>
    <row r="173" spans="1:25" s="161" customFormat="1" ht="14.1" customHeight="1" x14ac:dyDescent="0.3">
      <c r="A173" s="221"/>
      <c r="B173" s="221"/>
      <c r="C173" s="229"/>
      <c r="D173" s="229"/>
      <c r="E173" s="222"/>
      <c r="F173" s="229"/>
      <c r="G173" s="227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4"/>
      <c r="U173" s="233"/>
      <c r="V173" s="221"/>
      <c r="Y173" s="228"/>
    </row>
    <row r="174" spans="1:25" s="161" customFormat="1" ht="14.1" customHeight="1" x14ac:dyDescent="0.3">
      <c r="A174" s="221"/>
      <c r="B174" s="221"/>
      <c r="C174" s="229"/>
      <c r="D174" s="229"/>
      <c r="E174" s="222"/>
      <c r="F174" s="229"/>
      <c r="G174" s="227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4"/>
      <c r="U174" s="233"/>
      <c r="V174" s="221"/>
      <c r="Y174" s="228"/>
    </row>
    <row r="175" spans="1:25" s="161" customFormat="1" ht="14.1" customHeight="1" x14ac:dyDescent="0.3">
      <c r="A175" s="221"/>
      <c r="B175" s="221"/>
      <c r="C175" s="229"/>
      <c r="D175" s="229"/>
      <c r="E175" s="222"/>
      <c r="F175" s="229"/>
      <c r="G175" s="227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4"/>
      <c r="U175" s="233"/>
      <c r="V175" s="221"/>
      <c r="Y175" s="228"/>
    </row>
    <row r="176" spans="1:25" s="161" customFormat="1" ht="14.1" customHeight="1" x14ac:dyDescent="0.3">
      <c r="A176" s="221"/>
      <c r="B176" s="221"/>
      <c r="C176" s="229"/>
      <c r="D176" s="229"/>
      <c r="E176" s="222"/>
      <c r="F176" s="229"/>
      <c r="G176" s="227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4"/>
      <c r="U176" s="233"/>
      <c r="V176" s="221"/>
      <c r="Y176" s="228"/>
    </row>
    <row r="177" spans="1:25" s="161" customFormat="1" ht="14.1" customHeight="1" x14ac:dyDescent="0.3">
      <c r="A177" s="221"/>
      <c r="B177" s="221"/>
      <c r="C177" s="229"/>
      <c r="D177" s="229"/>
      <c r="E177" s="222"/>
      <c r="F177" s="229"/>
      <c r="G177" s="227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4"/>
      <c r="U177" s="233"/>
      <c r="V177" s="221"/>
      <c r="Y177" s="228"/>
    </row>
    <row r="178" spans="1:25" s="161" customFormat="1" ht="14.1" customHeight="1" x14ac:dyDescent="0.3">
      <c r="A178" s="221"/>
      <c r="B178" s="221"/>
      <c r="C178" s="229"/>
      <c r="D178" s="229"/>
      <c r="E178" s="222"/>
      <c r="F178" s="229"/>
      <c r="G178" s="227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4"/>
      <c r="U178" s="233"/>
      <c r="V178" s="221"/>
      <c r="Y178" s="228"/>
    </row>
    <row r="179" spans="1:25" s="161" customFormat="1" ht="14.1" customHeight="1" x14ac:dyDescent="0.3">
      <c r="A179" s="221"/>
      <c r="B179" s="221"/>
      <c r="C179" s="229"/>
      <c r="D179" s="229"/>
      <c r="E179" s="222"/>
      <c r="F179" s="229"/>
      <c r="G179" s="227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4"/>
      <c r="U179" s="233"/>
      <c r="V179" s="221"/>
      <c r="Y179" s="228"/>
    </row>
    <row r="180" spans="1:25" s="161" customFormat="1" ht="14.1" customHeight="1" x14ac:dyDescent="0.3">
      <c r="A180" s="221"/>
      <c r="B180" s="221"/>
      <c r="C180" s="229"/>
      <c r="D180" s="229"/>
      <c r="E180" s="222"/>
      <c r="F180" s="229"/>
      <c r="G180" s="227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4"/>
      <c r="U180" s="233"/>
      <c r="V180" s="221"/>
      <c r="Y180" s="228"/>
    </row>
    <row r="181" spans="1:25" s="161" customFormat="1" ht="14.1" customHeight="1" x14ac:dyDescent="0.3">
      <c r="A181" s="221"/>
      <c r="B181" s="221"/>
      <c r="C181" s="229"/>
      <c r="D181" s="229"/>
      <c r="E181" s="222"/>
      <c r="F181" s="229"/>
      <c r="G181" s="227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4"/>
      <c r="U181" s="233"/>
      <c r="V181" s="221"/>
      <c r="Y181" s="228"/>
    </row>
    <row r="182" spans="1:25" s="161" customFormat="1" ht="14.1" customHeight="1" x14ac:dyDescent="0.3">
      <c r="A182" s="221"/>
      <c r="B182" s="221"/>
      <c r="C182" s="229"/>
      <c r="D182" s="229"/>
      <c r="E182" s="222"/>
      <c r="F182" s="229"/>
      <c r="G182" s="227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4"/>
      <c r="U182" s="233"/>
      <c r="V182" s="221"/>
      <c r="Y182" s="228"/>
    </row>
    <row r="183" spans="1:25" s="161" customFormat="1" ht="14.1" customHeight="1" x14ac:dyDescent="0.3">
      <c r="A183" s="221"/>
      <c r="B183" s="221"/>
      <c r="C183" s="229"/>
      <c r="D183" s="229"/>
      <c r="E183" s="222"/>
      <c r="F183" s="229"/>
      <c r="G183" s="227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4"/>
      <c r="U183" s="233"/>
      <c r="V183" s="221"/>
      <c r="Y183" s="228"/>
    </row>
    <row r="184" spans="1:25" s="161" customFormat="1" ht="14.1" customHeight="1" x14ac:dyDescent="0.3">
      <c r="A184" s="221"/>
      <c r="B184" s="221"/>
      <c r="C184" s="229"/>
      <c r="D184" s="229"/>
      <c r="E184" s="222"/>
      <c r="F184" s="229"/>
      <c r="G184" s="227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4"/>
      <c r="U184" s="233"/>
      <c r="V184" s="221"/>
      <c r="Y184" s="228"/>
    </row>
    <row r="185" spans="1:25" s="161" customFormat="1" ht="14.1" customHeight="1" x14ac:dyDescent="0.3">
      <c r="A185" s="221"/>
      <c r="B185" s="221"/>
      <c r="C185" s="229"/>
      <c r="D185" s="229"/>
      <c r="E185" s="222"/>
      <c r="F185" s="229"/>
      <c r="G185" s="227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4"/>
      <c r="U185" s="233"/>
      <c r="V185" s="221"/>
      <c r="Y185" s="228"/>
    </row>
    <row r="186" spans="1:25" s="161" customFormat="1" ht="14.1" customHeight="1" x14ac:dyDescent="0.3">
      <c r="A186" s="221"/>
      <c r="B186" s="221"/>
      <c r="C186" s="229"/>
      <c r="D186" s="229"/>
      <c r="E186" s="222"/>
      <c r="F186" s="229"/>
      <c r="G186" s="227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4"/>
      <c r="U186" s="233"/>
      <c r="V186" s="221"/>
      <c r="Y186" s="228"/>
    </row>
    <row r="187" spans="1:25" s="161" customFormat="1" ht="14.1" customHeight="1" x14ac:dyDescent="0.3">
      <c r="A187" s="221"/>
      <c r="B187" s="221"/>
      <c r="C187" s="229"/>
      <c r="D187" s="229"/>
      <c r="E187" s="222"/>
      <c r="F187" s="229"/>
      <c r="G187" s="227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4"/>
      <c r="U187" s="233"/>
      <c r="V187" s="221"/>
      <c r="Y187" s="228"/>
    </row>
    <row r="188" spans="1:25" s="161" customFormat="1" ht="14.1" customHeight="1" x14ac:dyDescent="0.3">
      <c r="A188" s="221"/>
      <c r="B188" s="221"/>
      <c r="C188" s="229"/>
      <c r="D188" s="229"/>
      <c r="E188" s="222"/>
      <c r="F188" s="229"/>
      <c r="G188" s="227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4"/>
      <c r="U188" s="233"/>
      <c r="V188" s="221"/>
      <c r="Y188" s="228"/>
    </row>
    <row r="189" spans="1:25" s="161" customFormat="1" ht="14.1" customHeight="1" x14ac:dyDescent="0.3">
      <c r="A189" s="221"/>
      <c r="B189" s="221"/>
      <c r="C189" s="229"/>
      <c r="D189" s="229"/>
      <c r="E189" s="222"/>
      <c r="F189" s="229"/>
      <c r="G189" s="227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4"/>
      <c r="U189" s="233"/>
      <c r="V189" s="221"/>
      <c r="Y189" s="228"/>
    </row>
    <row r="190" spans="1:25" s="161" customFormat="1" ht="14.1" customHeight="1" x14ac:dyDescent="0.3">
      <c r="A190" s="221"/>
      <c r="B190" s="221"/>
      <c r="C190" s="229"/>
      <c r="D190" s="229"/>
      <c r="E190" s="222"/>
      <c r="F190" s="229"/>
      <c r="G190" s="227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4"/>
      <c r="U190" s="233"/>
      <c r="V190" s="221"/>
      <c r="Y190" s="228"/>
    </row>
    <row r="191" spans="1:25" s="161" customFormat="1" ht="14.1" customHeight="1" x14ac:dyDescent="0.3">
      <c r="A191" s="221"/>
      <c r="B191" s="221"/>
      <c r="C191" s="229"/>
      <c r="D191" s="229"/>
      <c r="E191" s="222"/>
      <c r="F191" s="229"/>
      <c r="G191" s="227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4"/>
      <c r="U191" s="233"/>
      <c r="V191" s="221"/>
      <c r="Y191" s="228"/>
    </row>
    <row r="192" spans="1:25" s="161" customFormat="1" ht="14.1" customHeight="1" x14ac:dyDescent="0.3">
      <c r="A192" s="221"/>
      <c r="B192" s="221"/>
      <c r="C192" s="229"/>
      <c r="D192" s="229"/>
      <c r="E192" s="222"/>
      <c r="F192" s="229"/>
      <c r="G192" s="227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4"/>
      <c r="U192" s="233"/>
      <c r="V192" s="221"/>
      <c r="Y192" s="228"/>
    </row>
    <row r="193" spans="1:25" s="161" customFormat="1" ht="14.1" customHeight="1" x14ac:dyDescent="0.3">
      <c r="A193" s="221"/>
      <c r="B193" s="221"/>
      <c r="C193" s="229"/>
      <c r="D193" s="229"/>
      <c r="E193" s="222"/>
      <c r="F193" s="229"/>
      <c r="G193" s="227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4"/>
      <c r="U193" s="233"/>
      <c r="V193" s="221"/>
      <c r="Y193" s="228"/>
    </row>
    <row r="194" spans="1:25" s="161" customFormat="1" ht="14.1" customHeight="1" x14ac:dyDescent="0.3">
      <c r="A194" s="221"/>
      <c r="B194" s="221"/>
      <c r="C194" s="229"/>
      <c r="D194" s="229"/>
      <c r="E194" s="222"/>
      <c r="F194" s="229"/>
      <c r="G194" s="227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4"/>
      <c r="U194" s="233"/>
      <c r="V194" s="221"/>
      <c r="Y194" s="228"/>
    </row>
    <row r="195" spans="1:25" s="161" customFormat="1" ht="14.1" customHeight="1" x14ac:dyDescent="0.3">
      <c r="A195" s="221"/>
      <c r="B195" s="221"/>
      <c r="C195" s="229"/>
      <c r="D195" s="229"/>
      <c r="E195" s="222"/>
      <c r="F195" s="229"/>
      <c r="G195" s="227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4"/>
      <c r="U195" s="233"/>
      <c r="V195" s="221"/>
      <c r="Y195" s="228"/>
    </row>
    <row r="196" spans="1:25" s="161" customFormat="1" ht="14.1" customHeight="1" x14ac:dyDescent="0.3">
      <c r="A196" s="221"/>
      <c r="B196" s="221"/>
      <c r="C196" s="229"/>
      <c r="D196" s="229"/>
      <c r="E196" s="222"/>
      <c r="F196" s="229"/>
      <c r="G196" s="227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4"/>
      <c r="U196" s="233"/>
      <c r="V196" s="221"/>
      <c r="Y196" s="228"/>
    </row>
    <row r="197" spans="1:25" s="161" customFormat="1" ht="14.1" customHeight="1" x14ac:dyDescent="0.3">
      <c r="A197" s="221"/>
      <c r="B197" s="221"/>
      <c r="C197" s="229"/>
      <c r="D197" s="229"/>
      <c r="E197" s="222"/>
      <c r="F197" s="229"/>
      <c r="G197" s="227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4"/>
      <c r="U197" s="233"/>
      <c r="V197" s="221"/>
      <c r="Y197" s="228"/>
    </row>
    <row r="198" spans="1:25" s="161" customFormat="1" ht="14.1" customHeight="1" x14ac:dyDescent="0.3">
      <c r="A198" s="221"/>
      <c r="B198" s="221"/>
      <c r="C198" s="229"/>
      <c r="D198" s="229"/>
      <c r="E198" s="222"/>
      <c r="F198" s="229"/>
      <c r="G198" s="227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4"/>
      <c r="U198" s="233"/>
      <c r="V198" s="221"/>
      <c r="Y198" s="228"/>
    </row>
    <row r="199" spans="1:25" s="161" customFormat="1" ht="14.1" customHeight="1" x14ac:dyDescent="0.3">
      <c r="A199" s="221"/>
      <c r="B199" s="221"/>
      <c r="C199" s="229"/>
      <c r="D199" s="229"/>
      <c r="E199" s="222"/>
      <c r="F199" s="229"/>
      <c r="G199" s="227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4"/>
      <c r="U199" s="233"/>
      <c r="V199" s="221"/>
      <c r="Y199" s="228"/>
    </row>
    <row r="200" spans="1:25" s="161" customFormat="1" ht="14.1" customHeight="1" x14ac:dyDescent="0.3">
      <c r="A200" s="221"/>
      <c r="B200" s="221"/>
      <c r="C200" s="229"/>
      <c r="D200" s="229"/>
      <c r="E200" s="222"/>
      <c r="F200" s="229"/>
      <c r="G200" s="227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4"/>
      <c r="U200" s="233"/>
      <c r="V200" s="221"/>
      <c r="Y200" s="228"/>
    </row>
    <row r="201" spans="1:25" s="161" customFormat="1" ht="14.1" customHeight="1" x14ac:dyDescent="0.3">
      <c r="A201" s="221"/>
      <c r="B201" s="221"/>
      <c r="C201" s="229"/>
      <c r="D201" s="229"/>
      <c r="E201" s="222"/>
      <c r="F201" s="229"/>
      <c r="G201" s="227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4"/>
      <c r="U201" s="233"/>
      <c r="V201" s="221"/>
      <c r="Y201" s="228"/>
    </row>
    <row r="202" spans="1:25" s="161" customFormat="1" ht="14.1" customHeight="1" x14ac:dyDescent="0.3">
      <c r="A202" s="221"/>
      <c r="B202" s="221"/>
      <c r="C202" s="226"/>
      <c r="D202" s="229"/>
      <c r="E202" s="222"/>
      <c r="F202" s="229"/>
      <c r="G202" s="227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4"/>
      <c r="T202" s="224"/>
      <c r="V202" s="234"/>
      <c r="W202" s="225"/>
      <c r="X202" s="235"/>
    </row>
    <row r="203" spans="1:25" s="161" customFormat="1" ht="14.1" customHeight="1" x14ac:dyDescent="0.3">
      <c r="A203" s="221"/>
      <c r="B203" s="221"/>
      <c r="C203" s="229"/>
      <c r="D203" s="229"/>
      <c r="E203" s="222"/>
      <c r="F203" s="229"/>
      <c r="G203" s="227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4"/>
      <c r="U203" s="233"/>
      <c r="V203" s="221"/>
      <c r="Y203" s="228"/>
    </row>
    <row r="204" spans="1:25" s="161" customFormat="1" ht="14.1" customHeight="1" x14ac:dyDescent="0.3">
      <c r="A204" s="221"/>
      <c r="B204" s="221"/>
      <c r="C204" s="229"/>
      <c r="D204" s="229"/>
      <c r="E204" s="222"/>
      <c r="F204" s="229"/>
      <c r="G204" s="227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4"/>
      <c r="U204" s="233"/>
      <c r="V204" s="221"/>
      <c r="Y204" s="228"/>
    </row>
    <row r="205" spans="1:25" s="161" customFormat="1" ht="14.1" customHeight="1" x14ac:dyDescent="0.3">
      <c r="A205" s="221"/>
      <c r="B205" s="221"/>
      <c r="C205" s="229"/>
      <c r="D205" s="229"/>
      <c r="E205" s="222"/>
      <c r="F205" s="229"/>
      <c r="G205" s="227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4"/>
      <c r="U205" s="233"/>
      <c r="V205" s="221"/>
      <c r="Y205" s="228"/>
    </row>
    <row r="206" spans="1:25" s="161" customFormat="1" ht="14.1" customHeight="1" x14ac:dyDescent="0.3">
      <c r="A206" s="221"/>
      <c r="B206" s="221"/>
      <c r="C206" s="229"/>
      <c r="D206" s="229"/>
      <c r="E206" s="222"/>
      <c r="F206" s="229"/>
      <c r="G206" s="227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4"/>
      <c r="U206" s="233"/>
      <c r="V206" s="221"/>
      <c r="Y206" s="228"/>
    </row>
    <row r="207" spans="1:25" s="161" customFormat="1" ht="14.1" customHeight="1" x14ac:dyDescent="0.3">
      <c r="A207" s="221"/>
      <c r="B207" s="221"/>
      <c r="C207" s="229"/>
      <c r="D207" s="229"/>
      <c r="E207" s="222"/>
      <c r="F207" s="229"/>
      <c r="G207" s="227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4"/>
      <c r="U207" s="233"/>
      <c r="V207" s="221"/>
      <c r="Y207" s="228"/>
    </row>
    <row r="208" spans="1:25" s="161" customFormat="1" ht="14.1" customHeight="1" x14ac:dyDescent="0.3">
      <c r="A208" s="221"/>
      <c r="B208" s="221"/>
      <c r="C208" s="229"/>
      <c r="D208" s="229"/>
      <c r="E208" s="222"/>
      <c r="F208" s="229"/>
      <c r="G208" s="227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4"/>
      <c r="U208" s="233"/>
      <c r="V208" s="221"/>
      <c r="Y208" s="228"/>
    </row>
    <row r="209" spans="1:25" s="161" customFormat="1" ht="14.1" customHeight="1" x14ac:dyDescent="0.3">
      <c r="A209" s="221"/>
      <c r="B209" s="221"/>
      <c r="C209" s="229"/>
      <c r="D209" s="229"/>
      <c r="E209" s="222"/>
      <c r="F209" s="229"/>
      <c r="G209" s="227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4"/>
      <c r="U209" s="233"/>
      <c r="V209" s="221"/>
      <c r="Y209" s="228"/>
    </row>
    <row r="210" spans="1:25" s="161" customFormat="1" ht="14.1" customHeight="1" x14ac:dyDescent="0.3">
      <c r="A210" s="221"/>
      <c r="B210" s="221"/>
      <c r="C210" s="229"/>
      <c r="D210" s="229"/>
      <c r="E210" s="222"/>
      <c r="F210" s="229"/>
      <c r="G210" s="227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4"/>
      <c r="U210" s="233"/>
      <c r="V210" s="221"/>
      <c r="Y210" s="228"/>
    </row>
    <row r="211" spans="1:25" s="161" customFormat="1" ht="14.1" customHeight="1" x14ac:dyDescent="0.3">
      <c r="A211" s="221"/>
      <c r="B211" s="221"/>
      <c r="C211" s="229"/>
      <c r="D211" s="229"/>
      <c r="E211" s="222"/>
      <c r="F211" s="229"/>
      <c r="G211" s="227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4"/>
      <c r="U211" s="233"/>
      <c r="V211" s="221"/>
      <c r="Y211" s="228"/>
    </row>
    <row r="212" spans="1:25" s="161" customFormat="1" ht="14.1" customHeight="1" x14ac:dyDescent="0.3">
      <c r="A212" s="221"/>
      <c r="B212" s="221"/>
      <c r="C212" s="229"/>
      <c r="D212" s="229"/>
      <c r="E212" s="222"/>
      <c r="F212" s="229"/>
      <c r="G212" s="227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4"/>
      <c r="U212" s="233"/>
      <c r="V212" s="221"/>
      <c r="Y212" s="228"/>
    </row>
    <row r="213" spans="1:25" s="161" customFormat="1" ht="14.1" customHeight="1" x14ac:dyDescent="0.3">
      <c r="A213" s="221"/>
      <c r="B213" s="221"/>
      <c r="C213" s="229"/>
      <c r="D213" s="229"/>
      <c r="E213" s="222"/>
      <c r="F213" s="229"/>
      <c r="G213" s="227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4"/>
      <c r="U213" s="233"/>
      <c r="V213" s="221"/>
      <c r="Y213" s="228"/>
    </row>
    <row r="214" spans="1:25" s="161" customFormat="1" ht="14.1" customHeight="1" x14ac:dyDescent="0.3">
      <c r="A214" s="221"/>
      <c r="B214" s="221"/>
      <c r="C214" s="229"/>
      <c r="D214" s="229"/>
      <c r="E214" s="222"/>
      <c r="F214" s="229"/>
      <c r="G214" s="227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4"/>
      <c r="U214" s="233"/>
      <c r="V214" s="221"/>
      <c r="Y214" s="228"/>
    </row>
    <row r="215" spans="1:25" s="161" customFormat="1" ht="14.1" customHeight="1" x14ac:dyDescent="0.3">
      <c r="A215" s="221"/>
      <c r="B215" s="221"/>
      <c r="C215" s="229"/>
      <c r="D215" s="229"/>
      <c r="E215" s="222"/>
      <c r="F215" s="229"/>
      <c r="G215" s="227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4"/>
      <c r="U215" s="233"/>
      <c r="V215" s="221"/>
      <c r="Y215" s="228"/>
    </row>
    <row r="216" spans="1:25" s="161" customFormat="1" ht="14.1" customHeight="1" x14ac:dyDescent="0.3">
      <c r="A216" s="221"/>
      <c r="B216" s="221"/>
      <c r="C216" s="229"/>
      <c r="D216" s="229"/>
      <c r="E216" s="222"/>
      <c r="F216" s="229"/>
      <c r="G216" s="227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4"/>
      <c r="U216" s="233"/>
      <c r="V216" s="221"/>
      <c r="Y216" s="228"/>
    </row>
    <row r="217" spans="1:25" s="161" customFormat="1" ht="14.1" customHeight="1" x14ac:dyDescent="0.3">
      <c r="A217" s="221"/>
      <c r="B217" s="221"/>
      <c r="C217" s="229"/>
      <c r="D217" s="229"/>
      <c r="E217" s="222"/>
      <c r="F217" s="229"/>
      <c r="G217" s="227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4"/>
      <c r="U217" s="233"/>
      <c r="V217" s="221"/>
      <c r="Y217" s="228"/>
    </row>
    <row r="218" spans="1:25" s="161" customFormat="1" ht="14.1" customHeight="1" x14ac:dyDescent="0.3">
      <c r="A218" s="221"/>
      <c r="B218" s="221"/>
      <c r="C218" s="229"/>
      <c r="D218" s="229"/>
      <c r="E218" s="222"/>
      <c r="F218" s="229"/>
      <c r="G218" s="227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4"/>
      <c r="U218" s="233"/>
      <c r="V218" s="221"/>
      <c r="Y218" s="228"/>
    </row>
    <row r="219" spans="1:25" s="161" customFormat="1" ht="14.1" customHeight="1" x14ac:dyDescent="0.3">
      <c r="A219" s="221"/>
      <c r="B219" s="221"/>
      <c r="C219" s="229"/>
      <c r="D219" s="229"/>
      <c r="E219" s="222"/>
      <c r="F219" s="229"/>
      <c r="G219" s="227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4"/>
      <c r="U219" s="233"/>
      <c r="V219" s="221"/>
      <c r="Y219" s="228"/>
    </row>
    <row r="220" spans="1:25" s="161" customFormat="1" ht="14.1" customHeight="1" x14ac:dyDescent="0.3">
      <c r="A220" s="221"/>
      <c r="B220" s="221"/>
      <c r="C220" s="229"/>
      <c r="D220" s="229"/>
      <c r="E220" s="222"/>
      <c r="F220" s="229"/>
      <c r="G220" s="227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4"/>
      <c r="U220" s="233"/>
      <c r="V220" s="221"/>
      <c r="Y220" s="228"/>
    </row>
    <row r="221" spans="1:25" s="161" customFormat="1" ht="14.1" customHeight="1" x14ac:dyDescent="0.3">
      <c r="A221" s="221"/>
      <c r="B221" s="221"/>
      <c r="C221" s="229"/>
      <c r="D221" s="229"/>
      <c r="E221" s="222"/>
      <c r="F221" s="229"/>
      <c r="G221" s="227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4"/>
      <c r="U221" s="233"/>
      <c r="V221" s="221"/>
      <c r="Y221" s="228"/>
    </row>
    <row r="222" spans="1:25" s="161" customFormat="1" ht="14.1" customHeight="1" x14ac:dyDescent="0.3">
      <c r="A222" s="221"/>
      <c r="B222" s="221"/>
      <c r="C222" s="229"/>
      <c r="D222" s="229"/>
      <c r="E222" s="222"/>
      <c r="F222" s="229"/>
      <c r="G222" s="227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4"/>
      <c r="U222" s="233"/>
      <c r="V222" s="221"/>
      <c r="Y222" s="228"/>
    </row>
    <row r="223" spans="1:25" s="161" customFormat="1" ht="14.1" customHeight="1" x14ac:dyDescent="0.3">
      <c r="A223" s="221"/>
      <c r="B223" s="221"/>
      <c r="C223" s="229"/>
      <c r="D223" s="229"/>
      <c r="E223" s="222"/>
      <c r="F223" s="229"/>
      <c r="G223" s="227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4"/>
      <c r="U223" s="233"/>
      <c r="V223" s="221"/>
      <c r="Y223" s="228"/>
    </row>
    <row r="224" spans="1:25" s="161" customFormat="1" ht="14.1" customHeight="1" x14ac:dyDescent="0.3">
      <c r="A224" s="221"/>
      <c r="B224" s="221"/>
      <c r="C224" s="229"/>
      <c r="D224" s="229"/>
      <c r="E224" s="222"/>
      <c r="F224" s="229"/>
      <c r="G224" s="227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4"/>
      <c r="U224" s="233"/>
      <c r="V224" s="221"/>
      <c r="Y224" s="228"/>
    </row>
    <row r="225" spans="1:25" s="161" customFormat="1" ht="14.1" customHeight="1" x14ac:dyDescent="0.3">
      <c r="A225" s="221"/>
      <c r="B225" s="221"/>
      <c r="C225" s="229"/>
      <c r="D225" s="229"/>
      <c r="E225" s="222"/>
      <c r="F225" s="229"/>
      <c r="G225" s="227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4"/>
      <c r="U225" s="233"/>
      <c r="V225" s="221"/>
      <c r="Y225" s="228"/>
    </row>
    <row r="226" spans="1:25" s="161" customFormat="1" ht="14.1" customHeight="1" x14ac:dyDescent="0.3">
      <c r="A226" s="221"/>
      <c r="B226" s="221"/>
      <c r="C226" s="229"/>
      <c r="D226" s="229"/>
      <c r="E226" s="222"/>
      <c r="F226" s="229"/>
      <c r="G226" s="227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4"/>
      <c r="U226" s="233"/>
      <c r="V226" s="221"/>
      <c r="Y226" s="228"/>
    </row>
    <row r="227" spans="1:25" s="161" customFormat="1" ht="14.1" customHeight="1" x14ac:dyDescent="0.3">
      <c r="A227" s="221"/>
      <c r="B227" s="221"/>
      <c r="C227" s="229"/>
      <c r="D227" s="229"/>
      <c r="E227" s="222"/>
      <c r="F227" s="229"/>
      <c r="G227" s="227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4"/>
      <c r="U227" s="233"/>
      <c r="V227" s="221"/>
      <c r="Y227" s="228"/>
    </row>
    <row r="228" spans="1:25" s="161" customFormat="1" ht="14.1" customHeight="1" x14ac:dyDescent="0.3">
      <c r="A228" s="221"/>
      <c r="B228" s="221"/>
      <c r="C228" s="229"/>
      <c r="D228" s="229"/>
      <c r="E228" s="222"/>
      <c r="F228" s="229"/>
      <c r="G228" s="227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4"/>
      <c r="U228" s="233"/>
      <c r="V228" s="221"/>
      <c r="Y228" s="228"/>
    </row>
    <row r="229" spans="1:25" s="161" customFormat="1" ht="14.1" customHeight="1" x14ac:dyDescent="0.3">
      <c r="A229" s="221"/>
      <c r="B229" s="221"/>
      <c r="C229" s="229"/>
      <c r="D229" s="229"/>
      <c r="E229" s="222"/>
      <c r="F229" s="229"/>
      <c r="G229" s="227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4"/>
      <c r="U229" s="233"/>
      <c r="V229" s="221"/>
      <c r="Y229" s="228"/>
    </row>
    <row r="230" spans="1:25" s="161" customFormat="1" ht="14.1" customHeight="1" x14ac:dyDescent="0.3">
      <c r="A230" s="221"/>
      <c r="B230" s="221"/>
      <c r="C230" s="229"/>
      <c r="D230" s="229"/>
      <c r="E230" s="222"/>
      <c r="F230" s="229"/>
      <c r="G230" s="227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4"/>
      <c r="U230" s="233"/>
      <c r="V230" s="221"/>
      <c r="Y230" s="228"/>
    </row>
    <row r="231" spans="1:25" s="161" customFormat="1" ht="14.1" customHeight="1" x14ac:dyDescent="0.3">
      <c r="A231" s="221"/>
      <c r="B231" s="221"/>
      <c r="C231" s="229"/>
      <c r="D231" s="229"/>
      <c r="E231" s="222"/>
      <c r="F231" s="229"/>
      <c r="G231" s="227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4"/>
      <c r="U231" s="233"/>
      <c r="V231" s="221"/>
      <c r="Y231" s="228"/>
    </row>
    <row r="232" spans="1:25" s="161" customFormat="1" ht="14.1" customHeight="1" x14ac:dyDescent="0.3">
      <c r="A232" s="221"/>
      <c r="B232" s="221"/>
      <c r="C232" s="229"/>
      <c r="D232" s="229"/>
      <c r="E232" s="222"/>
      <c r="F232" s="229"/>
      <c r="G232" s="227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4"/>
      <c r="U232" s="233"/>
      <c r="V232" s="221"/>
      <c r="Y232" s="228"/>
    </row>
    <row r="233" spans="1:25" s="161" customFormat="1" ht="14.1" customHeight="1" x14ac:dyDescent="0.3">
      <c r="A233" s="221"/>
      <c r="B233" s="221"/>
      <c r="C233" s="229"/>
      <c r="D233" s="229"/>
      <c r="E233" s="222"/>
      <c r="F233" s="229"/>
      <c r="G233" s="227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4"/>
      <c r="U233" s="233"/>
      <c r="V233" s="221"/>
      <c r="Y233" s="228"/>
    </row>
    <row r="234" spans="1:25" s="161" customFormat="1" ht="14.1" customHeight="1" x14ac:dyDescent="0.3">
      <c r="A234" s="221"/>
      <c r="B234" s="221"/>
      <c r="C234" s="229"/>
      <c r="D234" s="229"/>
      <c r="E234" s="222"/>
      <c r="F234" s="229"/>
      <c r="G234" s="227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4"/>
      <c r="U234" s="233"/>
      <c r="V234" s="221"/>
      <c r="Y234" s="228"/>
    </row>
    <row r="235" spans="1:25" s="161" customFormat="1" ht="14.1" customHeight="1" x14ac:dyDescent="0.3">
      <c r="A235" s="221"/>
      <c r="B235" s="221"/>
      <c r="C235" s="229"/>
      <c r="D235" s="229"/>
      <c r="E235" s="222"/>
      <c r="F235" s="229"/>
      <c r="G235" s="227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4"/>
      <c r="U235" s="233"/>
      <c r="V235" s="221"/>
      <c r="Y235" s="228"/>
    </row>
    <row r="236" spans="1:25" s="161" customFormat="1" ht="14.1" customHeight="1" x14ac:dyDescent="0.3">
      <c r="A236" s="221"/>
      <c r="B236" s="221"/>
      <c r="C236" s="229"/>
      <c r="D236" s="229"/>
      <c r="E236" s="222"/>
      <c r="F236" s="229"/>
      <c r="G236" s="227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4"/>
      <c r="U236" s="233"/>
      <c r="V236" s="221"/>
      <c r="Y236" s="228"/>
    </row>
    <row r="237" spans="1:25" s="161" customFormat="1" ht="14.1" customHeight="1" x14ac:dyDescent="0.3">
      <c r="A237" s="221"/>
      <c r="B237" s="221"/>
      <c r="C237" s="229"/>
      <c r="D237" s="229"/>
      <c r="E237" s="222"/>
      <c r="F237" s="229"/>
      <c r="G237" s="227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4"/>
      <c r="U237" s="233"/>
      <c r="V237" s="221"/>
      <c r="Y237" s="228"/>
    </row>
    <row r="238" spans="1:25" s="161" customFormat="1" ht="14.1" customHeight="1" x14ac:dyDescent="0.3">
      <c r="A238" s="221"/>
      <c r="B238" s="221"/>
      <c r="C238" s="229"/>
      <c r="D238" s="229"/>
      <c r="E238" s="222"/>
      <c r="F238" s="229"/>
      <c r="G238" s="227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4"/>
      <c r="U238" s="233"/>
      <c r="V238" s="221"/>
      <c r="Y238" s="228"/>
    </row>
    <row r="239" spans="1:25" s="161" customFormat="1" ht="14.1" customHeight="1" x14ac:dyDescent="0.3">
      <c r="A239" s="221"/>
      <c r="B239" s="221"/>
      <c r="C239" s="229"/>
      <c r="D239" s="229"/>
      <c r="E239" s="222"/>
      <c r="F239" s="229"/>
      <c r="G239" s="227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4"/>
      <c r="U239" s="233"/>
      <c r="V239" s="221"/>
      <c r="Y239" s="228"/>
    </row>
    <row r="240" spans="1:25" s="161" customFormat="1" ht="14.1" customHeight="1" x14ac:dyDescent="0.3">
      <c r="A240" s="221"/>
      <c r="B240" s="221"/>
      <c r="C240" s="229"/>
      <c r="D240" s="229"/>
      <c r="E240" s="222"/>
      <c r="F240" s="229"/>
      <c r="G240" s="227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4"/>
      <c r="U240" s="233"/>
      <c r="V240" s="221"/>
      <c r="Y240" s="228"/>
    </row>
    <row r="241" spans="1:25" s="161" customFormat="1" ht="14.1" customHeight="1" x14ac:dyDescent="0.3">
      <c r="A241" s="221"/>
      <c r="B241" s="221"/>
      <c r="C241" s="229"/>
      <c r="D241" s="229"/>
      <c r="E241" s="222"/>
      <c r="F241" s="229"/>
      <c r="G241" s="227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4"/>
      <c r="U241" s="233"/>
      <c r="V241" s="221"/>
      <c r="Y241" s="228"/>
    </row>
    <row r="242" spans="1:25" s="161" customFormat="1" ht="14.1" customHeight="1" x14ac:dyDescent="0.3">
      <c r="A242" s="221"/>
      <c r="B242" s="221"/>
      <c r="C242" s="229"/>
      <c r="D242" s="229"/>
      <c r="E242" s="222"/>
      <c r="F242" s="229"/>
      <c r="G242" s="227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4"/>
      <c r="U242" s="233"/>
      <c r="V242" s="221"/>
      <c r="Y242" s="228"/>
    </row>
    <row r="243" spans="1:25" s="161" customFormat="1" ht="14.1" customHeight="1" x14ac:dyDescent="0.3">
      <c r="A243" s="221"/>
      <c r="B243" s="221"/>
      <c r="C243" s="229"/>
      <c r="D243" s="229"/>
      <c r="E243" s="222"/>
      <c r="F243" s="229"/>
      <c r="G243" s="227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4"/>
      <c r="U243" s="233"/>
      <c r="V243" s="221"/>
      <c r="Y243" s="228"/>
    </row>
    <row r="244" spans="1:25" s="161" customFormat="1" ht="14.1" customHeight="1" x14ac:dyDescent="0.3">
      <c r="A244" s="221"/>
      <c r="B244" s="221"/>
      <c r="C244" s="229"/>
      <c r="D244" s="229"/>
      <c r="E244" s="222"/>
      <c r="F244" s="229"/>
      <c r="G244" s="227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4"/>
      <c r="U244" s="233"/>
      <c r="V244" s="221"/>
      <c r="Y244" s="228"/>
    </row>
    <row r="245" spans="1:25" s="161" customFormat="1" ht="14.1" customHeight="1" x14ac:dyDescent="0.3">
      <c r="A245" s="221"/>
      <c r="B245" s="221"/>
      <c r="C245" s="229"/>
      <c r="D245" s="229"/>
      <c r="E245" s="222"/>
      <c r="F245" s="229"/>
      <c r="G245" s="227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4"/>
      <c r="U245" s="233"/>
      <c r="V245" s="221"/>
      <c r="Y245" s="228"/>
    </row>
    <row r="246" spans="1:25" s="161" customFormat="1" ht="14.1" customHeight="1" x14ac:dyDescent="0.3">
      <c r="A246" s="221"/>
      <c r="B246" s="221"/>
      <c r="C246" s="229"/>
      <c r="D246" s="229"/>
      <c r="E246" s="222"/>
      <c r="F246" s="229"/>
      <c r="G246" s="227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4"/>
      <c r="U246" s="233"/>
      <c r="V246" s="221"/>
      <c r="Y246" s="228"/>
    </row>
    <row r="247" spans="1:25" s="161" customFormat="1" ht="14.1" customHeight="1" x14ac:dyDescent="0.3">
      <c r="A247" s="221"/>
      <c r="B247" s="221"/>
      <c r="C247" s="229"/>
      <c r="D247" s="229"/>
      <c r="E247" s="222"/>
      <c r="F247" s="229"/>
      <c r="G247" s="227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4"/>
      <c r="U247" s="233"/>
      <c r="V247" s="221"/>
      <c r="Y247" s="228"/>
    </row>
    <row r="248" spans="1:25" s="161" customFormat="1" ht="14.1" customHeight="1" x14ac:dyDescent="0.3">
      <c r="A248" s="221"/>
      <c r="B248" s="221"/>
      <c r="C248" s="229"/>
      <c r="D248" s="229"/>
      <c r="E248" s="222"/>
      <c r="F248" s="229"/>
      <c r="G248" s="227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4"/>
      <c r="U248" s="233"/>
      <c r="V248" s="221"/>
      <c r="Y248" s="228"/>
    </row>
    <row r="249" spans="1:25" s="161" customFormat="1" ht="14.1" customHeight="1" x14ac:dyDescent="0.3">
      <c r="A249" s="221"/>
      <c r="B249" s="221"/>
      <c r="C249" s="229"/>
      <c r="D249" s="229"/>
      <c r="E249" s="222"/>
      <c r="F249" s="229"/>
      <c r="G249" s="227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4"/>
      <c r="U249" s="233"/>
      <c r="V249" s="221"/>
      <c r="Y249" s="228"/>
    </row>
    <row r="250" spans="1:25" s="161" customFormat="1" ht="14.1" customHeight="1" x14ac:dyDescent="0.3">
      <c r="A250" s="221"/>
      <c r="B250" s="221"/>
      <c r="C250" s="229"/>
      <c r="D250" s="229"/>
      <c r="E250" s="222"/>
      <c r="F250" s="229"/>
      <c r="G250" s="227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4"/>
      <c r="U250" s="233"/>
      <c r="V250" s="221"/>
      <c r="Y250" s="228"/>
    </row>
    <row r="251" spans="1:25" s="161" customFormat="1" ht="14.1" customHeight="1" x14ac:dyDescent="0.3">
      <c r="A251" s="221"/>
      <c r="B251" s="221"/>
      <c r="C251" s="229"/>
      <c r="D251" s="229"/>
      <c r="E251" s="222"/>
      <c r="F251" s="229"/>
      <c r="G251" s="227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4"/>
      <c r="U251" s="233"/>
      <c r="V251" s="221"/>
      <c r="Y251" s="228"/>
    </row>
    <row r="252" spans="1:25" s="161" customFormat="1" ht="14.1" customHeight="1" x14ac:dyDescent="0.3">
      <c r="A252" s="221"/>
      <c r="B252" s="221"/>
      <c r="C252" s="229"/>
      <c r="D252" s="229"/>
      <c r="E252" s="222"/>
      <c r="F252" s="229"/>
      <c r="G252" s="227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4"/>
      <c r="U252" s="233"/>
      <c r="V252" s="221"/>
      <c r="Y252" s="228"/>
    </row>
    <row r="253" spans="1:25" s="161" customFormat="1" ht="14.1" customHeight="1" x14ac:dyDescent="0.3">
      <c r="A253" s="221"/>
      <c r="B253" s="221"/>
      <c r="C253" s="229"/>
      <c r="D253" s="229"/>
      <c r="E253" s="222"/>
      <c r="F253" s="229"/>
      <c r="G253" s="227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4"/>
      <c r="U253" s="233"/>
      <c r="V253" s="221"/>
      <c r="Y253" s="228"/>
    </row>
    <row r="254" spans="1:25" s="161" customFormat="1" ht="14.1" customHeight="1" x14ac:dyDescent="0.3">
      <c r="A254" s="221"/>
      <c r="B254" s="221"/>
      <c r="C254" s="229"/>
      <c r="D254" s="229"/>
      <c r="E254" s="222"/>
      <c r="F254" s="229"/>
      <c r="G254" s="227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4"/>
      <c r="U254" s="233"/>
      <c r="V254" s="221"/>
      <c r="Y254" s="228"/>
    </row>
    <row r="255" spans="1:25" s="161" customFormat="1" ht="14.1" customHeight="1" x14ac:dyDescent="0.3">
      <c r="A255" s="221"/>
      <c r="B255" s="221"/>
      <c r="C255" s="229"/>
      <c r="D255" s="229"/>
      <c r="E255" s="222"/>
      <c r="F255" s="229"/>
      <c r="G255" s="227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4"/>
      <c r="U255" s="233"/>
      <c r="V255" s="221"/>
      <c r="Y255" s="228"/>
    </row>
    <row r="256" spans="1:25" s="161" customFormat="1" ht="14.1" customHeight="1" x14ac:dyDescent="0.3">
      <c r="A256" s="221"/>
      <c r="B256" s="221"/>
      <c r="C256" s="229"/>
      <c r="D256" s="229"/>
      <c r="E256" s="222"/>
      <c r="F256" s="229"/>
      <c r="G256" s="227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4"/>
      <c r="U256" s="233"/>
      <c r="V256" s="221"/>
      <c r="Y256" s="228"/>
    </row>
    <row r="257" spans="1:25" s="161" customFormat="1" ht="14.1" customHeight="1" x14ac:dyDescent="0.3">
      <c r="A257" s="221"/>
      <c r="B257" s="221"/>
      <c r="C257" s="229"/>
      <c r="D257" s="229"/>
      <c r="E257" s="222"/>
      <c r="F257" s="229"/>
      <c r="G257" s="227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4"/>
      <c r="U257" s="233"/>
      <c r="V257" s="221"/>
      <c r="Y257" s="228"/>
    </row>
    <row r="258" spans="1:25" s="161" customFormat="1" ht="14.1" customHeight="1" x14ac:dyDescent="0.3">
      <c r="A258" s="221"/>
      <c r="B258" s="221"/>
      <c r="C258" s="229"/>
      <c r="D258" s="229"/>
      <c r="E258" s="222"/>
      <c r="F258" s="229"/>
      <c r="G258" s="227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4"/>
      <c r="U258" s="233"/>
      <c r="V258" s="221"/>
      <c r="Y258" s="228"/>
    </row>
    <row r="259" spans="1:25" s="161" customFormat="1" ht="14.1" customHeight="1" x14ac:dyDescent="0.3">
      <c r="A259" s="221"/>
      <c r="B259" s="221"/>
      <c r="C259" s="229"/>
      <c r="D259" s="229"/>
      <c r="E259" s="222"/>
      <c r="F259" s="229"/>
      <c r="G259" s="227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4"/>
      <c r="U259" s="233"/>
      <c r="V259" s="221"/>
      <c r="Y259" s="228"/>
    </row>
    <row r="260" spans="1:25" s="161" customFormat="1" ht="14.1" customHeight="1" x14ac:dyDescent="0.3">
      <c r="A260" s="221"/>
      <c r="B260" s="221"/>
      <c r="C260" s="229"/>
      <c r="D260" s="229"/>
      <c r="E260" s="222"/>
      <c r="F260" s="229"/>
      <c r="G260" s="227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4"/>
      <c r="U260" s="233"/>
      <c r="V260" s="221"/>
      <c r="Y260" s="228"/>
    </row>
    <row r="261" spans="1:25" s="161" customFormat="1" ht="14.1" customHeight="1" x14ac:dyDescent="0.3">
      <c r="A261" s="221"/>
      <c r="B261" s="221"/>
      <c r="C261" s="229"/>
      <c r="D261" s="229"/>
      <c r="E261" s="222"/>
      <c r="F261" s="229"/>
      <c r="G261" s="227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4"/>
      <c r="U261" s="233"/>
      <c r="V261" s="221"/>
      <c r="Y261" s="228"/>
    </row>
    <row r="262" spans="1:25" s="161" customFormat="1" ht="14.1" customHeight="1" x14ac:dyDescent="0.3">
      <c r="A262" s="221"/>
      <c r="B262" s="221"/>
      <c r="C262" s="229"/>
      <c r="D262" s="229"/>
      <c r="E262" s="222"/>
      <c r="F262" s="229"/>
      <c r="G262" s="227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4"/>
      <c r="U262" s="233"/>
      <c r="V262" s="221"/>
      <c r="Y262" s="228"/>
    </row>
    <row r="263" spans="1:25" s="161" customFormat="1" ht="14.1" customHeight="1" x14ac:dyDescent="0.3">
      <c r="A263" s="221"/>
      <c r="B263" s="221"/>
      <c r="C263" s="229"/>
      <c r="D263" s="229"/>
      <c r="E263" s="222"/>
      <c r="F263" s="229"/>
      <c r="G263" s="227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4"/>
      <c r="U263" s="233"/>
      <c r="V263" s="221"/>
      <c r="Y263" s="228"/>
    </row>
    <row r="264" spans="1:25" s="161" customFormat="1" ht="14.1" customHeight="1" x14ac:dyDescent="0.3">
      <c r="A264" s="221"/>
      <c r="B264" s="221"/>
      <c r="C264" s="229"/>
      <c r="D264" s="229"/>
      <c r="E264" s="222"/>
      <c r="F264" s="229"/>
      <c r="G264" s="227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4"/>
      <c r="U264" s="233"/>
      <c r="V264" s="221"/>
      <c r="Y264" s="228"/>
    </row>
    <row r="265" spans="1:25" s="161" customFormat="1" ht="14.1" customHeight="1" x14ac:dyDescent="0.3">
      <c r="A265" s="221"/>
      <c r="B265" s="221"/>
      <c r="C265" s="229"/>
      <c r="D265" s="229"/>
      <c r="E265" s="222"/>
      <c r="F265" s="229"/>
      <c r="G265" s="227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4"/>
      <c r="U265" s="233"/>
      <c r="V265" s="221"/>
      <c r="Y265" s="228"/>
    </row>
    <row r="266" spans="1:25" s="161" customFormat="1" ht="14.1" customHeight="1" x14ac:dyDescent="0.3">
      <c r="A266" s="221"/>
      <c r="B266" s="221"/>
      <c r="C266" s="229"/>
      <c r="D266" s="229"/>
      <c r="E266" s="222"/>
      <c r="F266" s="229"/>
      <c r="G266" s="227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4"/>
      <c r="U266" s="233"/>
      <c r="V266" s="221"/>
      <c r="Y266" s="228"/>
    </row>
    <row r="267" spans="1:25" s="161" customFormat="1" ht="14.1" customHeight="1" x14ac:dyDescent="0.3">
      <c r="A267" s="221"/>
      <c r="B267" s="221"/>
      <c r="C267" s="229"/>
      <c r="D267" s="229"/>
      <c r="E267" s="222"/>
      <c r="F267" s="229"/>
      <c r="G267" s="227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4"/>
      <c r="U267" s="233"/>
      <c r="V267" s="221"/>
      <c r="Y267" s="228"/>
    </row>
    <row r="268" spans="1:25" s="161" customFormat="1" ht="14.1" customHeight="1" x14ac:dyDescent="0.3">
      <c r="A268" s="221"/>
      <c r="B268" s="221"/>
      <c r="C268" s="229"/>
      <c r="D268" s="229"/>
      <c r="E268" s="222"/>
      <c r="F268" s="229"/>
      <c r="G268" s="227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4"/>
      <c r="U268" s="233"/>
      <c r="V268" s="221"/>
      <c r="Y268" s="228"/>
    </row>
    <row r="269" spans="1:25" s="161" customFormat="1" ht="14.1" customHeight="1" x14ac:dyDescent="0.3">
      <c r="A269" s="221"/>
      <c r="B269" s="221"/>
      <c r="C269" s="229"/>
      <c r="D269" s="229"/>
      <c r="E269" s="222"/>
      <c r="F269" s="229"/>
      <c r="G269" s="227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4"/>
      <c r="U269" s="233"/>
      <c r="V269" s="221"/>
      <c r="Y269" s="228"/>
    </row>
    <row r="270" spans="1:25" s="161" customFormat="1" ht="14.1" customHeight="1" x14ac:dyDescent="0.3">
      <c r="A270" s="221"/>
      <c r="B270" s="221"/>
      <c r="C270" s="229"/>
      <c r="D270" s="229"/>
      <c r="E270" s="222"/>
      <c r="F270" s="229"/>
      <c r="G270" s="227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4"/>
      <c r="U270" s="233"/>
      <c r="V270" s="221"/>
      <c r="Y270" s="228"/>
    </row>
    <row r="271" spans="1:25" s="161" customFormat="1" ht="14.1" customHeight="1" x14ac:dyDescent="0.3">
      <c r="A271" s="221"/>
      <c r="B271" s="221"/>
      <c r="C271" s="229"/>
      <c r="D271" s="229"/>
      <c r="E271" s="222"/>
      <c r="F271" s="229"/>
      <c r="G271" s="227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4"/>
      <c r="U271" s="233"/>
      <c r="V271" s="221"/>
      <c r="Y271" s="228"/>
    </row>
    <row r="272" spans="1:25" s="161" customFormat="1" ht="14.1" customHeight="1" x14ac:dyDescent="0.3">
      <c r="A272" s="221"/>
      <c r="B272" s="221"/>
      <c r="C272" s="229"/>
      <c r="D272" s="229"/>
      <c r="E272" s="222"/>
      <c r="F272" s="229"/>
      <c r="G272" s="227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4"/>
      <c r="U272" s="233"/>
      <c r="V272" s="221"/>
      <c r="Y272" s="228"/>
    </row>
    <row r="273" spans="1:25" s="161" customFormat="1" ht="14.1" customHeight="1" x14ac:dyDescent="0.3">
      <c r="A273" s="221"/>
      <c r="B273" s="221"/>
      <c r="C273" s="229"/>
      <c r="D273" s="229"/>
      <c r="E273" s="222"/>
      <c r="F273" s="229"/>
      <c r="G273" s="227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4"/>
      <c r="U273" s="233"/>
      <c r="V273" s="221"/>
      <c r="Y273" s="228"/>
    </row>
    <row r="274" spans="1:25" s="161" customFormat="1" ht="14.1" customHeight="1" x14ac:dyDescent="0.3">
      <c r="A274" s="221"/>
      <c r="B274" s="221"/>
      <c r="C274" s="229"/>
      <c r="D274" s="229"/>
      <c r="E274" s="222"/>
      <c r="F274" s="229"/>
      <c r="G274" s="227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4"/>
      <c r="U274" s="233"/>
      <c r="V274" s="221"/>
      <c r="Y274" s="228"/>
    </row>
    <row r="275" spans="1:25" s="161" customFormat="1" ht="14.1" customHeight="1" x14ac:dyDescent="0.3">
      <c r="A275" s="221"/>
      <c r="B275" s="221"/>
      <c r="C275" s="229"/>
      <c r="D275" s="229"/>
      <c r="E275" s="222"/>
      <c r="F275" s="229"/>
      <c r="G275" s="227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4"/>
      <c r="U275" s="233"/>
      <c r="V275" s="221"/>
      <c r="Y275" s="228"/>
    </row>
    <row r="276" spans="1:25" s="161" customFormat="1" ht="14.1" customHeight="1" x14ac:dyDescent="0.3">
      <c r="A276" s="221"/>
      <c r="B276" s="221"/>
      <c r="C276" s="229"/>
      <c r="D276" s="229"/>
      <c r="E276" s="222"/>
      <c r="F276" s="229"/>
      <c r="G276" s="227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4"/>
      <c r="U276" s="233"/>
      <c r="V276" s="221"/>
      <c r="Y276" s="228"/>
    </row>
    <row r="277" spans="1:25" s="161" customFormat="1" ht="14.1" customHeight="1" x14ac:dyDescent="0.3">
      <c r="A277" s="221"/>
      <c r="B277" s="221"/>
      <c r="C277" s="229"/>
      <c r="D277" s="229"/>
      <c r="E277" s="222"/>
      <c r="F277" s="229"/>
      <c r="G277" s="227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4"/>
      <c r="U277" s="233"/>
      <c r="V277" s="221"/>
      <c r="Y277" s="228"/>
    </row>
    <row r="278" spans="1:25" s="161" customFormat="1" ht="14.1" customHeight="1" x14ac:dyDescent="0.3">
      <c r="A278" s="221"/>
      <c r="B278" s="221"/>
      <c r="C278" s="229"/>
      <c r="D278" s="229"/>
      <c r="E278" s="222"/>
      <c r="F278" s="229"/>
      <c r="G278" s="227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4"/>
      <c r="U278" s="233"/>
      <c r="V278" s="221"/>
      <c r="Y278" s="228"/>
    </row>
    <row r="279" spans="1:25" s="161" customFormat="1" ht="14.1" customHeight="1" x14ac:dyDescent="0.3">
      <c r="A279" s="221"/>
      <c r="B279" s="221"/>
      <c r="C279" s="229"/>
      <c r="D279" s="229"/>
      <c r="E279" s="222"/>
      <c r="F279" s="229"/>
      <c r="G279" s="227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4"/>
      <c r="U279" s="233"/>
      <c r="V279" s="221"/>
      <c r="Y279" s="228"/>
    </row>
    <row r="280" spans="1:25" s="161" customFormat="1" ht="14.1" customHeight="1" x14ac:dyDescent="0.3">
      <c r="A280" s="221"/>
      <c r="B280" s="221"/>
      <c r="C280" s="229"/>
      <c r="D280" s="229"/>
      <c r="E280" s="222"/>
      <c r="F280" s="229"/>
      <c r="G280" s="227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4"/>
      <c r="U280" s="233"/>
      <c r="V280" s="221"/>
      <c r="Y280" s="228"/>
    </row>
    <row r="281" spans="1:25" s="161" customFormat="1" ht="14.1" customHeight="1" x14ac:dyDescent="0.3">
      <c r="A281" s="221"/>
      <c r="B281" s="221"/>
      <c r="C281" s="229"/>
      <c r="D281" s="229"/>
      <c r="E281" s="222"/>
      <c r="F281" s="229"/>
      <c r="G281" s="227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4"/>
      <c r="U281" s="233"/>
      <c r="V281" s="221"/>
      <c r="Y281" s="228"/>
    </row>
    <row r="282" spans="1:25" s="161" customFormat="1" ht="14.1" customHeight="1" x14ac:dyDescent="0.3">
      <c r="A282" s="221"/>
      <c r="B282" s="221"/>
      <c r="C282" s="229"/>
      <c r="D282" s="229"/>
      <c r="E282" s="222"/>
      <c r="F282" s="229"/>
      <c r="G282" s="227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4"/>
      <c r="U282" s="233"/>
      <c r="V282" s="221"/>
      <c r="Y282" s="228"/>
    </row>
    <row r="283" spans="1:25" s="161" customFormat="1" ht="14.1" customHeight="1" x14ac:dyDescent="0.3">
      <c r="A283" s="221"/>
      <c r="B283" s="221"/>
      <c r="C283" s="229"/>
      <c r="D283" s="229"/>
      <c r="E283" s="222"/>
      <c r="F283" s="229"/>
      <c r="G283" s="227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4"/>
      <c r="U283" s="233"/>
      <c r="V283" s="221"/>
      <c r="Y283" s="228"/>
    </row>
    <row r="284" spans="1:25" s="161" customFormat="1" ht="14.1" customHeight="1" x14ac:dyDescent="0.3">
      <c r="A284" s="221"/>
      <c r="B284" s="221"/>
      <c r="C284" s="229"/>
      <c r="D284" s="229"/>
      <c r="E284" s="222"/>
      <c r="F284" s="229"/>
      <c r="G284" s="227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4"/>
      <c r="U284" s="233"/>
      <c r="V284" s="221"/>
      <c r="Y284" s="228"/>
    </row>
    <row r="285" spans="1:25" s="161" customFormat="1" ht="14.1" customHeight="1" x14ac:dyDescent="0.3">
      <c r="A285" s="221"/>
      <c r="B285" s="221"/>
      <c r="C285" s="229"/>
      <c r="D285" s="229"/>
      <c r="E285" s="222"/>
      <c r="F285" s="229"/>
      <c r="G285" s="227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4"/>
      <c r="U285" s="233"/>
      <c r="V285" s="221"/>
      <c r="Y285" s="228"/>
    </row>
    <row r="286" spans="1:25" s="161" customFormat="1" ht="14.1" customHeight="1" x14ac:dyDescent="0.3">
      <c r="A286" s="221"/>
      <c r="B286" s="221"/>
      <c r="C286" s="229"/>
      <c r="D286" s="229"/>
      <c r="E286" s="222"/>
      <c r="F286" s="229"/>
      <c r="G286" s="227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4"/>
      <c r="U286" s="233"/>
      <c r="V286" s="221"/>
      <c r="Y286" s="228"/>
    </row>
    <row r="287" spans="1:25" s="161" customFormat="1" ht="14.1" customHeight="1" x14ac:dyDescent="0.3">
      <c r="A287" s="221"/>
      <c r="B287" s="221"/>
      <c r="C287" s="229"/>
      <c r="D287" s="229"/>
      <c r="E287" s="222"/>
      <c r="F287" s="229"/>
      <c r="G287" s="227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4"/>
      <c r="U287" s="233"/>
      <c r="V287" s="221"/>
      <c r="Y287" s="228"/>
    </row>
    <row r="288" spans="1:25" s="161" customFormat="1" ht="14.1" customHeight="1" x14ac:dyDescent="0.3">
      <c r="A288" s="221"/>
      <c r="B288" s="221"/>
      <c r="C288" s="229"/>
      <c r="D288" s="229"/>
      <c r="E288" s="222"/>
      <c r="F288" s="229"/>
      <c r="G288" s="227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4"/>
      <c r="U288" s="233"/>
      <c r="V288" s="221"/>
      <c r="Y288" s="228"/>
    </row>
    <row r="289" spans="1:25" s="161" customFormat="1" ht="14.1" customHeight="1" x14ac:dyDescent="0.3">
      <c r="A289" s="221"/>
      <c r="B289" s="221"/>
      <c r="C289" s="229"/>
      <c r="D289" s="229"/>
      <c r="E289" s="222"/>
      <c r="F289" s="229"/>
      <c r="G289" s="227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4"/>
      <c r="U289" s="233"/>
      <c r="V289" s="221"/>
      <c r="Y289" s="228"/>
    </row>
    <row r="290" spans="1:25" s="161" customFormat="1" ht="14.1" customHeight="1" x14ac:dyDescent="0.3">
      <c r="A290" s="221"/>
      <c r="B290" s="221"/>
      <c r="C290" s="229"/>
      <c r="D290" s="229"/>
      <c r="E290" s="222"/>
      <c r="F290" s="229"/>
      <c r="G290" s="227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4"/>
      <c r="U290" s="233"/>
      <c r="V290" s="221"/>
      <c r="Y290" s="228"/>
    </row>
    <row r="291" spans="1:25" s="161" customFormat="1" ht="14.1" customHeight="1" x14ac:dyDescent="0.3">
      <c r="A291" s="221"/>
      <c r="B291" s="221"/>
      <c r="C291" s="229"/>
      <c r="D291" s="229"/>
      <c r="E291" s="222"/>
      <c r="F291" s="229"/>
      <c r="G291" s="227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4"/>
      <c r="U291" s="233"/>
      <c r="V291" s="221"/>
      <c r="Y291" s="228"/>
    </row>
    <row r="292" spans="1:25" s="161" customFormat="1" ht="14.1" customHeight="1" x14ac:dyDescent="0.3">
      <c r="A292" s="221"/>
      <c r="B292" s="221"/>
      <c r="C292" s="229"/>
      <c r="D292" s="229"/>
      <c r="E292" s="222"/>
      <c r="F292" s="229"/>
      <c r="G292" s="227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4"/>
      <c r="U292" s="233"/>
      <c r="V292" s="221"/>
      <c r="Y292" s="228"/>
    </row>
    <row r="293" spans="1:25" s="161" customFormat="1" ht="14.1" customHeight="1" x14ac:dyDescent="0.3">
      <c r="A293" s="221"/>
      <c r="B293" s="221"/>
      <c r="C293" s="229"/>
      <c r="D293" s="229"/>
      <c r="E293" s="222"/>
      <c r="F293" s="229"/>
      <c r="G293" s="227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4"/>
      <c r="U293" s="233"/>
      <c r="V293" s="221"/>
      <c r="Y293" s="228"/>
    </row>
    <row r="294" spans="1:25" s="161" customFormat="1" ht="14.1" customHeight="1" x14ac:dyDescent="0.3">
      <c r="A294" s="221"/>
      <c r="B294" s="221"/>
      <c r="C294" s="229"/>
      <c r="D294" s="229"/>
      <c r="E294" s="222"/>
      <c r="F294" s="229"/>
      <c r="G294" s="227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4"/>
      <c r="U294" s="233"/>
      <c r="V294" s="221"/>
      <c r="Y294" s="228"/>
    </row>
    <row r="295" spans="1:25" s="161" customFormat="1" ht="14.1" customHeight="1" x14ac:dyDescent="0.3">
      <c r="A295" s="221"/>
      <c r="B295" s="221"/>
      <c r="C295" s="229"/>
      <c r="D295" s="229"/>
      <c r="E295" s="222"/>
      <c r="F295" s="229"/>
      <c r="G295" s="227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4"/>
      <c r="U295" s="233"/>
      <c r="V295" s="221"/>
      <c r="Y295" s="228"/>
    </row>
    <row r="296" spans="1:25" s="161" customFormat="1" ht="14.1" customHeight="1" x14ac:dyDescent="0.3">
      <c r="A296" s="221"/>
      <c r="B296" s="221"/>
      <c r="C296" s="229"/>
      <c r="D296" s="229"/>
      <c r="E296" s="222"/>
      <c r="F296" s="229"/>
      <c r="G296" s="227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4"/>
      <c r="U296" s="233"/>
      <c r="V296" s="221"/>
      <c r="Y296" s="228"/>
    </row>
    <row r="297" spans="1:25" s="161" customFormat="1" ht="14.1" customHeight="1" x14ac:dyDescent="0.3">
      <c r="A297" s="221"/>
      <c r="B297" s="221"/>
      <c r="C297" s="229"/>
      <c r="D297" s="229"/>
      <c r="E297" s="222"/>
      <c r="F297" s="229"/>
      <c r="G297" s="227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4"/>
      <c r="U297" s="233"/>
      <c r="V297" s="221"/>
      <c r="Y297" s="228"/>
    </row>
    <row r="298" spans="1:25" s="161" customFormat="1" ht="14.1" customHeight="1" x14ac:dyDescent="0.3">
      <c r="A298" s="221"/>
      <c r="B298" s="221"/>
      <c r="C298" s="229"/>
      <c r="D298" s="229"/>
      <c r="E298" s="222"/>
      <c r="F298" s="229"/>
      <c r="G298" s="227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4"/>
      <c r="U298" s="233"/>
      <c r="V298" s="221"/>
      <c r="Y298" s="228"/>
    </row>
    <row r="299" spans="1:25" s="161" customFormat="1" ht="14.1" customHeight="1" x14ac:dyDescent="0.3">
      <c r="A299" s="221"/>
      <c r="B299" s="221"/>
      <c r="C299" s="229"/>
      <c r="D299" s="229"/>
      <c r="E299" s="222"/>
      <c r="F299" s="229"/>
      <c r="G299" s="227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4"/>
      <c r="U299" s="233"/>
      <c r="V299" s="221"/>
      <c r="Y299" s="228"/>
    </row>
    <row r="300" spans="1:25" s="161" customFormat="1" ht="14.1" customHeight="1" x14ac:dyDescent="0.3">
      <c r="A300" s="221"/>
      <c r="B300" s="221"/>
      <c r="C300" s="229"/>
      <c r="D300" s="229"/>
      <c r="E300" s="222"/>
      <c r="F300" s="229"/>
      <c r="G300" s="227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4"/>
      <c r="U300" s="233"/>
      <c r="V300" s="221"/>
      <c r="Y300" s="228"/>
    </row>
    <row r="301" spans="1:25" s="161" customFormat="1" ht="14.1" customHeight="1" x14ac:dyDescent="0.3">
      <c r="A301" s="221"/>
      <c r="B301" s="221"/>
      <c r="C301" s="229"/>
      <c r="D301" s="229"/>
      <c r="E301" s="222"/>
      <c r="F301" s="229"/>
      <c r="G301" s="227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4"/>
      <c r="U301" s="233"/>
      <c r="V301" s="221"/>
      <c r="Y301" s="228"/>
    </row>
    <row r="302" spans="1:25" s="161" customFormat="1" ht="14.1" customHeight="1" x14ac:dyDescent="0.3">
      <c r="A302" s="221"/>
      <c r="B302" s="221"/>
      <c r="C302" s="229"/>
      <c r="D302" s="229"/>
      <c r="E302" s="222"/>
      <c r="F302" s="229"/>
      <c r="G302" s="227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4"/>
      <c r="U302" s="233"/>
      <c r="V302" s="221"/>
      <c r="Y302" s="228"/>
    </row>
    <row r="303" spans="1:25" s="161" customFormat="1" ht="14.1" customHeight="1" x14ac:dyDescent="0.3">
      <c r="A303" s="221"/>
      <c r="B303" s="221"/>
      <c r="C303" s="229"/>
      <c r="D303" s="229"/>
      <c r="E303" s="222"/>
      <c r="F303" s="229"/>
      <c r="G303" s="227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4"/>
      <c r="U303" s="233"/>
      <c r="V303" s="221"/>
      <c r="Y303" s="228"/>
    </row>
    <row r="304" spans="1:25" s="161" customFormat="1" ht="14.1" customHeight="1" x14ac:dyDescent="0.3">
      <c r="A304" s="221"/>
      <c r="B304" s="221"/>
      <c r="C304" s="229"/>
      <c r="D304" s="229"/>
      <c r="E304" s="222"/>
      <c r="F304" s="229"/>
      <c r="G304" s="227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4"/>
      <c r="U304" s="233"/>
      <c r="V304" s="221"/>
      <c r="Y304" s="228"/>
    </row>
    <row r="305" spans="1:25" s="161" customFormat="1" ht="14.1" customHeight="1" x14ac:dyDescent="0.3">
      <c r="A305" s="221"/>
      <c r="B305" s="221"/>
      <c r="C305" s="229"/>
      <c r="D305" s="229"/>
      <c r="E305" s="222"/>
      <c r="F305" s="229"/>
      <c r="G305" s="227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4"/>
      <c r="U305" s="233"/>
      <c r="V305" s="221"/>
      <c r="Y305" s="228"/>
    </row>
    <row r="306" spans="1:25" s="161" customFormat="1" ht="14.1" customHeight="1" x14ac:dyDescent="0.3">
      <c r="A306" s="221"/>
      <c r="B306" s="221"/>
      <c r="C306" s="229"/>
      <c r="D306" s="229"/>
      <c r="E306" s="222"/>
      <c r="F306" s="229"/>
      <c r="G306" s="227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4"/>
      <c r="U306" s="233"/>
      <c r="V306" s="221"/>
      <c r="Y306" s="228"/>
    </row>
    <row r="307" spans="1:25" s="161" customFormat="1" ht="14.1" customHeight="1" x14ac:dyDescent="0.3">
      <c r="A307" s="221"/>
      <c r="B307" s="221"/>
      <c r="C307" s="229"/>
      <c r="D307" s="229"/>
      <c r="E307" s="222"/>
      <c r="F307" s="229"/>
      <c r="G307" s="227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4"/>
      <c r="U307" s="233"/>
      <c r="V307" s="221"/>
      <c r="Y307" s="228"/>
    </row>
    <row r="308" spans="1:25" s="161" customFormat="1" ht="14.1" customHeight="1" x14ac:dyDescent="0.3">
      <c r="A308" s="221"/>
      <c r="B308" s="221"/>
      <c r="C308" s="229"/>
      <c r="D308" s="229"/>
      <c r="E308" s="222"/>
      <c r="F308" s="229"/>
      <c r="G308" s="227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4"/>
      <c r="U308" s="233"/>
      <c r="V308" s="221"/>
      <c r="Y308" s="228"/>
    </row>
    <row r="309" spans="1:25" s="161" customFormat="1" ht="14.1" customHeight="1" x14ac:dyDescent="0.3">
      <c r="A309" s="221"/>
      <c r="B309" s="221"/>
      <c r="C309" s="229"/>
      <c r="D309" s="229"/>
      <c r="E309" s="222"/>
      <c r="F309" s="229"/>
      <c r="G309" s="227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4"/>
      <c r="U309" s="233"/>
      <c r="V309" s="221"/>
      <c r="Y309" s="228"/>
    </row>
    <row r="310" spans="1:25" s="161" customFormat="1" ht="14.1" customHeight="1" x14ac:dyDescent="0.3">
      <c r="A310" s="221"/>
      <c r="B310" s="221"/>
      <c r="C310" s="229"/>
      <c r="D310" s="229"/>
      <c r="E310" s="222"/>
      <c r="F310" s="229"/>
      <c r="G310" s="227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4"/>
      <c r="U310" s="233"/>
      <c r="V310" s="221"/>
      <c r="Y310" s="228"/>
    </row>
    <row r="311" spans="1:25" s="161" customFormat="1" ht="14.1" customHeight="1" x14ac:dyDescent="0.3">
      <c r="A311" s="221"/>
      <c r="B311" s="221"/>
      <c r="C311" s="229"/>
      <c r="D311" s="229"/>
      <c r="E311" s="222"/>
      <c r="F311" s="229"/>
      <c r="G311" s="227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4"/>
      <c r="U311" s="233"/>
      <c r="V311" s="221"/>
      <c r="Y311" s="228"/>
    </row>
    <row r="312" spans="1:25" s="161" customFormat="1" ht="14.1" customHeight="1" x14ac:dyDescent="0.3">
      <c r="A312" s="221"/>
      <c r="B312" s="221"/>
      <c r="C312" s="229"/>
      <c r="D312" s="229"/>
      <c r="E312" s="222"/>
      <c r="F312" s="229"/>
      <c r="G312" s="227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4"/>
      <c r="U312" s="233"/>
      <c r="V312" s="221"/>
      <c r="Y312" s="228"/>
    </row>
    <row r="313" spans="1:25" s="161" customFormat="1" ht="14.1" customHeight="1" x14ac:dyDescent="0.3">
      <c r="A313" s="221"/>
      <c r="B313" s="221"/>
      <c r="C313" s="229"/>
      <c r="D313" s="229"/>
      <c r="E313" s="222"/>
      <c r="F313" s="229"/>
      <c r="G313" s="227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4"/>
      <c r="U313" s="233"/>
      <c r="V313" s="221"/>
      <c r="Y313" s="228"/>
    </row>
    <row r="314" spans="1:25" s="161" customFormat="1" ht="14.1" customHeight="1" x14ac:dyDescent="0.3">
      <c r="A314" s="221"/>
      <c r="B314" s="221"/>
      <c r="C314" s="229"/>
      <c r="D314" s="229"/>
      <c r="E314" s="222"/>
      <c r="F314" s="229"/>
      <c r="G314" s="227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4"/>
      <c r="U314" s="233"/>
      <c r="V314" s="221"/>
      <c r="Y314" s="228"/>
    </row>
    <row r="315" spans="1:25" s="161" customFormat="1" ht="14.1" customHeight="1" x14ac:dyDescent="0.3">
      <c r="A315" s="221"/>
      <c r="B315" s="221"/>
      <c r="C315" s="229"/>
      <c r="D315" s="229"/>
      <c r="E315" s="222"/>
      <c r="F315" s="229"/>
      <c r="G315" s="227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4"/>
      <c r="U315" s="233"/>
      <c r="V315" s="221"/>
      <c r="Y315" s="228"/>
    </row>
    <row r="316" spans="1:25" s="161" customFormat="1" ht="14.1" customHeight="1" x14ac:dyDescent="0.3">
      <c r="A316" s="221"/>
      <c r="B316" s="221"/>
      <c r="C316" s="229"/>
      <c r="D316" s="229"/>
      <c r="E316" s="222"/>
      <c r="F316" s="229"/>
      <c r="G316" s="227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4"/>
      <c r="U316" s="233"/>
      <c r="V316" s="221"/>
      <c r="Y316" s="228"/>
    </row>
    <row r="317" spans="1:25" s="161" customFormat="1" ht="14.1" customHeight="1" x14ac:dyDescent="0.3">
      <c r="A317" s="221"/>
      <c r="B317" s="221"/>
      <c r="C317" s="229"/>
      <c r="D317" s="229"/>
      <c r="E317" s="222"/>
      <c r="F317" s="229"/>
      <c r="G317" s="227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4"/>
      <c r="U317" s="233"/>
      <c r="V317" s="221"/>
      <c r="Y317" s="228"/>
    </row>
    <row r="318" spans="1:25" s="161" customFormat="1" ht="14.1" customHeight="1" x14ac:dyDescent="0.3">
      <c r="A318" s="221"/>
      <c r="B318" s="221"/>
      <c r="C318" s="229"/>
      <c r="D318" s="229"/>
      <c r="E318" s="222"/>
      <c r="F318" s="229"/>
      <c r="G318" s="227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4"/>
      <c r="U318" s="233"/>
      <c r="V318" s="221"/>
      <c r="Y318" s="228"/>
    </row>
    <row r="319" spans="1:25" s="161" customFormat="1" ht="14.1" customHeight="1" x14ac:dyDescent="0.3">
      <c r="A319" s="221"/>
      <c r="B319" s="221"/>
      <c r="C319" s="229"/>
      <c r="D319" s="229"/>
      <c r="E319" s="222"/>
      <c r="F319" s="229"/>
      <c r="G319" s="227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4"/>
      <c r="U319" s="233"/>
      <c r="V319" s="221"/>
      <c r="Y319" s="228"/>
    </row>
    <row r="320" spans="1:25" s="161" customFormat="1" ht="14.1" customHeight="1" x14ac:dyDescent="0.3">
      <c r="A320" s="221"/>
      <c r="B320" s="221"/>
      <c r="C320" s="229"/>
      <c r="D320" s="229"/>
      <c r="E320" s="222"/>
      <c r="F320" s="229"/>
      <c r="G320" s="227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4"/>
      <c r="U320" s="233"/>
      <c r="V320" s="221"/>
      <c r="Y320" s="228"/>
    </row>
    <row r="321" spans="1:25" s="161" customFormat="1" ht="14.1" customHeight="1" x14ac:dyDescent="0.3">
      <c r="A321" s="221"/>
      <c r="B321" s="221"/>
      <c r="C321" s="229"/>
      <c r="D321" s="229"/>
      <c r="E321" s="222"/>
      <c r="F321" s="229"/>
      <c r="G321" s="227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4"/>
      <c r="U321" s="233"/>
      <c r="V321" s="221"/>
      <c r="Y321" s="228"/>
    </row>
    <row r="322" spans="1:25" s="161" customFormat="1" ht="14.1" customHeight="1" x14ac:dyDescent="0.3">
      <c r="A322" s="221"/>
      <c r="B322" s="221"/>
      <c r="C322" s="229"/>
      <c r="D322" s="229"/>
      <c r="E322" s="222"/>
      <c r="F322" s="229"/>
      <c r="G322" s="227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4"/>
      <c r="U322" s="233"/>
      <c r="V322" s="221"/>
      <c r="Y322" s="228"/>
    </row>
    <row r="323" spans="1:25" s="161" customFormat="1" ht="14.1" customHeight="1" x14ac:dyDescent="0.3">
      <c r="A323" s="221"/>
      <c r="B323" s="221"/>
      <c r="C323" s="229"/>
      <c r="D323" s="229"/>
      <c r="E323" s="222"/>
      <c r="F323" s="229"/>
      <c r="G323" s="227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4"/>
      <c r="U323" s="233"/>
      <c r="V323" s="221"/>
      <c r="Y323" s="228"/>
    </row>
    <row r="324" spans="1:25" s="161" customFormat="1" ht="14.1" customHeight="1" x14ac:dyDescent="0.3">
      <c r="A324" s="221"/>
      <c r="B324" s="221"/>
      <c r="C324" s="229"/>
      <c r="D324" s="229"/>
      <c r="E324" s="222"/>
      <c r="F324" s="229"/>
      <c r="G324" s="227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4"/>
      <c r="U324" s="233"/>
      <c r="V324" s="221"/>
      <c r="Y324" s="228"/>
    </row>
    <row r="325" spans="1:25" s="161" customFormat="1" ht="14.1" customHeight="1" x14ac:dyDescent="0.3">
      <c r="A325" s="221"/>
      <c r="B325" s="221"/>
      <c r="C325" s="229"/>
      <c r="D325" s="229"/>
      <c r="E325" s="222"/>
      <c r="F325" s="229"/>
      <c r="G325" s="227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4"/>
      <c r="U325" s="233"/>
      <c r="V325" s="221"/>
      <c r="Y325" s="228"/>
    </row>
    <row r="326" spans="1:25" s="161" customFormat="1" ht="14.1" customHeight="1" x14ac:dyDescent="0.3">
      <c r="A326" s="221"/>
      <c r="B326" s="221"/>
      <c r="C326" s="229"/>
      <c r="D326" s="229"/>
      <c r="E326" s="222"/>
      <c r="F326" s="229"/>
      <c r="G326" s="227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4"/>
      <c r="U326" s="233"/>
      <c r="V326" s="221"/>
      <c r="Y326" s="228"/>
    </row>
    <row r="327" spans="1:25" s="161" customFormat="1" ht="14.1" customHeight="1" x14ac:dyDescent="0.3">
      <c r="A327" s="221"/>
      <c r="B327" s="221"/>
      <c r="C327" s="229"/>
      <c r="D327" s="229"/>
      <c r="E327" s="222"/>
      <c r="F327" s="229"/>
      <c r="G327" s="227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4"/>
      <c r="U327" s="233"/>
      <c r="V327" s="221"/>
      <c r="Y327" s="228"/>
    </row>
    <row r="328" spans="1:25" s="161" customFormat="1" ht="14.1" customHeight="1" x14ac:dyDescent="0.3">
      <c r="A328" s="221"/>
      <c r="B328" s="221"/>
      <c r="C328" s="229"/>
      <c r="D328" s="229"/>
      <c r="E328" s="222"/>
      <c r="F328" s="229"/>
      <c r="G328" s="227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4"/>
      <c r="U328" s="233"/>
      <c r="V328" s="221"/>
      <c r="Y328" s="228"/>
    </row>
    <row r="329" spans="1:25" s="161" customFormat="1" ht="14.1" customHeight="1" x14ac:dyDescent="0.3">
      <c r="A329" s="221"/>
      <c r="B329" s="221"/>
      <c r="C329" s="229"/>
      <c r="D329" s="229"/>
      <c r="E329" s="222"/>
      <c r="F329" s="229"/>
      <c r="G329" s="227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4"/>
      <c r="U329" s="233"/>
      <c r="V329" s="221"/>
      <c r="Y329" s="228"/>
    </row>
    <row r="330" spans="1:25" s="161" customFormat="1" ht="14.1" customHeight="1" x14ac:dyDescent="0.3">
      <c r="A330" s="221"/>
      <c r="B330" s="221"/>
      <c r="C330" s="229"/>
      <c r="D330" s="229"/>
      <c r="E330" s="222"/>
      <c r="F330" s="229"/>
      <c r="G330" s="227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4"/>
      <c r="U330" s="233"/>
      <c r="V330" s="221"/>
      <c r="Y330" s="228"/>
    </row>
    <row r="331" spans="1:25" s="161" customFormat="1" ht="14.1" customHeight="1" x14ac:dyDescent="0.3">
      <c r="A331" s="221"/>
      <c r="B331" s="221"/>
      <c r="C331" s="229"/>
      <c r="D331" s="229"/>
      <c r="E331" s="222"/>
      <c r="F331" s="229"/>
      <c r="G331" s="227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4"/>
      <c r="U331" s="233"/>
      <c r="V331" s="221"/>
      <c r="Y331" s="228"/>
    </row>
    <row r="332" spans="1:25" s="161" customFormat="1" ht="14.1" customHeight="1" x14ac:dyDescent="0.3">
      <c r="A332" s="221"/>
      <c r="B332" s="221"/>
      <c r="C332" s="229"/>
      <c r="D332" s="229"/>
      <c r="E332" s="222"/>
      <c r="F332" s="229"/>
      <c r="G332" s="227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4"/>
      <c r="U332" s="233"/>
      <c r="V332" s="221"/>
      <c r="Y332" s="228"/>
    </row>
    <row r="333" spans="1:25" s="161" customFormat="1" ht="14.1" customHeight="1" x14ac:dyDescent="0.3">
      <c r="A333" s="221"/>
      <c r="B333" s="221"/>
      <c r="C333" s="229"/>
      <c r="D333" s="229"/>
      <c r="E333" s="222"/>
      <c r="F333" s="229"/>
      <c r="G333" s="227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4"/>
      <c r="U333" s="233"/>
      <c r="V333" s="221"/>
      <c r="Y333" s="228"/>
    </row>
    <row r="334" spans="1:25" s="161" customFormat="1" ht="14.1" customHeight="1" x14ac:dyDescent="0.3">
      <c r="A334" s="221"/>
      <c r="B334" s="221"/>
      <c r="C334" s="229"/>
      <c r="D334" s="229"/>
      <c r="E334" s="222"/>
      <c r="F334" s="229"/>
      <c r="G334" s="227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4"/>
      <c r="U334" s="233"/>
      <c r="V334" s="221"/>
      <c r="Y334" s="228"/>
    </row>
    <row r="335" spans="1:25" s="161" customFormat="1" ht="14.1" customHeight="1" x14ac:dyDescent="0.3">
      <c r="A335" s="221"/>
      <c r="B335" s="221"/>
      <c r="C335" s="229"/>
      <c r="D335" s="229"/>
      <c r="E335" s="222"/>
      <c r="F335" s="229"/>
      <c r="G335" s="227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4"/>
      <c r="U335" s="233"/>
      <c r="V335" s="221"/>
      <c r="Y335" s="228"/>
    </row>
    <row r="336" spans="1:25" s="161" customFormat="1" ht="14.1" customHeight="1" x14ac:dyDescent="0.3">
      <c r="A336" s="221"/>
      <c r="B336" s="221"/>
      <c r="C336" s="229"/>
      <c r="D336" s="229"/>
      <c r="E336" s="222"/>
      <c r="F336" s="229"/>
      <c r="G336" s="227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4"/>
      <c r="U336" s="233"/>
      <c r="V336" s="221"/>
      <c r="Y336" s="228"/>
    </row>
    <row r="337" spans="1:25" s="161" customFormat="1" ht="14.1" customHeight="1" x14ac:dyDescent="0.3">
      <c r="A337" s="221"/>
      <c r="B337" s="221"/>
      <c r="C337" s="229"/>
      <c r="D337" s="229"/>
      <c r="E337" s="222"/>
      <c r="F337" s="229"/>
      <c r="G337" s="227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4"/>
      <c r="U337" s="233"/>
      <c r="V337" s="221"/>
      <c r="Y337" s="228"/>
    </row>
    <row r="338" spans="1:25" s="161" customFormat="1" ht="14.1" customHeight="1" x14ac:dyDescent="0.3">
      <c r="A338" s="221"/>
      <c r="B338" s="221"/>
      <c r="C338" s="229"/>
      <c r="D338" s="229"/>
      <c r="E338" s="222"/>
      <c r="F338" s="229"/>
      <c r="G338" s="227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4"/>
      <c r="U338" s="233"/>
      <c r="V338" s="221"/>
      <c r="Y338" s="228"/>
    </row>
    <row r="339" spans="1:25" s="161" customFormat="1" ht="14.1" customHeight="1" x14ac:dyDescent="0.3">
      <c r="A339" s="221"/>
      <c r="B339" s="221"/>
      <c r="C339" s="229"/>
      <c r="D339" s="229"/>
      <c r="E339" s="222"/>
      <c r="F339" s="229"/>
      <c r="G339" s="227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4"/>
      <c r="U339" s="233"/>
      <c r="V339" s="221"/>
      <c r="Y339" s="228"/>
    </row>
    <row r="340" spans="1:25" s="161" customFormat="1" ht="14.1" customHeight="1" x14ac:dyDescent="0.3">
      <c r="A340" s="221"/>
      <c r="B340" s="221"/>
      <c r="C340" s="229"/>
      <c r="D340" s="229"/>
      <c r="E340" s="222"/>
      <c r="F340" s="229"/>
      <c r="G340" s="227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4"/>
      <c r="U340" s="233"/>
      <c r="V340" s="221"/>
      <c r="Y340" s="228"/>
    </row>
    <row r="341" spans="1:25" s="161" customFormat="1" ht="14.1" customHeight="1" x14ac:dyDescent="0.3">
      <c r="A341" s="221"/>
      <c r="B341" s="221"/>
      <c r="C341" s="229"/>
      <c r="D341" s="229"/>
      <c r="E341" s="222"/>
      <c r="F341" s="229"/>
      <c r="G341" s="227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4"/>
      <c r="U341" s="233"/>
      <c r="V341" s="221"/>
      <c r="Y341" s="228"/>
    </row>
    <row r="342" spans="1:25" s="161" customFormat="1" ht="14.1" customHeight="1" x14ac:dyDescent="0.3">
      <c r="A342" s="221"/>
      <c r="B342" s="221"/>
      <c r="C342" s="229"/>
      <c r="D342" s="229"/>
      <c r="E342" s="222"/>
      <c r="F342" s="229"/>
      <c r="G342" s="227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4"/>
      <c r="U342" s="233"/>
      <c r="V342" s="221"/>
      <c r="Y342" s="228"/>
    </row>
    <row r="343" spans="1:25" s="161" customFormat="1" ht="14.1" customHeight="1" x14ac:dyDescent="0.3">
      <c r="A343" s="221"/>
      <c r="B343" s="221"/>
      <c r="C343" s="229"/>
      <c r="D343" s="229"/>
      <c r="E343" s="222"/>
      <c r="F343" s="229"/>
      <c r="G343" s="227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4"/>
      <c r="U343" s="233"/>
      <c r="V343" s="221"/>
      <c r="Y343" s="228"/>
    </row>
    <row r="344" spans="1:25" s="161" customFormat="1" ht="14.1" customHeight="1" x14ac:dyDescent="0.3">
      <c r="A344" s="221"/>
      <c r="B344" s="221"/>
      <c r="C344" s="229"/>
      <c r="D344" s="229"/>
      <c r="E344" s="222"/>
      <c r="F344" s="229"/>
      <c r="G344" s="227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4"/>
      <c r="U344" s="233"/>
      <c r="V344" s="221"/>
      <c r="Y344" s="228"/>
    </row>
    <row r="345" spans="1:25" s="161" customFormat="1" ht="14.1" customHeight="1" x14ac:dyDescent="0.3">
      <c r="A345" s="221"/>
      <c r="B345" s="221"/>
      <c r="C345" s="229"/>
      <c r="D345" s="229"/>
      <c r="E345" s="222"/>
      <c r="F345" s="229"/>
      <c r="G345" s="227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4"/>
      <c r="U345" s="233"/>
      <c r="V345" s="221"/>
      <c r="Y345" s="228"/>
    </row>
    <row r="346" spans="1:25" s="161" customFormat="1" ht="14.1" customHeight="1" x14ac:dyDescent="0.3">
      <c r="A346" s="221"/>
      <c r="B346" s="221"/>
      <c r="C346" s="229"/>
      <c r="D346" s="229"/>
      <c r="E346" s="222"/>
      <c r="F346" s="229"/>
      <c r="G346" s="227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4"/>
      <c r="U346" s="233"/>
      <c r="V346" s="221"/>
      <c r="Y346" s="228"/>
    </row>
    <row r="347" spans="1:25" s="161" customFormat="1" ht="14.1" customHeight="1" x14ac:dyDescent="0.3">
      <c r="A347" s="221"/>
      <c r="B347" s="221"/>
      <c r="C347" s="229"/>
      <c r="D347" s="229"/>
      <c r="E347" s="222"/>
      <c r="F347" s="229"/>
      <c r="G347" s="227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4"/>
      <c r="U347" s="233"/>
      <c r="V347" s="221"/>
      <c r="Y347" s="228"/>
    </row>
    <row r="348" spans="1:25" s="161" customFormat="1" ht="14.1" customHeight="1" x14ac:dyDescent="0.3">
      <c r="A348" s="221"/>
      <c r="B348" s="221"/>
      <c r="C348" s="229"/>
      <c r="D348" s="229"/>
      <c r="E348" s="222"/>
      <c r="F348" s="229"/>
      <c r="G348" s="227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4"/>
      <c r="U348" s="233"/>
      <c r="V348" s="221"/>
      <c r="Y348" s="228"/>
    </row>
    <row r="349" spans="1:25" s="161" customFormat="1" ht="14.1" customHeight="1" x14ac:dyDescent="0.3">
      <c r="A349" s="221"/>
      <c r="B349" s="221"/>
      <c r="C349" s="229"/>
      <c r="D349" s="229"/>
      <c r="E349" s="222"/>
      <c r="F349" s="229"/>
      <c r="G349" s="227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4"/>
      <c r="U349" s="233"/>
      <c r="V349" s="221"/>
      <c r="Y349" s="228"/>
    </row>
    <row r="350" spans="1:25" s="161" customFormat="1" ht="14.1" customHeight="1" x14ac:dyDescent="0.3">
      <c r="A350" s="221"/>
      <c r="B350" s="221"/>
      <c r="C350" s="229"/>
      <c r="D350" s="229"/>
      <c r="E350" s="222"/>
      <c r="F350" s="229"/>
      <c r="G350" s="227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4"/>
      <c r="U350" s="233"/>
      <c r="V350" s="221"/>
      <c r="Y350" s="228"/>
    </row>
    <row r="351" spans="1:25" s="161" customFormat="1" ht="14.1" customHeight="1" x14ac:dyDescent="0.3">
      <c r="A351" s="221"/>
      <c r="B351" s="221"/>
      <c r="C351" s="229"/>
      <c r="D351" s="229"/>
      <c r="E351" s="222"/>
      <c r="F351" s="229"/>
      <c r="G351" s="227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4"/>
      <c r="U351" s="233"/>
      <c r="V351" s="221"/>
      <c r="Y351" s="228"/>
    </row>
    <row r="352" spans="1:25" s="161" customFormat="1" ht="14.1" customHeight="1" x14ac:dyDescent="0.3">
      <c r="A352" s="221"/>
      <c r="B352" s="221"/>
      <c r="C352" s="229"/>
      <c r="D352" s="229"/>
      <c r="E352" s="222"/>
      <c r="F352" s="229"/>
      <c r="G352" s="227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4"/>
      <c r="U352" s="233"/>
      <c r="V352" s="221"/>
      <c r="Y352" s="228"/>
    </row>
    <row r="353" spans="1:25" s="161" customFormat="1" ht="14.1" customHeight="1" x14ac:dyDescent="0.3">
      <c r="A353" s="221"/>
      <c r="B353" s="221"/>
      <c r="C353" s="229"/>
      <c r="D353" s="229"/>
      <c r="E353" s="222"/>
      <c r="F353" s="229"/>
      <c r="G353" s="227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4"/>
      <c r="U353" s="233"/>
      <c r="V353" s="221"/>
      <c r="Y353" s="228"/>
    </row>
    <row r="354" spans="1:25" s="161" customFormat="1" ht="14.1" customHeight="1" x14ac:dyDescent="0.3">
      <c r="A354" s="221"/>
      <c r="B354" s="221"/>
      <c r="C354" s="229"/>
      <c r="D354" s="229"/>
      <c r="E354" s="222"/>
      <c r="F354" s="229"/>
      <c r="G354" s="227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4"/>
      <c r="U354" s="233"/>
      <c r="V354" s="221"/>
      <c r="Y354" s="228"/>
    </row>
    <row r="355" spans="1:25" s="161" customFormat="1" ht="14.1" customHeight="1" x14ac:dyDescent="0.3">
      <c r="A355" s="221"/>
      <c r="B355" s="221"/>
      <c r="C355" s="229"/>
      <c r="D355" s="229"/>
      <c r="E355" s="222"/>
      <c r="F355" s="229"/>
      <c r="G355" s="227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4"/>
      <c r="U355" s="233"/>
      <c r="V355" s="221"/>
      <c r="Y355" s="228"/>
    </row>
    <row r="356" spans="1:25" s="161" customFormat="1" ht="14.1" customHeight="1" x14ac:dyDescent="0.3">
      <c r="A356" s="221"/>
      <c r="B356" s="221"/>
      <c r="C356" s="229"/>
      <c r="D356" s="229"/>
      <c r="E356" s="222"/>
      <c r="F356" s="229"/>
      <c r="G356" s="227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4"/>
      <c r="U356" s="233"/>
      <c r="V356" s="221"/>
      <c r="Y356" s="228"/>
    </row>
    <row r="357" spans="1:25" s="161" customFormat="1" ht="14.1" customHeight="1" x14ac:dyDescent="0.3">
      <c r="A357" s="221"/>
      <c r="B357" s="221"/>
      <c r="C357" s="229"/>
      <c r="D357" s="229"/>
      <c r="E357" s="222"/>
      <c r="F357" s="229"/>
      <c r="G357" s="227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4"/>
      <c r="U357" s="233"/>
      <c r="V357" s="221"/>
      <c r="Y357" s="228"/>
    </row>
    <row r="358" spans="1:25" s="161" customFormat="1" ht="14.1" customHeight="1" x14ac:dyDescent="0.3">
      <c r="A358" s="221"/>
      <c r="B358" s="221"/>
      <c r="C358" s="229"/>
      <c r="D358" s="229"/>
      <c r="E358" s="222"/>
      <c r="F358" s="229"/>
      <c r="G358" s="227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4"/>
      <c r="U358" s="233"/>
      <c r="V358" s="221"/>
      <c r="Y358" s="228"/>
    </row>
    <row r="359" spans="1:25" s="161" customFormat="1" ht="14.1" customHeight="1" x14ac:dyDescent="0.3">
      <c r="A359" s="221"/>
      <c r="B359" s="221"/>
      <c r="C359" s="229"/>
      <c r="D359" s="229"/>
      <c r="E359" s="222"/>
      <c r="F359" s="229"/>
      <c r="G359" s="227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4"/>
      <c r="U359" s="233"/>
      <c r="V359" s="221"/>
      <c r="Y359" s="228"/>
    </row>
    <row r="360" spans="1:25" s="161" customFormat="1" ht="14.1" customHeight="1" x14ac:dyDescent="0.3">
      <c r="A360" s="221"/>
      <c r="B360" s="221"/>
      <c r="C360" s="229"/>
      <c r="D360" s="229"/>
      <c r="E360" s="222"/>
      <c r="F360" s="229"/>
      <c r="G360" s="227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4"/>
      <c r="U360" s="233"/>
      <c r="V360" s="221"/>
      <c r="Y360" s="228"/>
    </row>
    <row r="361" spans="1:25" s="161" customFormat="1" ht="14.1" customHeight="1" x14ac:dyDescent="0.3">
      <c r="A361" s="221"/>
      <c r="B361" s="221"/>
      <c r="C361" s="229"/>
      <c r="D361" s="229"/>
      <c r="E361" s="222"/>
      <c r="F361" s="229"/>
      <c r="G361" s="227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4"/>
      <c r="U361" s="233"/>
      <c r="V361" s="221"/>
      <c r="Y361" s="228"/>
    </row>
    <row r="362" spans="1:25" s="161" customFormat="1" ht="14.1" customHeight="1" x14ac:dyDescent="0.3">
      <c r="A362" s="221"/>
      <c r="B362" s="221"/>
      <c r="C362" s="229"/>
      <c r="D362" s="229"/>
      <c r="E362" s="222"/>
      <c r="F362" s="229"/>
      <c r="G362" s="227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4"/>
      <c r="U362" s="233"/>
      <c r="V362" s="221"/>
      <c r="Y362" s="228"/>
    </row>
    <row r="363" spans="1:25" s="161" customFormat="1" ht="14.1" customHeight="1" x14ac:dyDescent="0.3">
      <c r="A363" s="221"/>
      <c r="B363" s="221"/>
      <c r="C363" s="229"/>
      <c r="D363" s="229"/>
      <c r="E363" s="222"/>
      <c r="F363" s="229"/>
      <c r="G363" s="227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4"/>
      <c r="U363" s="233"/>
      <c r="V363" s="221"/>
      <c r="Y363" s="228"/>
    </row>
    <row r="364" spans="1:25" s="161" customFormat="1" ht="14.1" customHeight="1" x14ac:dyDescent="0.3">
      <c r="A364" s="221"/>
      <c r="B364" s="221"/>
      <c r="C364" s="229"/>
      <c r="D364" s="229"/>
      <c r="E364" s="222"/>
      <c r="F364" s="229"/>
      <c r="G364" s="227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4"/>
      <c r="U364" s="233"/>
      <c r="V364" s="221"/>
      <c r="Y364" s="228"/>
    </row>
    <row r="365" spans="1:25" s="161" customFormat="1" ht="14.1" customHeight="1" x14ac:dyDescent="0.3">
      <c r="A365" s="221"/>
      <c r="B365" s="221"/>
      <c r="C365" s="229"/>
      <c r="D365" s="229"/>
      <c r="E365" s="222"/>
      <c r="F365" s="229"/>
      <c r="G365" s="227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4"/>
      <c r="U365" s="233"/>
      <c r="V365" s="221"/>
      <c r="Y365" s="228"/>
    </row>
    <row r="366" spans="1:25" s="161" customFormat="1" ht="14.1" customHeight="1" x14ac:dyDescent="0.3">
      <c r="A366" s="221"/>
      <c r="B366" s="221"/>
      <c r="C366" s="229"/>
      <c r="D366" s="229"/>
      <c r="E366" s="222"/>
      <c r="F366" s="229"/>
      <c r="G366" s="227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4"/>
      <c r="U366" s="233"/>
      <c r="V366" s="221"/>
      <c r="Y366" s="228"/>
    </row>
    <row r="367" spans="1:25" s="161" customFormat="1" ht="14.1" customHeight="1" x14ac:dyDescent="0.3">
      <c r="A367" s="221"/>
      <c r="B367" s="221"/>
      <c r="C367" s="229"/>
      <c r="D367" s="229"/>
      <c r="E367" s="222"/>
      <c r="F367" s="229"/>
      <c r="G367" s="227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4"/>
      <c r="U367" s="233"/>
      <c r="V367" s="221"/>
      <c r="Y367" s="228"/>
    </row>
    <row r="368" spans="1:25" s="161" customFormat="1" ht="14.1" customHeight="1" x14ac:dyDescent="0.3">
      <c r="A368" s="221"/>
      <c r="B368" s="221"/>
      <c r="C368" s="229"/>
      <c r="D368" s="229"/>
      <c r="E368" s="222"/>
      <c r="F368" s="229"/>
      <c r="G368" s="227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4"/>
      <c r="U368" s="233"/>
      <c r="V368" s="221"/>
      <c r="Y368" s="228"/>
    </row>
    <row r="369" spans="1:25" s="161" customFormat="1" ht="14.1" customHeight="1" x14ac:dyDescent="0.3">
      <c r="A369" s="221"/>
      <c r="B369" s="221"/>
      <c r="C369" s="229"/>
      <c r="D369" s="229"/>
      <c r="E369" s="222"/>
      <c r="F369" s="229"/>
      <c r="G369" s="227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4"/>
      <c r="U369" s="233"/>
      <c r="V369" s="221"/>
      <c r="Y369" s="228"/>
    </row>
    <row r="370" spans="1:25" s="161" customFormat="1" ht="14.1" customHeight="1" x14ac:dyDescent="0.3">
      <c r="A370" s="221"/>
      <c r="B370" s="221"/>
      <c r="C370" s="229"/>
      <c r="D370" s="229"/>
      <c r="E370" s="222"/>
      <c r="F370" s="229"/>
      <c r="G370" s="227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4"/>
      <c r="U370" s="233"/>
      <c r="V370" s="221"/>
      <c r="Y370" s="228"/>
    </row>
    <row r="371" spans="1:25" s="161" customFormat="1" ht="14.1" customHeight="1" x14ac:dyDescent="0.3">
      <c r="A371" s="221"/>
      <c r="B371" s="221"/>
      <c r="C371" s="229"/>
      <c r="D371" s="229"/>
      <c r="E371" s="222"/>
      <c r="F371" s="229"/>
      <c r="G371" s="227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4"/>
      <c r="U371" s="233"/>
      <c r="V371" s="221"/>
      <c r="Y371" s="228"/>
    </row>
    <row r="372" spans="1:25" s="161" customFormat="1" ht="14.1" customHeight="1" x14ac:dyDescent="0.3">
      <c r="A372" s="221"/>
      <c r="B372" s="221"/>
      <c r="C372" s="229"/>
      <c r="D372" s="229"/>
      <c r="E372" s="222"/>
      <c r="F372" s="229"/>
      <c r="G372" s="227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4"/>
      <c r="U372" s="233"/>
      <c r="V372" s="221"/>
      <c r="Y372" s="228"/>
    </row>
    <row r="373" spans="1:25" s="161" customFormat="1" ht="14.1" customHeight="1" x14ac:dyDescent="0.3">
      <c r="A373" s="221"/>
      <c r="B373" s="221"/>
      <c r="C373" s="229"/>
      <c r="D373" s="229"/>
      <c r="E373" s="222"/>
      <c r="F373" s="229"/>
      <c r="G373" s="227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4"/>
      <c r="U373" s="233"/>
      <c r="V373" s="221"/>
      <c r="Y373" s="228"/>
    </row>
    <row r="374" spans="1:25" s="161" customFormat="1" ht="14.1" customHeight="1" x14ac:dyDescent="0.3">
      <c r="A374" s="221"/>
      <c r="B374" s="221"/>
      <c r="C374" s="229"/>
      <c r="D374" s="229"/>
      <c r="E374" s="222"/>
      <c r="F374" s="229"/>
      <c r="G374" s="227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4"/>
      <c r="U374" s="233"/>
      <c r="V374" s="221"/>
      <c r="Y374" s="228"/>
    </row>
    <row r="375" spans="1:25" s="161" customFormat="1" ht="14.1" customHeight="1" x14ac:dyDescent="0.3">
      <c r="A375" s="221"/>
      <c r="B375" s="221"/>
      <c r="C375" s="229"/>
      <c r="D375" s="229"/>
      <c r="E375" s="222"/>
      <c r="F375" s="229"/>
      <c r="G375" s="227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4"/>
      <c r="U375" s="233"/>
      <c r="V375" s="221"/>
      <c r="Y375" s="228"/>
    </row>
    <row r="376" spans="1:25" s="161" customFormat="1" ht="14.1" customHeight="1" x14ac:dyDescent="0.3">
      <c r="A376" s="221"/>
      <c r="B376" s="221"/>
      <c r="C376" s="229"/>
      <c r="D376" s="229"/>
      <c r="E376" s="222"/>
      <c r="F376" s="229"/>
      <c r="G376" s="227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4"/>
      <c r="U376" s="233"/>
      <c r="V376" s="221"/>
      <c r="Y376" s="228"/>
    </row>
    <row r="377" spans="1:25" s="161" customFormat="1" ht="14.1" customHeight="1" x14ac:dyDescent="0.3">
      <c r="A377" s="221"/>
      <c r="B377" s="221"/>
      <c r="C377" s="229"/>
      <c r="D377" s="229"/>
      <c r="E377" s="222"/>
      <c r="F377" s="229"/>
      <c r="G377" s="227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4"/>
      <c r="U377" s="233"/>
      <c r="V377" s="221"/>
      <c r="Y377" s="228"/>
    </row>
    <row r="378" spans="1:25" s="161" customFormat="1" ht="14.1" customHeight="1" x14ac:dyDescent="0.3">
      <c r="A378" s="221"/>
      <c r="B378" s="221"/>
      <c r="C378" s="229"/>
      <c r="D378" s="229"/>
      <c r="E378" s="222"/>
      <c r="F378" s="229"/>
      <c r="G378" s="227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4"/>
      <c r="U378" s="233"/>
      <c r="V378" s="221"/>
      <c r="Y378" s="228"/>
    </row>
    <row r="379" spans="1:25" s="161" customFormat="1" ht="14.1" customHeight="1" x14ac:dyDescent="0.3">
      <c r="A379" s="221"/>
      <c r="B379" s="221"/>
      <c r="C379" s="229"/>
      <c r="D379" s="229"/>
      <c r="E379" s="222"/>
      <c r="F379" s="229"/>
      <c r="G379" s="227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4"/>
      <c r="U379" s="233"/>
      <c r="V379" s="221"/>
      <c r="Y379" s="228"/>
    </row>
    <row r="380" spans="1:25" s="161" customFormat="1" ht="14.1" customHeight="1" x14ac:dyDescent="0.3">
      <c r="A380" s="221"/>
      <c r="B380" s="221"/>
      <c r="C380" s="229"/>
      <c r="D380" s="229"/>
      <c r="E380" s="222"/>
      <c r="F380" s="229"/>
      <c r="G380" s="227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4"/>
      <c r="U380" s="233"/>
      <c r="V380" s="221"/>
      <c r="Y380" s="228"/>
    </row>
    <row r="381" spans="1:25" s="161" customFormat="1" ht="14.1" customHeight="1" x14ac:dyDescent="0.3">
      <c r="A381" s="221"/>
      <c r="B381" s="221"/>
      <c r="C381" s="229"/>
      <c r="D381" s="229"/>
      <c r="E381" s="222"/>
      <c r="F381" s="229"/>
      <c r="G381" s="227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4"/>
      <c r="U381" s="233"/>
      <c r="V381" s="221"/>
      <c r="Y381" s="228"/>
    </row>
    <row r="382" spans="1:25" s="161" customFormat="1" ht="14.1" customHeight="1" x14ac:dyDescent="0.3">
      <c r="A382" s="221"/>
      <c r="B382" s="221"/>
      <c r="C382" s="229"/>
      <c r="D382" s="229"/>
      <c r="E382" s="222"/>
      <c r="F382" s="229"/>
      <c r="G382" s="227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4"/>
      <c r="U382" s="233"/>
      <c r="V382" s="221"/>
      <c r="Y382" s="228"/>
    </row>
    <row r="383" spans="1:25" s="161" customFormat="1" ht="14.1" customHeight="1" x14ac:dyDescent="0.3">
      <c r="A383" s="221"/>
      <c r="B383" s="221"/>
      <c r="C383" s="229"/>
      <c r="D383" s="229"/>
      <c r="E383" s="222"/>
      <c r="F383" s="229"/>
      <c r="G383" s="227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4"/>
      <c r="U383" s="233"/>
      <c r="V383" s="221"/>
      <c r="Y383" s="228"/>
    </row>
    <row r="384" spans="1:25" s="161" customFormat="1" ht="14.1" customHeight="1" x14ac:dyDescent="0.3">
      <c r="A384" s="221"/>
      <c r="B384" s="221"/>
      <c r="C384" s="229"/>
      <c r="D384" s="229"/>
      <c r="E384" s="222"/>
      <c r="F384" s="229"/>
      <c r="G384" s="227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4"/>
      <c r="U384" s="233"/>
      <c r="V384" s="221"/>
      <c r="Y384" s="228"/>
    </row>
    <row r="385" spans="1:25" s="161" customFormat="1" ht="14.1" customHeight="1" x14ac:dyDescent="0.3">
      <c r="A385" s="221"/>
      <c r="B385" s="221"/>
      <c r="C385" s="229"/>
      <c r="D385" s="229"/>
      <c r="E385" s="222"/>
      <c r="F385" s="229"/>
      <c r="G385" s="227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4"/>
      <c r="U385" s="233"/>
      <c r="V385" s="221"/>
      <c r="Y385" s="228"/>
    </row>
    <row r="386" spans="1:25" s="161" customFormat="1" ht="14.1" customHeight="1" x14ac:dyDescent="0.3">
      <c r="A386" s="221"/>
      <c r="B386" s="221"/>
      <c r="C386" s="229"/>
      <c r="D386" s="229"/>
      <c r="E386" s="222"/>
      <c r="F386" s="229"/>
      <c r="G386" s="227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4"/>
      <c r="U386" s="233"/>
      <c r="V386" s="221"/>
      <c r="Y386" s="228"/>
    </row>
    <row r="387" spans="1:25" s="161" customFormat="1" ht="14.1" customHeight="1" x14ac:dyDescent="0.3">
      <c r="A387" s="221"/>
      <c r="B387" s="221"/>
      <c r="C387" s="229"/>
      <c r="D387" s="229"/>
      <c r="E387" s="222"/>
      <c r="F387" s="229"/>
      <c r="G387" s="227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4"/>
      <c r="U387" s="233"/>
      <c r="V387" s="221"/>
      <c r="Y387" s="228"/>
    </row>
    <row r="388" spans="1:25" s="161" customFormat="1" ht="14.1" customHeight="1" x14ac:dyDescent="0.3">
      <c r="A388" s="221"/>
      <c r="B388" s="221"/>
      <c r="C388" s="229"/>
      <c r="D388" s="229"/>
      <c r="E388" s="222"/>
      <c r="F388" s="229"/>
      <c r="G388" s="227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4"/>
      <c r="U388" s="233"/>
      <c r="V388" s="221"/>
      <c r="Y388" s="228"/>
    </row>
    <row r="389" spans="1:25" s="161" customFormat="1" ht="14.1" customHeight="1" x14ac:dyDescent="0.3">
      <c r="A389" s="221"/>
      <c r="B389" s="221"/>
      <c r="C389" s="229"/>
      <c r="D389" s="229"/>
      <c r="E389" s="222"/>
      <c r="F389" s="229"/>
      <c r="G389" s="227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4"/>
      <c r="U389" s="233"/>
      <c r="V389" s="221"/>
      <c r="Y389" s="228"/>
    </row>
    <row r="390" spans="1:25" s="161" customFormat="1" ht="14.1" customHeight="1" x14ac:dyDescent="0.3">
      <c r="A390" s="221"/>
      <c r="B390" s="221"/>
      <c r="C390" s="229"/>
      <c r="D390" s="229"/>
      <c r="E390" s="222"/>
      <c r="F390" s="229"/>
      <c r="G390" s="227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4"/>
      <c r="U390" s="233"/>
      <c r="V390" s="221"/>
      <c r="Y390" s="228"/>
    </row>
    <row r="391" spans="1:25" s="161" customFormat="1" ht="14.1" customHeight="1" x14ac:dyDescent="0.3">
      <c r="A391" s="221"/>
      <c r="B391" s="221"/>
      <c r="C391" s="229"/>
      <c r="D391" s="229"/>
      <c r="E391" s="222"/>
      <c r="F391" s="229"/>
      <c r="G391" s="227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4"/>
      <c r="U391" s="233"/>
      <c r="V391" s="221"/>
      <c r="Y391" s="228"/>
    </row>
    <row r="392" spans="1:25" s="161" customFormat="1" ht="14.1" customHeight="1" x14ac:dyDescent="0.3">
      <c r="A392" s="221"/>
      <c r="B392" s="221"/>
      <c r="C392" s="226"/>
      <c r="D392" s="229"/>
      <c r="E392" s="222"/>
      <c r="F392" s="229"/>
      <c r="G392" s="227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4"/>
      <c r="T392" s="224"/>
      <c r="V392" s="234"/>
      <c r="W392" s="225"/>
      <c r="X392" s="235"/>
    </row>
    <row r="393" spans="1:25" s="239" customFormat="1" ht="26.25" customHeight="1" x14ac:dyDescent="0.35">
      <c r="A393" s="236"/>
      <c r="B393" s="237"/>
      <c r="C393" s="237"/>
      <c r="D393" s="161"/>
      <c r="E393" s="161"/>
      <c r="F393" s="359"/>
      <c r="G393" s="161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1"/>
      <c r="W393" s="232"/>
      <c r="X393" s="221"/>
    </row>
    <row r="394" spans="1:25" ht="15" customHeight="1" x14ac:dyDescent="0.3">
      <c r="V394" s="242"/>
      <c r="W394" s="221"/>
    </row>
    <row r="402" spans="6:6" ht="9.75" customHeight="1" x14ac:dyDescent="0.3">
      <c r="F402" s="229"/>
    </row>
    <row r="403" spans="6:6" ht="10.5" customHeight="1" x14ac:dyDescent="0.3"/>
    <row r="404" spans="6:6" ht="9.75" customHeight="1" x14ac:dyDescent="0.3">
      <c r="F404" s="229"/>
    </row>
    <row r="417" spans="10:10" ht="9.75" customHeight="1" x14ac:dyDescent="0.3">
      <c r="J417" s="222"/>
    </row>
  </sheetData>
  <sortState xmlns:xlrd2="http://schemas.microsoft.com/office/spreadsheetml/2017/richdata2" ref="A4:AB143">
    <sortCondition ref="B4:B143"/>
    <sortCondition ref="G4:G143"/>
  </sortState>
  <mergeCells count="2">
    <mergeCell ref="A1:B1"/>
    <mergeCell ref="E1:G1"/>
  </mergeCells>
  <phoneticPr fontId="0" type="noConversion"/>
  <printOptions gridLines="1"/>
  <pageMargins left="0.2" right="0.21" top="0.17" bottom="0.17" header="0.5" footer="0.31"/>
  <pageSetup scale="20" orientation="landscape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417"/>
  <sheetViews>
    <sheetView zoomScale="120" zoomScaleNormal="120" workbookViewId="0">
      <pane ySplit="2" topLeftCell="A3" activePane="bottomLeft" state="frozen"/>
      <selection pane="bottomLeft" activeCell="B8" sqref="B8"/>
    </sheetView>
  </sheetViews>
  <sheetFormatPr defaultColWidth="6.85546875" defaultRowHeight="9.75" customHeight="1" x14ac:dyDescent="0.3"/>
  <cols>
    <col min="1" max="1" width="4.42578125" style="221" customWidth="1"/>
    <col min="2" max="2" width="13.28515625" style="221" customWidth="1"/>
    <col min="3" max="3" width="7.5703125" style="221" customWidth="1"/>
    <col min="4" max="4" width="9.140625" style="240" customWidth="1"/>
    <col min="5" max="5" width="5" style="222" customWidth="1"/>
    <col min="6" max="6" width="10.28515625" style="360" customWidth="1"/>
    <col min="7" max="7" width="5.5703125" style="241" customWidth="1"/>
    <col min="8" max="8" width="6.7109375" style="223" customWidth="1"/>
    <col min="9" max="9" width="5.140625" style="223" customWidth="1"/>
    <col min="10" max="10" width="5.5703125" style="223" customWidth="1"/>
    <col min="11" max="11" width="5.140625" style="223" customWidth="1"/>
    <col min="12" max="12" width="4.85546875" style="223" customWidth="1"/>
    <col min="13" max="13" width="6.140625" style="223" customWidth="1"/>
    <col min="14" max="14" width="5.42578125" style="223" customWidth="1"/>
    <col min="15" max="15" width="6.28515625" style="223" customWidth="1"/>
    <col min="16" max="16" width="6.7109375" style="223" customWidth="1"/>
    <col min="17" max="17" width="5.7109375" style="224" customWidth="1"/>
    <col min="18" max="18" width="7" style="221" customWidth="1"/>
    <col min="19" max="19" width="5.140625" style="161" customWidth="1"/>
    <col min="20" max="20" width="7" style="230" customWidth="1"/>
    <col min="21" max="21" width="8" style="231" customWidth="1"/>
    <col min="22" max="22" width="7" style="232" customWidth="1"/>
    <col min="23" max="23" width="6.7109375" style="161" customWidth="1"/>
    <col min="24" max="24" width="7.140625" style="221" customWidth="1"/>
    <col min="25" max="26" width="7.42578125" style="221" bestFit="1" customWidth="1"/>
    <col min="27" max="16384" width="6.85546875" style="221"/>
  </cols>
  <sheetData>
    <row r="1" spans="1:28" ht="18.75" customHeight="1" thickBot="1" x14ac:dyDescent="0.35">
      <c r="A1" s="465">
        <v>44089</v>
      </c>
      <c r="B1" s="466"/>
      <c r="C1" s="243"/>
      <c r="D1" s="244"/>
      <c r="E1" s="467" t="s">
        <v>11</v>
      </c>
      <c r="F1" s="468"/>
      <c r="G1" s="468"/>
      <c r="H1" s="245" t="s">
        <v>30</v>
      </c>
      <c r="I1" s="246"/>
      <c r="J1" s="7"/>
      <c r="K1" s="247" t="s">
        <v>12</v>
      </c>
      <c r="L1" s="247"/>
      <c r="M1" s="248"/>
      <c r="N1" s="247"/>
      <c r="O1" s="249" t="s">
        <v>13</v>
      </c>
      <c r="P1" s="250"/>
      <c r="Q1" s="251"/>
      <c r="R1" s="252"/>
      <c r="S1" s="253"/>
      <c r="T1" s="84"/>
      <c r="U1" s="254"/>
      <c r="V1" s="255"/>
      <c r="W1" s="26"/>
      <c r="X1" s="3"/>
      <c r="Y1" s="3"/>
      <c r="Z1" s="3"/>
      <c r="AA1" s="3"/>
      <c r="AB1" s="3"/>
    </row>
    <row r="2" spans="1:28" s="161" customFormat="1" ht="12.75" customHeight="1" thickBot="1" x14ac:dyDescent="0.35">
      <c r="A2" s="114" t="s">
        <v>0</v>
      </c>
      <c r="B2" s="188" t="s">
        <v>1</v>
      </c>
      <c r="C2" s="188"/>
      <c r="D2" s="256" t="s">
        <v>20</v>
      </c>
      <c r="E2" s="257" t="s">
        <v>2</v>
      </c>
      <c r="F2" s="258" t="s">
        <v>3</v>
      </c>
      <c r="G2" s="259" t="s">
        <v>4</v>
      </c>
      <c r="H2" s="260" t="s">
        <v>65</v>
      </c>
      <c r="I2" s="260" t="s">
        <v>66</v>
      </c>
      <c r="J2" s="260" t="s">
        <v>28</v>
      </c>
      <c r="K2" s="260" t="s">
        <v>67</v>
      </c>
      <c r="L2" s="122" t="s">
        <v>37</v>
      </c>
      <c r="M2" s="260" t="s">
        <v>68</v>
      </c>
      <c r="N2" s="122" t="s">
        <v>69</v>
      </c>
      <c r="O2" s="260" t="s">
        <v>70</v>
      </c>
      <c r="P2" s="260" t="s">
        <v>71</v>
      </c>
      <c r="Q2" s="122" t="s">
        <v>34</v>
      </c>
      <c r="R2" s="260" t="s">
        <v>72</v>
      </c>
      <c r="S2" s="260" t="s">
        <v>73</v>
      </c>
      <c r="T2" s="261" t="s">
        <v>17</v>
      </c>
      <c r="U2" s="188" t="s">
        <v>10</v>
      </c>
      <c r="V2" s="39"/>
      <c r="W2" s="262"/>
      <c r="X2" s="263"/>
      <c r="Y2" s="2"/>
      <c r="Z2" s="2"/>
      <c r="AA2" s="2"/>
      <c r="AB2" s="2"/>
    </row>
    <row r="3" spans="1:28" ht="4.5" customHeight="1" x14ac:dyDescent="0.3">
      <c r="A3" s="3"/>
      <c r="B3" s="3"/>
      <c r="C3" s="3"/>
      <c r="D3" s="3"/>
      <c r="E3" s="5"/>
      <c r="F3" s="4"/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6"/>
      <c r="U3" s="107"/>
      <c r="V3" s="82"/>
      <c r="W3" s="264"/>
      <c r="X3" s="265"/>
      <c r="Y3" s="266"/>
      <c r="Z3" s="3"/>
      <c r="AA3" s="3"/>
      <c r="AB3" s="3"/>
    </row>
    <row r="4" spans="1:28" s="161" customFormat="1" ht="14.1" customHeight="1" x14ac:dyDescent="0.3">
      <c r="A4" s="113" t="s">
        <v>49</v>
      </c>
      <c r="B4" s="189" t="s">
        <v>106</v>
      </c>
      <c r="C4" s="190"/>
      <c r="D4" s="190">
        <v>3229107</v>
      </c>
      <c r="E4" s="267">
        <v>43546</v>
      </c>
      <c r="F4" s="190" t="s">
        <v>21</v>
      </c>
      <c r="G4" s="268">
        <v>43546</v>
      </c>
      <c r="H4" s="58"/>
      <c r="I4" s="192"/>
      <c r="J4" s="57"/>
      <c r="K4" s="58"/>
      <c r="L4" s="192"/>
      <c r="M4" s="192"/>
      <c r="N4" s="57"/>
      <c r="O4" s="58"/>
      <c r="P4" s="192"/>
      <c r="Q4" s="57"/>
      <c r="R4" s="58">
        <v>90</v>
      </c>
      <c r="S4" s="57"/>
      <c r="T4" s="269">
        <v>7.76</v>
      </c>
      <c r="U4" s="270">
        <f t="shared" ref="U4:U35" si="0">SUM(H4:T4)</f>
        <v>97.76</v>
      </c>
      <c r="V4" s="189" t="s">
        <v>36</v>
      </c>
      <c r="W4" s="271" t="s">
        <v>80</v>
      </c>
      <c r="X4" s="2" t="s">
        <v>142</v>
      </c>
      <c r="Y4" s="272"/>
      <c r="Z4" s="2"/>
      <c r="AA4" s="2"/>
      <c r="AB4" s="2"/>
    </row>
    <row r="5" spans="1:28" s="161" customFormat="1" ht="14.25" customHeight="1" x14ac:dyDescent="0.3">
      <c r="A5" s="113" t="s">
        <v>49</v>
      </c>
      <c r="B5" s="189" t="s">
        <v>95</v>
      </c>
      <c r="C5" s="190"/>
      <c r="D5" s="190">
        <v>4159101</v>
      </c>
      <c r="E5" s="267">
        <v>43570</v>
      </c>
      <c r="F5" s="190" t="s">
        <v>21</v>
      </c>
      <c r="G5" s="268">
        <v>43570</v>
      </c>
      <c r="H5" s="58"/>
      <c r="I5" s="192"/>
      <c r="J5" s="57"/>
      <c r="K5" s="58"/>
      <c r="L5" s="192"/>
      <c r="M5" s="192"/>
      <c r="N5" s="57"/>
      <c r="O5" s="58"/>
      <c r="P5" s="192"/>
      <c r="Q5" s="57"/>
      <c r="R5" s="58">
        <v>78</v>
      </c>
      <c r="S5" s="57">
        <v>17</v>
      </c>
      <c r="T5" s="269">
        <v>6.83</v>
      </c>
      <c r="U5" s="270">
        <f t="shared" si="0"/>
        <v>101.83</v>
      </c>
      <c r="V5" s="189" t="s">
        <v>36</v>
      </c>
      <c r="W5" s="271" t="s">
        <v>80</v>
      </c>
      <c r="X5" s="2" t="s">
        <v>329</v>
      </c>
      <c r="Y5" s="272"/>
      <c r="Z5" s="2"/>
      <c r="AA5" s="2"/>
      <c r="AB5" s="2"/>
    </row>
    <row r="6" spans="1:28" s="161" customFormat="1" ht="14.1" customHeight="1" x14ac:dyDescent="0.3">
      <c r="A6" s="113" t="s">
        <v>49</v>
      </c>
      <c r="B6" s="189" t="s">
        <v>101</v>
      </c>
      <c r="C6" s="190" t="s">
        <v>85</v>
      </c>
      <c r="D6" s="190">
        <v>6109107</v>
      </c>
      <c r="E6" s="267">
        <v>43626</v>
      </c>
      <c r="F6" s="190" t="s">
        <v>21</v>
      </c>
      <c r="G6" s="268">
        <v>43626</v>
      </c>
      <c r="H6" s="58"/>
      <c r="I6" s="192"/>
      <c r="J6" s="57"/>
      <c r="K6" s="58"/>
      <c r="L6" s="192"/>
      <c r="M6" s="192"/>
      <c r="N6" s="57"/>
      <c r="O6" s="58"/>
      <c r="P6" s="192"/>
      <c r="Q6" s="57"/>
      <c r="R6" s="58">
        <v>49</v>
      </c>
      <c r="S6" s="57">
        <v>9</v>
      </c>
      <c r="T6" s="269">
        <v>4.29</v>
      </c>
      <c r="U6" s="270">
        <f t="shared" si="0"/>
        <v>62.29</v>
      </c>
      <c r="V6" s="189" t="s">
        <v>36</v>
      </c>
      <c r="W6" s="271" t="s">
        <v>80</v>
      </c>
      <c r="X6" s="2" t="s">
        <v>144</v>
      </c>
      <c r="Y6" s="272"/>
      <c r="Z6" s="2"/>
      <c r="AA6" s="2"/>
      <c r="AB6" s="2"/>
    </row>
    <row r="7" spans="1:28" s="161" customFormat="1" ht="14.1" customHeight="1" x14ac:dyDescent="0.3">
      <c r="A7" s="113" t="s">
        <v>49</v>
      </c>
      <c r="B7" s="189" t="s">
        <v>162</v>
      </c>
      <c r="C7" s="190"/>
      <c r="D7" s="190">
        <v>7039104</v>
      </c>
      <c r="E7" s="267">
        <v>43649</v>
      </c>
      <c r="F7" s="190" t="s">
        <v>21</v>
      </c>
      <c r="G7" s="268">
        <v>43649</v>
      </c>
      <c r="H7" s="58"/>
      <c r="I7" s="192"/>
      <c r="J7" s="57"/>
      <c r="K7" s="58"/>
      <c r="L7" s="192"/>
      <c r="M7" s="192"/>
      <c r="N7" s="57"/>
      <c r="O7" s="58"/>
      <c r="P7" s="192"/>
      <c r="Q7" s="57"/>
      <c r="R7" s="58">
        <v>510</v>
      </c>
      <c r="S7" s="57"/>
      <c r="T7" s="269">
        <v>43.35</v>
      </c>
      <c r="U7" s="270">
        <f t="shared" si="0"/>
        <v>553.35</v>
      </c>
      <c r="V7" s="189" t="s">
        <v>36</v>
      </c>
      <c r="W7" s="271" t="s">
        <v>80</v>
      </c>
      <c r="X7" s="2" t="s">
        <v>363</v>
      </c>
      <c r="Y7" s="272"/>
      <c r="Z7" s="2"/>
      <c r="AA7" s="2"/>
      <c r="AB7" s="2"/>
    </row>
    <row r="8" spans="1:28" s="161" customFormat="1" ht="14.1" customHeight="1" x14ac:dyDescent="0.3">
      <c r="A8" s="113" t="s">
        <v>49</v>
      </c>
      <c r="B8" s="189" t="s">
        <v>120</v>
      </c>
      <c r="C8" s="190"/>
      <c r="D8" s="190">
        <v>7039103</v>
      </c>
      <c r="E8" s="267">
        <v>43649</v>
      </c>
      <c r="F8" s="190" t="s">
        <v>21</v>
      </c>
      <c r="G8" s="268">
        <v>43649</v>
      </c>
      <c r="H8" s="58"/>
      <c r="I8" s="192"/>
      <c r="J8" s="57"/>
      <c r="K8" s="58"/>
      <c r="L8" s="192"/>
      <c r="M8" s="192"/>
      <c r="N8" s="57"/>
      <c r="O8" s="58"/>
      <c r="P8" s="192"/>
      <c r="Q8" s="57"/>
      <c r="R8" s="58">
        <v>674</v>
      </c>
      <c r="S8" s="57"/>
      <c r="T8" s="269">
        <v>57.29</v>
      </c>
      <c r="U8" s="270">
        <f t="shared" si="0"/>
        <v>731.29</v>
      </c>
      <c r="V8" s="189" t="s">
        <v>36</v>
      </c>
      <c r="W8" s="271" t="s">
        <v>80</v>
      </c>
      <c r="X8" s="2" t="s">
        <v>220</v>
      </c>
      <c r="Y8" s="272"/>
      <c r="Z8" s="2"/>
      <c r="AA8" s="2"/>
      <c r="AB8" s="2"/>
    </row>
    <row r="9" spans="1:28" s="161" customFormat="1" ht="14.1" customHeight="1" x14ac:dyDescent="0.3">
      <c r="A9" s="113" t="s">
        <v>49</v>
      </c>
      <c r="B9" s="189" t="s">
        <v>132</v>
      </c>
      <c r="C9" s="190"/>
      <c r="D9" s="190">
        <v>8079105</v>
      </c>
      <c r="E9" s="267">
        <v>43684</v>
      </c>
      <c r="F9" s="190" t="s">
        <v>21</v>
      </c>
      <c r="G9" s="268">
        <v>43684</v>
      </c>
      <c r="H9" s="58"/>
      <c r="I9" s="192"/>
      <c r="J9" s="57"/>
      <c r="K9" s="58"/>
      <c r="L9" s="192"/>
      <c r="M9" s="192"/>
      <c r="N9" s="57"/>
      <c r="O9" s="58"/>
      <c r="P9" s="192"/>
      <c r="Q9" s="57"/>
      <c r="R9" s="58">
        <v>78</v>
      </c>
      <c r="S9" s="57"/>
      <c r="T9" s="269">
        <v>6.63</v>
      </c>
      <c r="U9" s="270">
        <f t="shared" si="0"/>
        <v>84.63</v>
      </c>
      <c r="V9" s="189" t="s">
        <v>39</v>
      </c>
      <c r="W9" s="271" t="s">
        <v>133</v>
      </c>
      <c r="X9" s="371" t="s">
        <v>146</v>
      </c>
      <c r="Y9" s="373"/>
      <c r="Z9" s="371"/>
      <c r="AA9" s="2"/>
      <c r="AB9" s="2"/>
    </row>
    <row r="10" spans="1:28" s="161" customFormat="1" ht="14.1" customHeight="1" x14ac:dyDescent="0.3">
      <c r="A10" s="113" t="s">
        <v>49</v>
      </c>
      <c r="B10" s="189" t="s">
        <v>147</v>
      </c>
      <c r="C10" s="190" t="s">
        <v>148</v>
      </c>
      <c r="D10" s="190">
        <v>8309102</v>
      </c>
      <c r="E10" s="267">
        <v>43707</v>
      </c>
      <c r="F10" s="190" t="s">
        <v>21</v>
      </c>
      <c r="G10" s="268">
        <v>43707</v>
      </c>
      <c r="H10" s="58"/>
      <c r="I10" s="192"/>
      <c r="J10" s="57"/>
      <c r="K10" s="58"/>
      <c r="L10" s="192"/>
      <c r="M10" s="192"/>
      <c r="N10" s="57"/>
      <c r="O10" s="58"/>
      <c r="P10" s="192"/>
      <c r="Q10" s="57"/>
      <c r="R10" s="58">
        <v>103</v>
      </c>
      <c r="S10" s="57"/>
      <c r="T10" s="269">
        <v>9.7899999999999991</v>
      </c>
      <c r="U10" s="270">
        <f t="shared" si="0"/>
        <v>112.78999999999999</v>
      </c>
      <c r="V10" s="189" t="s">
        <v>43</v>
      </c>
      <c r="W10" s="271" t="s">
        <v>80</v>
      </c>
      <c r="X10" s="2" t="s">
        <v>149</v>
      </c>
      <c r="Y10" s="272"/>
      <c r="Z10" s="2"/>
      <c r="AA10" s="2"/>
      <c r="AB10" s="2"/>
    </row>
    <row r="11" spans="1:28" s="161" customFormat="1" ht="14.1" customHeight="1" x14ac:dyDescent="0.3">
      <c r="A11" s="113" t="s">
        <v>49</v>
      </c>
      <c r="B11" s="189" t="s">
        <v>95</v>
      </c>
      <c r="C11" s="190"/>
      <c r="D11" s="190">
        <v>9069103</v>
      </c>
      <c r="E11" s="267">
        <v>43714</v>
      </c>
      <c r="F11" s="190" t="s">
        <v>21</v>
      </c>
      <c r="G11" s="268">
        <v>43714</v>
      </c>
      <c r="H11" s="58"/>
      <c r="I11" s="192"/>
      <c r="J11" s="57"/>
      <c r="K11" s="58"/>
      <c r="L11" s="192"/>
      <c r="M11" s="192"/>
      <c r="N11" s="57"/>
      <c r="O11" s="58"/>
      <c r="P11" s="192"/>
      <c r="Q11" s="57"/>
      <c r="R11" s="58">
        <v>39</v>
      </c>
      <c r="S11" s="57"/>
      <c r="T11" s="269">
        <v>3.41</v>
      </c>
      <c r="U11" s="270">
        <f t="shared" si="0"/>
        <v>42.41</v>
      </c>
      <c r="V11" s="189" t="s">
        <v>7</v>
      </c>
      <c r="W11" s="271" t="s">
        <v>14</v>
      </c>
      <c r="X11" s="2" t="s">
        <v>329</v>
      </c>
      <c r="Y11" s="272"/>
      <c r="Z11" s="2"/>
      <c r="AA11" s="2"/>
      <c r="AB11" s="2"/>
    </row>
    <row r="12" spans="1:28" s="161" customFormat="1" ht="14.1" customHeight="1" x14ac:dyDescent="0.3">
      <c r="A12" s="113" t="s">
        <v>49</v>
      </c>
      <c r="B12" s="189" t="s">
        <v>107</v>
      </c>
      <c r="C12" s="190"/>
      <c r="D12" s="190">
        <v>9129101</v>
      </c>
      <c r="E12" s="267">
        <v>43720</v>
      </c>
      <c r="F12" s="190" t="s">
        <v>21</v>
      </c>
      <c r="G12" s="268">
        <v>43720</v>
      </c>
      <c r="H12" s="58"/>
      <c r="I12" s="192"/>
      <c r="J12" s="57"/>
      <c r="K12" s="58"/>
      <c r="L12" s="192"/>
      <c r="M12" s="192"/>
      <c r="N12" s="57"/>
      <c r="O12" s="58"/>
      <c r="P12" s="192"/>
      <c r="Q12" s="57"/>
      <c r="R12" s="58">
        <v>170</v>
      </c>
      <c r="S12" s="57">
        <v>33</v>
      </c>
      <c r="T12" s="269">
        <v>16.579999999999998</v>
      </c>
      <c r="U12" s="270">
        <f t="shared" si="0"/>
        <v>219.57999999999998</v>
      </c>
      <c r="V12" s="189" t="s">
        <v>36</v>
      </c>
      <c r="W12" s="271" t="s">
        <v>5</v>
      </c>
      <c r="X12" s="2" t="s">
        <v>351</v>
      </c>
      <c r="Y12" s="272"/>
      <c r="Z12" s="2"/>
      <c r="AA12" s="2"/>
      <c r="AB12" s="2"/>
    </row>
    <row r="13" spans="1:28" s="161" customFormat="1" ht="13.5" customHeight="1" x14ac:dyDescent="0.3">
      <c r="A13" s="113" t="s">
        <v>49</v>
      </c>
      <c r="B13" s="189" t="s">
        <v>150</v>
      </c>
      <c r="C13" s="190"/>
      <c r="D13" s="190">
        <v>9179105</v>
      </c>
      <c r="E13" s="267">
        <v>43725</v>
      </c>
      <c r="F13" s="190" t="s">
        <v>21</v>
      </c>
      <c r="G13" s="268">
        <v>43725</v>
      </c>
      <c r="H13" s="58"/>
      <c r="I13" s="192"/>
      <c r="J13" s="57"/>
      <c r="K13" s="58"/>
      <c r="L13" s="192"/>
      <c r="M13" s="192"/>
      <c r="N13" s="57"/>
      <c r="O13" s="58"/>
      <c r="P13" s="192"/>
      <c r="Q13" s="57"/>
      <c r="R13" s="58">
        <v>58</v>
      </c>
      <c r="S13" s="57"/>
      <c r="T13" s="269">
        <v>4.93</v>
      </c>
      <c r="U13" s="270">
        <f t="shared" si="0"/>
        <v>62.93</v>
      </c>
      <c r="V13" s="189" t="s">
        <v>7</v>
      </c>
      <c r="W13" s="271" t="s">
        <v>8</v>
      </c>
      <c r="X13" s="371" t="s">
        <v>146</v>
      </c>
      <c r="Y13" s="373"/>
      <c r="Z13" s="371"/>
      <c r="AA13" s="2"/>
      <c r="AB13" s="2"/>
    </row>
    <row r="14" spans="1:28" s="161" customFormat="1" ht="14.1" customHeight="1" x14ac:dyDescent="0.3">
      <c r="A14" s="113" t="s">
        <v>49</v>
      </c>
      <c r="B14" s="189" t="s">
        <v>95</v>
      </c>
      <c r="C14" s="190"/>
      <c r="D14" s="190">
        <v>9269103</v>
      </c>
      <c r="E14" s="267">
        <v>43734</v>
      </c>
      <c r="F14" s="190" t="s">
        <v>21</v>
      </c>
      <c r="G14" s="268">
        <v>43734</v>
      </c>
      <c r="H14" s="58"/>
      <c r="I14" s="192"/>
      <c r="J14" s="57"/>
      <c r="K14" s="58"/>
      <c r="L14" s="192"/>
      <c r="M14" s="192"/>
      <c r="N14" s="57"/>
      <c r="O14" s="58"/>
      <c r="P14" s="192"/>
      <c r="Q14" s="57"/>
      <c r="R14" s="58">
        <v>104</v>
      </c>
      <c r="S14" s="57"/>
      <c r="T14" s="269">
        <v>9.1</v>
      </c>
      <c r="U14" s="270">
        <f t="shared" si="0"/>
        <v>113.1</v>
      </c>
      <c r="V14" s="189" t="s">
        <v>39</v>
      </c>
      <c r="W14" s="271" t="s">
        <v>151</v>
      </c>
      <c r="X14" s="2" t="s">
        <v>329</v>
      </c>
      <c r="Y14" s="272"/>
      <c r="Z14" s="2"/>
      <c r="AA14" s="2"/>
      <c r="AB14" s="2"/>
    </row>
    <row r="15" spans="1:28" s="161" customFormat="1" ht="14.1" customHeight="1" x14ac:dyDescent="0.3">
      <c r="A15" s="113" t="s">
        <v>49</v>
      </c>
      <c r="B15" s="189" t="s">
        <v>152</v>
      </c>
      <c r="C15" s="190"/>
      <c r="D15" s="190">
        <v>10099105</v>
      </c>
      <c r="E15" s="267">
        <v>43747</v>
      </c>
      <c r="F15" s="190" t="s">
        <v>21</v>
      </c>
      <c r="G15" s="268">
        <v>43747</v>
      </c>
      <c r="H15" s="58"/>
      <c r="I15" s="192"/>
      <c r="J15" s="57"/>
      <c r="K15" s="58"/>
      <c r="L15" s="192"/>
      <c r="M15" s="192"/>
      <c r="N15" s="57"/>
      <c r="O15" s="58"/>
      <c r="P15" s="192"/>
      <c r="Q15" s="57"/>
      <c r="R15" s="58">
        <v>59</v>
      </c>
      <c r="S15" s="57"/>
      <c r="T15" s="269">
        <v>5.46</v>
      </c>
      <c r="U15" s="270">
        <f t="shared" si="0"/>
        <v>64.459999999999994</v>
      </c>
      <c r="V15" s="189" t="s">
        <v>36</v>
      </c>
      <c r="W15" s="271" t="s">
        <v>80</v>
      </c>
      <c r="X15" s="2" t="s">
        <v>153</v>
      </c>
      <c r="Y15" s="272"/>
      <c r="Z15" s="2"/>
      <c r="AA15" s="2"/>
      <c r="AB15" s="2"/>
    </row>
    <row r="16" spans="1:28" s="161" customFormat="1" ht="14.1" customHeight="1" x14ac:dyDescent="0.3">
      <c r="A16" s="113" t="s">
        <v>49</v>
      </c>
      <c r="B16" s="189" t="s">
        <v>160</v>
      </c>
      <c r="C16" s="190"/>
      <c r="D16" s="190">
        <v>12029067</v>
      </c>
      <c r="E16" s="267">
        <v>43801</v>
      </c>
      <c r="F16" s="190" t="s">
        <v>21</v>
      </c>
      <c r="G16" s="268">
        <v>43801</v>
      </c>
      <c r="H16" s="58"/>
      <c r="I16" s="192"/>
      <c r="J16" s="57"/>
      <c r="K16" s="58"/>
      <c r="L16" s="192"/>
      <c r="M16" s="192"/>
      <c r="N16" s="57"/>
      <c r="O16" s="58"/>
      <c r="P16" s="192"/>
      <c r="Q16" s="57"/>
      <c r="R16" s="58">
        <v>57</v>
      </c>
      <c r="S16" s="57"/>
      <c r="T16" s="269">
        <v>5.27</v>
      </c>
      <c r="U16" s="270">
        <f t="shared" si="0"/>
        <v>62.269999999999996</v>
      </c>
      <c r="V16" s="189" t="s">
        <v>36</v>
      </c>
      <c r="W16" s="271" t="s">
        <v>161</v>
      </c>
      <c r="X16" s="2" t="s">
        <v>324</v>
      </c>
      <c r="Y16" s="272"/>
      <c r="Z16" s="2"/>
      <c r="AA16" s="2"/>
      <c r="AB16" s="2"/>
    </row>
    <row r="17" spans="1:28" s="161" customFormat="1" ht="14.1" customHeight="1" x14ac:dyDescent="0.3">
      <c r="A17" s="113" t="s">
        <v>49</v>
      </c>
      <c r="B17" s="189" t="s">
        <v>162</v>
      </c>
      <c r="C17" s="190"/>
      <c r="D17" s="190">
        <v>12039103</v>
      </c>
      <c r="E17" s="267">
        <v>43802</v>
      </c>
      <c r="F17" s="190" t="s">
        <v>21</v>
      </c>
      <c r="G17" s="268">
        <v>43802</v>
      </c>
      <c r="H17" s="58"/>
      <c r="I17" s="192"/>
      <c r="J17" s="57"/>
      <c r="K17" s="58"/>
      <c r="L17" s="192"/>
      <c r="M17" s="192"/>
      <c r="N17" s="57"/>
      <c r="O17" s="58"/>
      <c r="P17" s="192"/>
      <c r="Q17" s="155"/>
      <c r="R17" s="58">
        <v>510</v>
      </c>
      <c r="S17" s="155"/>
      <c r="T17" s="337">
        <v>43.35</v>
      </c>
      <c r="U17" s="270">
        <f t="shared" si="0"/>
        <v>553.35</v>
      </c>
      <c r="V17" s="113" t="s">
        <v>36</v>
      </c>
      <c r="W17" s="271" t="s">
        <v>5</v>
      </c>
      <c r="X17" s="83" t="s">
        <v>240</v>
      </c>
      <c r="Y17" s="272"/>
      <c r="Z17" s="2"/>
      <c r="AA17" s="2"/>
      <c r="AB17" s="2"/>
    </row>
    <row r="18" spans="1:28" s="161" customFormat="1" ht="14.1" customHeight="1" x14ac:dyDescent="0.3">
      <c r="A18" s="113" t="s">
        <v>49</v>
      </c>
      <c r="B18" s="189" t="s">
        <v>163</v>
      </c>
      <c r="C18" s="190"/>
      <c r="D18" s="190">
        <v>11219105</v>
      </c>
      <c r="E18" s="267">
        <v>43805</v>
      </c>
      <c r="F18" s="190" t="s">
        <v>52</v>
      </c>
      <c r="G18" s="268">
        <v>43805</v>
      </c>
      <c r="H18" s="58"/>
      <c r="I18" s="192"/>
      <c r="J18" s="57"/>
      <c r="K18" s="58"/>
      <c r="L18" s="192"/>
      <c r="M18" s="192"/>
      <c r="N18" s="57"/>
      <c r="O18" s="58">
        <v>45</v>
      </c>
      <c r="P18" s="192">
        <v>90</v>
      </c>
      <c r="Q18" s="57"/>
      <c r="R18" s="58"/>
      <c r="S18" s="57"/>
      <c r="T18" s="269">
        <v>3.83</v>
      </c>
      <c r="U18" s="270">
        <f t="shared" si="0"/>
        <v>138.83000000000001</v>
      </c>
      <c r="V18" s="189" t="s">
        <v>7</v>
      </c>
      <c r="W18" s="271" t="s">
        <v>8</v>
      </c>
      <c r="X18" s="2" t="s">
        <v>164</v>
      </c>
      <c r="Y18" s="272"/>
      <c r="Z18" s="2"/>
      <c r="AA18" s="2"/>
      <c r="AB18" s="2"/>
    </row>
    <row r="19" spans="1:28" s="161" customFormat="1" ht="14.1" customHeight="1" x14ac:dyDescent="0.3">
      <c r="A19" s="113" t="s">
        <v>49</v>
      </c>
      <c r="B19" s="150" t="s">
        <v>165</v>
      </c>
      <c r="C19" s="153"/>
      <c r="D19" s="190">
        <v>12279101</v>
      </c>
      <c r="E19" s="162">
        <v>43826</v>
      </c>
      <c r="F19" s="190" t="s">
        <v>166</v>
      </c>
      <c r="G19" s="268">
        <v>43826</v>
      </c>
      <c r="H19" s="58"/>
      <c r="I19" s="155"/>
      <c r="J19" s="57"/>
      <c r="K19" s="58"/>
      <c r="L19" s="155"/>
      <c r="M19" s="155"/>
      <c r="N19" s="57"/>
      <c r="O19" s="58">
        <v>60</v>
      </c>
      <c r="P19" s="155"/>
      <c r="Q19" s="57">
        <v>8</v>
      </c>
      <c r="R19" s="58"/>
      <c r="S19" s="57"/>
      <c r="T19" s="163">
        <v>5.25</v>
      </c>
      <c r="U19" s="270">
        <f t="shared" si="0"/>
        <v>73.25</v>
      </c>
      <c r="V19" s="150" t="s">
        <v>36</v>
      </c>
      <c r="W19" s="271" t="s">
        <v>5</v>
      </c>
      <c r="X19" s="2" t="s">
        <v>167</v>
      </c>
      <c r="Y19" s="272"/>
      <c r="Z19" s="2"/>
      <c r="AA19" s="2"/>
      <c r="AB19" s="2"/>
    </row>
    <row r="20" spans="1:28" s="161" customFormat="1" ht="14.1" customHeight="1" x14ac:dyDescent="0.3">
      <c r="A20" s="113" t="s">
        <v>49</v>
      </c>
      <c r="B20" s="189" t="s">
        <v>53</v>
      </c>
      <c r="C20" s="190"/>
      <c r="D20" s="190">
        <v>1020061</v>
      </c>
      <c r="E20" s="267">
        <v>43832</v>
      </c>
      <c r="F20" s="190" t="s">
        <v>21</v>
      </c>
      <c r="G20" s="268">
        <v>43832</v>
      </c>
      <c r="H20" s="58"/>
      <c r="I20" s="192"/>
      <c r="J20" s="57"/>
      <c r="K20" s="58"/>
      <c r="L20" s="192"/>
      <c r="M20" s="192"/>
      <c r="N20" s="57"/>
      <c r="O20" s="58"/>
      <c r="P20" s="192"/>
      <c r="Q20" s="57"/>
      <c r="R20" s="58">
        <v>194.5</v>
      </c>
      <c r="S20" s="57"/>
      <c r="T20" s="269">
        <v>16.53</v>
      </c>
      <c r="U20" s="270">
        <f t="shared" si="0"/>
        <v>211.03</v>
      </c>
      <c r="V20" s="189" t="s">
        <v>36</v>
      </c>
      <c r="W20" s="271" t="s">
        <v>80</v>
      </c>
      <c r="X20" s="181" t="s">
        <v>312</v>
      </c>
      <c r="Y20" s="272"/>
      <c r="Z20" s="2"/>
      <c r="AA20" s="2"/>
      <c r="AB20" s="2"/>
    </row>
    <row r="21" spans="1:28" s="161" customFormat="1" ht="14.1" customHeight="1" x14ac:dyDescent="0.3">
      <c r="A21" s="113" t="s">
        <v>49</v>
      </c>
      <c r="B21" s="189" t="s">
        <v>125</v>
      </c>
      <c r="C21" s="190"/>
      <c r="D21" s="190">
        <v>1100106</v>
      </c>
      <c r="E21" s="267">
        <v>43840</v>
      </c>
      <c r="F21" s="190" t="s">
        <v>21</v>
      </c>
      <c r="G21" s="268">
        <v>43840</v>
      </c>
      <c r="H21" s="58"/>
      <c r="I21" s="192"/>
      <c r="J21" s="57"/>
      <c r="K21" s="58"/>
      <c r="L21" s="192"/>
      <c r="M21" s="192"/>
      <c r="N21" s="57"/>
      <c r="O21" s="58"/>
      <c r="P21" s="192"/>
      <c r="Q21" s="57"/>
      <c r="R21" s="58">
        <v>282</v>
      </c>
      <c r="S21" s="57"/>
      <c r="T21" s="269">
        <v>23.97</v>
      </c>
      <c r="U21" s="270">
        <f t="shared" si="0"/>
        <v>305.97000000000003</v>
      </c>
      <c r="V21" s="189" t="s">
        <v>36</v>
      </c>
      <c r="W21" s="271" t="s">
        <v>80</v>
      </c>
      <c r="X21" s="2" t="s">
        <v>311</v>
      </c>
      <c r="Y21" s="272"/>
      <c r="Z21" s="2"/>
      <c r="AA21" s="2"/>
      <c r="AB21" s="2"/>
    </row>
    <row r="22" spans="1:28" s="161" customFormat="1" ht="14.1" customHeight="1" x14ac:dyDescent="0.3">
      <c r="A22" s="113" t="s">
        <v>49</v>
      </c>
      <c r="B22" s="189" t="s">
        <v>92</v>
      </c>
      <c r="C22" s="190"/>
      <c r="D22" s="190">
        <v>1210106</v>
      </c>
      <c r="E22" s="267">
        <v>43851</v>
      </c>
      <c r="F22" s="190" t="s">
        <v>21</v>
      </c>
      <c r="G22" s="268">
        <v>43851</v>
      </c>
      <c r="H22" s="58"/>
      <c r="I22" s="192"/>
      <c r="J22" s="57"/>
      <c r="K22" s="58"/>
      <c r="L22" s="192"/>
      <c r="M22" s="192"/>
      <c r="N22" s="57"/>
      <c r="O22" s="58"/>
      <c r="P22" s="192"/>
      <c r="Q22" s="57"/>
      <c r="R22" s="58">
        <v>68</v>
      </c>
      <c r="S22" s="57">
        <v>16</v>
      </c>
      <c r="T22" s="269">
        <v>5.78</v>
      </c>
      <c r="U22" s="270">
        <f t="shared" si="0"/>
        <v>89.78</v>
      </c>
      <c r="V22" s="189" t="s">
        <v>36</v>
      </c>
      <c r="W22" s="271" t="s">
        <v>80</v>
      </c>
      <c r="X22" s="2" t="s">
        <v>327</v>
      </c>
      <c r="Y22" s="272"/>
      <c r="Z22" s="2"/>
      <c r="AA22" s="2"/>
      <c r="AB22" s="2"/>
    </row>
    <row r="23" spans="1:28" s="161" customFormat="1" ht="14.1" customHeight="1" x14ac:dyDescent="0.3">
      <c r="A23" s="113" t="s">
        <v>49</v>
      </c>
      <c r="B23" s="189" t="s">
        <v>160</v>
      </c>
      <c r="C23" s="190"/>
      <c r="D23" s="190">
        <v>2170105</v>
      </c>
      <c r="E23" s="267">
        <v>43878</v>
      </c>
      <c r="F23" s="190" t="s">
        <v>96</v>
      </c>
      <c r="G23" s="268">
        <v>43878</v>
      </c>
      <c r="H23" s="58"/>
      <c r="I23" s="155"/>
      <c r="J23" s="57"/>
      <c r="K23" s="58"/>
      <c r="L23" s="155"/>
      <c r="M23" s="155"/>
      <c r="N23" s="57"/>
      <c r="O23" s="58">
        <v>175</v>
      </c>
      <c r="P23" s="192"/>
      <c r="Q23" s="57">
        <v>12</v>
      </c>
      <c r="R23" s="58"/>
      <c r="S23" s="57"/>
      <c r="T23" s="163">
        <v>16.190000000000001</v>
      </c>
      <c r="U23" s="270">
        <f t="shared" si="0"/>
        <v>203.19</v>
      </c>
      <c r="V23" s="189" t="s">
        <v>36</v>
      </c>
      <c r="W23" s="271" t="s">
        <v>80</v>
      </c>
      <c r="X23" s="2" t="s">
        <v>324</v>
      </c>
      <c r="Y23" s="272"/>
      <c r="Z23" s="2"/>
      <c r="AA23" s="2"/>
      <c r="AB23" s="2"/>
    </row>
    <row r="24" spans="1:28" s="161" customFormat="1" ht="14.1" customHeight="1" x14ac:dyDescent="0.3">
      <c r="A24" s="113" t="s">
        <v>49</v>
      </c>
      <c r="B24" s="189" t="s">
        <v>160</v>
      </c>
      <c r="C24" s="190"/>
      <c r="D24" s="190">
        <v>2170104</v>
      </c>
      <c r="E24" s="267">
        <v>43878</v>
      </c>
      <c r="F24" s="190" t="s">
        <v>21</v>
      </c>
      <c r="G24" s="268">
        <v>43878</v>
      </c>
      <c r="H24" s="58"/>
      <c r="I24" s="155"/>
      <c r="J24" s="57"/>
      <c r="K24" s="58"/>
      <c r="L24" s="155"/>
      <c r="M24" s="155"/>
      <c r="N24" s="57"/>
      <c r="O24" s="58"/>
      <c r="P24" s="192"/>
      <c r="Q24" s="57"/>
      <c r="R24" s="58">
        <v>171</v>
      </c>
      <c r="S24" s="57"/>
      <c r="T24" s="163">
        <v>15.82</v>
      </c>
      <c r="U24" s="270">
        <f t="shared" si="0"/>
        <v>186.82</v>
      </c>
      <c r="V24" s="189" t="s">
        <v>36</v>
      </c>
      <c r="W24" s="271" t="s">
        <v>80</v>
      </c>
      <c r="X24" s="2" t="s">
        <v>324</v>
      </c>
      <c r="Y24" s="272"/>
      <c r="Z24" s="2"/>
      <c r="AA24" s="2"/>
      <c r="AB24" s="2"/>
    </row>
    <row r="25" spans="1:28" s="161" customFormat="1" ht="14.1" customHeight="1" x14ac:dyDescent="0.3">
      <c r="A25" s="113" t="s">
        <v>49</v>
      </c>
      <c r="B25" s="189" t="s">
        <v>107</v>
      </c>
      <c r="C25" s="190"/>
      <c r="D25" s="190">
        <v>2180107</v>
      </c>
      <c r="E25" s="267">
        <v>43879</v>
      </c>
      <c r="F25" s="190" t="s">
        <v>21</v>
      </c>
      <c r="G25" s="268">
        <v>43879</v>
      </c>
      <c r="H25" s="58"/>
      <c r="I25" s="155"/>
      <c r="J25" s="57"/>
      <c r="K25" s="58"/>
      <c r="L25" s="155"/>
      <c r="M25" s="155"/>
      <c r="N25" s="57"/>
      <c r="O25" s="58"/>
      <c r="P25" s="192"/>
      <c r="Q25" s="57"/>
      <c r="R25" s="58">
        <v>46.63</v>
      </c>
      <c r="S25" s="57"/>
      <c r="T25" s="163"/>
      <c r="U25" s="270">
        <f t="shared" si="0"/>
        <v>46.63</v>
      </c>
      <c r="V25" s="189" t="s">
        <v>36</v>
      </c>
      <c r="W25" s="271" t="s">
        <v>80</v>
      </c>
      <c r="X25" s="2" t="s">
        <v>351</v>
      </c>
      <c r="Y25" s="272"/>
      <c r="Z25" s="2"/>
      <c r="AA25" s="2"/>
      <c r="AB25" s="2"/>
    </row>
    <row r="26" spans="1:28" s="161" customFormat="1" ht="14.1" customHeight="1" x14ac:dyDescent="0.3">
      <c r="A26" s="113" t="s">
        <v>49</v>
      </c>
      <c r="B26" s="189" t="s">
        <v>83</v>
      </c>
      <c r="C26" s="190"/>
      <c r="D26" s="190">
        <v>2270103</v>
      </c>
      <c r="E26" s="267">
        <v>43888</v>
      </c>
      <c r="F26" s="190" t="s">
        <v>21</v>
      </c>
      <c r="G26" s="268">
        <v>43888</v>
      </c>
      <c r="H26" s="58"/>
      <c r="I26" s="155"/>
      <c r="J26" s="57"/>
      <c r="K26" s="58"/>
      <c r="L26" s="155"/>
      <c r="M26" s="155"/>
      <c r="N26" s="57"/>
      <c r="O26" s="58"/>
      <c r="P26" s="192"/>
      <c r="Q26" s="57"/>
      <c r="R26" s="58">
        <v>180</v>
      </c>
      <c r="S26" s="57"/>
      <c r="T26" s="163">
        <v>16.649999999999999</v>
      </c>
      <c r="U26" s="270">
        <f t="shared" si="0"/>
        <v>196.65</v>
      </c>
      <c r="V26" s="189" t="s">
        <v>36</v>
      </c>
      <c r="W26" s="271" t="s">
        <v>5</v>
      </c>
      <c r="X26" s="2" t="s">
        <v>216</v>
      </c>
      <c r="Y26" s="272"/>
      <c r="Z26" s="2"/>
      <c r="AA26" s="2"/>
      <c r="AB26" s="2"/>
    </row>
    <row r="27" spans="1:28" s="161" customFormat="1" ht="14.1" customHeight="1" x14ac:dyDescent="0.3">
      <c r="A27" s="113" t="s">
        <v>49</v>
      </c>
      <c r="B27" s="189" t="s">
        <v>125</v>
      </c>
      <c r="C27" s="190"/>
      <c r="D27" s="153">
        <v>3030105</v>
      </c>
      <c r="E27" s="162">
        <v>43893</v>
      </c>
      <c r="F27" s="153" t="s">
        <v>21</v>
      </c>
      <c r="G27" s="268">
        <v>43893</v>
      </c>
      <c r="H27" s="58"/>
      <c r="I27" s="155"/>
      <c r="J27" s="57"/>
      <c r="K27" s="58"/>
      <c r="L27" s="155"/>
      <c r="M27" s="155"/>
      <c r="N27" s="57"/>
      <c r="O27" s="58"/>
      <c r="P27" s="192"/>
      <c r="Q27" s="57"/>
      <c r="R27" s="58">
        <v>210</v>
      </c>
      <c r="S27" s="57"/>
      <c r="T27" s="163">
        <v>17.850000000000001</v>
      </c>
      <c r="U27" s="270">
        <f t="shared" si="0"/>
        <v>227.85</v>
      </c>
      <c r="V27" s="189" t="s">
        <v>36</v>
      </c>
      <c r="W27" s="271" t="s">
        <v>80</v>
      </c>
      <c r="X27" s="181" t="s">
        <v>311</v>
      </c>
      <c r="Y27" s="272"/>
      <c r="Z27" s="2"/>
      <c r="AA27" s="2"/>
      <c r="AB27" s="2"/>
    </row>
    <row r="28" spans="1:28" s="161" customFormat="1" ht="14.1" customHeight="1" thickBot="1" x14ac:dyDescent="0.35">
      <c r="A28" s="273" t="s">
        <v>49</v>
      </c>
      <c r="B28" s="274" t="s">
        <v>180</v>
      </c>
      <c r="C28" s="275"/>
      <c r="D28" s="153">
        <v>3130103</v>
      </c>
      <c r="E28" s="276">
        <v>43903</v>
      </c>
      <c r="F28" s="153" t="s">
        <v>21</v>
      </c>
      <c r="G28" s="277">
        <v>43903</v>
      </c>
      <c r="H28" s="278"/>
      <c r="I28" s="279"/>
      <c r="J28" s="280"/>
      <c r="K28" s="278"/>
      <c r="L28" s="279"/>
      <c r="M28" s="279"/>
      <c r="N28" s="280"/>
      <c r="O28" s="278"/>
      <c r="P28" s="279"/>
      <c r="Q28" s="280"/>
      <c r="R28" s="278">
        <v>84</v>
      </c>
      <c r="S28" s="280"/>
      <c r="T28" s="281">
        <v>7.77</v>
      </c>
      <c r="U28" s="282">
        <f t="shared" si="0"/>
        <v>91.77</v>
      </c>
      <c r="V28" s="283" t="s">
        <v>39</v>
      </c>
      <c r="W28" s="284" t="s">
        <v>181</v>
      </c>
      <c r="X28" s="181" t="s">
        <v>182</v>
      </c>
      <c r="Y28" s="272"/>
      <c r="Z28" s="2"/>
      <c r="AA28" s="2"/>
      <c r="AB28" s="2"/>
    </row>
    <row r="29" spans="1:28" s="161" customFormat="1" ht="14.1" customHeight="1" thickBot="1" x14ac:dyDescent="0.35">
      <c r="A29" s="94" t="s">
        <v>49</v>
      </c>
      <c r="B29" s="285" t="s">
        <v>206</v>
      </c>
      <c r="C29" s="296"/>
      <c r="D29" s="184">
        <v>8210104</v>
      </c>
      <c r="E29" s="287">
        <v>44064</v>
      </c>
      <c r="F29" s="184" t="s">
        <v>21</v>
      </c>
      <c r="G29" s="288">
        <v>44064</v>
      </c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>
        <v>286</v>
      </c>
      <c r="S29" s="289"/>
      <c r="T29" s="290">
        <v>23.6</v>
      </c>
      <c r="U29" s="394">
        <f t="shared" si="0"/>
        <v>309.60000000000002</v>
      </c>
      <c r="V29" s="395" t="s">
        <v>36</v>
      </c>
      <c r="W29" s="80" t="s">
        <v>5</v>
      </c>
      <c r="X29" s="110" t="s">
        <v>320</v>
      </c>
      <c r="Y29" s="334"/>
      <c r="Z29" s="181"/>
      <c r="AA29" s="2"/>
      <c r="AB29" s="2"/>
    </row>
    <row r="30" spans="1:28" s="161" customFormat="1" ht="14.1" customHeight="1" x14ac:dyDescent="0.3">
      <c r="A30" s="113" t="s">
        <v>74</v>
      </c>
      <c r="B30" s="189" t="s">
        <v>190</v>
      </c>
      <c r="C30" s="190" t="s">
        <v>116</v>
      </c>
      <c r="D30" s="153">
        <v>5250302</v>
      </c>
      <c r="E30" s="162">
        <v>43976</v>
      </c>
      <c r="F30" s="153" t="s">
        <v>191</v>
      </c>
      <c r="G30" s="268">
        <v>43973</v>
      </c>
      <c r="H30" s="58"/>
      <c r="I30" s="155"/>
      <c r="J30" s="57"/>
      <c r="K30" s="58"/>
      <c r="L30" s="155"/>
      <c r="M30" s="155"/>
      <c r="N30" s="57"/>
      <c r="O30" s="58"/>
      <c r="P30" s="192">
        <v>90</v>
      </c>
      <c r="Q30" s="57">
        <v>0</v>
      </c>
      <c r="R30" s="58"/>
      <c r="S30" s="57"/>
      <c r="T30" s="163"/>
      <c r="U30" s="270">
        <f t="shared" si="0"/>
        <v>90</v>
      </c>
      <c r="V30" s="189" t="s">
        <v>7</v>
      </c>
      <c r="W30" s="295" t="s">
        <v>74</v>
      </c>
      <c r="X30" s="110" t="s">
        <v>326</v>
      </c>
      <c r="Y30" s="272"/>
      <c r="Z30" s="2"/>
      <c r="AA30" s="2"/>
      <c r="AB30" s="2"/>
    </row>
    <row r="31" spans="1:28" s="161" customFormat="1" ht="14.1" customHeight="1" x14ac:dyDescent="0.3">
      <c r="A31" s="82" t="s">
        <v>74</v>
      </c>
      <c r="B31" s="3" t="s">
        <v>285</v>
      </c>
      <c r="C31" s="4"/>
      <c r="D31" s="384">
        <v>8280304</v>
      </c>
      <c r="E31" s="385">
        <v>44071</v>
      </c>
      <c r="F31" s="384" t="s">
        <v>45</v>
      </c>
      <c r="G31" s="386">
        <v>44074</v>
      </c>
      <c r="H31" s="46"/>
      <c r="I31" s="387"/>
      <c r="J31" s="47"/>
      <c r="K31" s="46"/>
      <c r="L31" s="387"/>
      <c r="M31" s="387"/>
      <c r="N31" s="47"/>
      <c r="O31" s="46"/>
      <c r="P31" s="7">
        <v>120</v>
      </c>
      <c r="Q31" s="47">
        <v>60</v>
      </c>
      <c r="R31" s="46"/>
      <c r="S31" s="47"/>
      <c r="T31" s="388"/>
      <c r="U31" s="390">
        <f t="shared" si="0"/>
        <v>180</v>
      </c>
      <c r="V31" s="382" t="s">
        <v>7</v>
      </c>
      <c r="W31" s="396" t="s">
        <v>74</v>
      </c>
      <c r="X31" s="181" t="s">
        <v>326</v>
      </c>
      <c r="Y31" s="180"/>
      <c r="Z31" s="181"/>
      <c r="AA31" s="2"/>
      <c r="AB31" s="2"/>
    </row>
    <row r="32" spans="1:28" s="161" customFormat="1" ht="14.1" customHeight="1" x14ac:dyDescent="0.3">
      <c r="A32" s="113" t="s">
        <v>48</v>
      </c>
      <c r="B32" s="189" t="s">
        <v>195</v>
      </c>
      <c r="C32" s="190"/>
      <c r="D32" s="153">
        <v>6010251</v>
      </c>
      <c r="E32" s="162">
        <v>43983</v>
      </c>
      <c r="F32" s="153" t="s">
        <v>196</v>
      </c>
      <c r="G32" s="268">
        <v>43983</v>
      </c>
      <c r="H32" s="58"/>
      <c r="I32" s="155"/>
      <c r="J32" s="57"/>
      <c r="K32" s="58"/>
      <c r="L32" s="155"/>
      <c r="M32" s="155"/>
      <c r="N32" s="57"/>
      <c r="O32" s="58"/>
      <c r="P32" s="192">
        <v>45</v>
      </c>
      <c r="Q32" s="57"/>
      <c r="R32" s="58"/>
      <c r="S32" s="57"/>
      <c r="T32" s="163"/>
      <c r="U32" s="270">
        <f t="shared" si="0"/>
        <v>45</v>
      </c>
      <c r="V32" s="150" t="s">
        <v>29</v>
      </c>
      <c r="W32" s="271" t="s">
        <v>48</v>
      </c>
      <c r="X32" s="181" t="s">
        <v>309</v>
      </c>
      <c r="Y32" s="272"/>
      <c r="Z32" s="2"/>
      <c r="AA32" s="2"/>
      <c r="AB32" s="2"/>
    </row>
    <row r="33" spans="1:28" s="161" customFormat="1" ht="14.1" customHeight="1" x14ac:dyDescent="0.3">
      <c r="A33" s="113" t="s">
        <v>48</v>
      </c>
      <c r="B33" s="189" t="s">
        <v>197</v>
      </c>
      <c r="C33" s="190"/>
      <c r="D33" s="153">
        <v>6040259</v>
      </c>
      <c r="E33" s="162">
        <v>43986</v>
      </c>
      <c r="F33" s="153" t="s">
        <v>196</v>
      </c>
      <c r="G33" s="268">
        <v>43987</v>
      </c>
      <c r="H33" s="58"/>
      <c r="I33" s="155"/>
      <c r="J33" s="57"/>
      <c r="K33" s="58"/>
      <c r="L33" s="155"/>
      <c r="M33" s="155"/>
      <c r="N33" s="57"/>
      <c r="O33" s="58"/>
      <c r="P33" s="192">
        <v>45</v>
      </c>
      <c r="Q33" s="57"/>
      <c r="R33" s="58"/>
      <c r="S33" s="57"/>
      <c r="T33" s="163"/>
      <c r="U33" s="270">
        <f t="shared" si="0"/>
        <v>45</v>
      </c>
      <c r="V33" s="150" t="s">
        <v>29</v>
      </c>
      <c r="W33" s="271" t="s">
        <v>44</v>
      </c>
      <c r="X33" s="181" t="s">
        <v>310</v>
      </c>
      <c r="Y33" s="272"/>
      <c r="Z33" s="2"/>
      <c r="AA33" s="2"/>
      <c r="AB33" s="2"/>
    </row>
    <row r="34" spans="1:28" s="161" customFormat="1" ht="14.1" customHeight="1" x14ac:dyDescent="0.2">
      <c r="A34" s="111" t="s">
        <v>48</v>
      </c>
      <c r="B34" s="151" t="s">
        <v>102</v>
      </c>
      <c r="C34" s="151"/>
      <c r="D34" s="374">
        <v>7220251</v>
      </c>
      <c r="E34" s="164">
        <v>44034</v>
      </c>
      <c r="F34" s="375" t="s">
        <v>224</v>
      </c>
      <c r="G34" s="403">
        <v>44034</v>
      </c>
      <c r="H34" s="54"/>
      <c r="I34" s="156"/>
      <c r="J34" s="53"/>
      <c r="K34" s="54"/>
      <c r="L34" s="156"/>
      <c r="M34" s="156"/>
      <c r="N34" s="53"/>
      <c r="O34" s="54"/>
      <c r="P34" s="156"/>
      <c r="Q34" s="376"/>
      <c r="R34" s="111">
        <v>-144</v>
      </c>
      <c r="S34" s="329"/>
      <c r="T34" s="406">
        <v>-13.32</v>
      </c>
      <c r="U34" s="326">
        <f t="shared" si="0"/>
        <v>-157.32</v>
      </c>
      <c r="V34" s="151" t="s">
        <v>224</v>
      </c>
      <c r="W34" s="329" t="s">
        <v>93</v>
      </c>
      <c r="X34" s="161" t="s">
        <v>18</v>
      </c>
      <c r="Y34" s="221"/>
      <c r="Z34" s="221"/>
      <c r="AA34" s="221"/>
      <c r="AB34" s="221"/>
    </row>
    <row r="35" spans="1:28" s="161" customFormat="1" ht="14.1" customHeight="1" x14ac:dyDescent="0.3">
      <c r="A35" s="111" t="s">
        <v>48</v>
      </c>
      <c r="B35" s="169" t="s">
        <v>104</v>
      </c>
      <c r="C35" s="170"/>
      <c r="D35" s="321">
        <v>7010104</v>
      </c>
      <c r="E35" s="164">
        <v>44013</v>
      </c>
      <c r="F35" s="321" t="s">
        <v>21</v>
      </c>
      <c r="G35" s="322">
        <v>44013</v>
      </c>
      <c r="H35" s="54"/>
      <c r="I35" s="156"/>
      <c r="J35" s="53"/>
      <c r="K35" s="54"/>
      <c r="L35" s="156"/>
      <c r="M35" s="156"/>
      <c r="N35" s="53"/>
      <c r="O35" s="54"/>
      <c r="P35" s="173"/>
      <c r="Q35" s="53"/>
      <c r="R35" s="54">
        <v>148</v>
      </c>
      <c r="S35" s="53">
        <v>27</v>
      </c>
      <c r="T35" s="165">
        <v>13.32</v>
      </c>
      <c r="U35" s="326">
        <f t="shared" si="0"/>
        <v>188.32</v>
      </c>
      <c r="V35" s="151" t="s">
        <v>36</v>
      </c>
      <c r="W35" s="329" t="s">
        <v>80</v>
      </c>
      <c r="X35" s="181" t="s">
        <v>18</v>
      </c>
      <c r="Y35" s="180"/>
      <c r="Z35" s="2"/>
      <c r="AA35" s="2"/>
      <c r="AB35" s="2"/>
    </row>
    <row r="36" spans="1:28" s="161" customFormat="1" ht="14.1" customHeight="1" thickBot="1" x14ac:dyDescent="0.35">
      <c r="A36" s="399" t="s">
        <v>48</v>
      </c>
      <c r="B36" s="400" t="s">
        <v>138</v>
      </c>
      <c r="C36" s="401"/>
      <c r="D36" s="401">
        <v>7310251</v>
      </c>
      <c r="E36" s="402">
        <v>44043</v>
      </c>
      <c r="F36" s="401" t="s">
        <v>21</v>
      </c>
      <c r="G36" s="410">
        <v>44044</v>
      </c>
      <c r="H36" s="411"/>
      <c r="I36" s="404"/>
      <c r="J36" s="412"/>
      <c r="K36" s="411"/>
      <c r="L36" s="404"/>
      <c r="M36" s="404"/>
      <c r="N36" s="412"/>
      <c r="O36" s="411"/>
      <c r="P36" s="404"/>
      <c r="Q36" s="412"/>
      <c r="R36" s="411">
        <v>131</v>
      </c>
      <c r="S36" s="412"/>
      <c r="T36" s="405">
        <v>10.81</v>
      </c>
      <c r="U36" s="413">
        <f t="shared" ref="U36:U67" si="1">SUM(H36:T36)</f>
        <v>141.81</v>
      </c>
      <c r="V36" s="407" t="s">
        <v>39</v>
      </c>
      <c r="W36" s="414" t="s">
        <v>139</v>
      </c>
      <c r="X36" s="80" t="s">
        <v>18</v>
      </c>
      <c r="Y36" s="180"/>
      <c r="Z36" s="181"/>
      <c r="AA36" s="2"/>
      <c r="AB36" s="2"/>
    </row>
    <row r="37" spans="1:28" s="161" customFormat="1" ht="14.1" customHeight="1" thickBot="1" x14ac:dyDescent="0.35">
      <c r="A37" s="399" t="s">
        <v>48</v>
      </c>
      <c r="B37" s="400" t="s">
        <v>126</v>
      </c>
      <c r="C37" s="401" t="s">
        <v>140</v>
      </c>
      <c r="D37" s="401">
        <v>8120261</v>
      </c>
      <c r="E37" s="402">
        <v>44055</v>
      </c>
      <c r="F37" s="401" t="s">
        <v>45</v>
      </c>
      <c r="G37" s="434">
        <v>44056</v>
      </c>
      <c r="H37" s="404"/>
      <c r="I37" s="404"/>
      <c r="J37" s="404"/>
      <c r="K37" s="404"/>
      <c r="L37" s="404"/>
      <c r="M37" s="404"/>
      <c r="N37" s="404"/>
      <c r="O37" s="404"/>
      <c r="P37" s="404">
        <v>180</v>
      </c>
      <c r="Q37" s="404">
        <v>90</v>
      </c>
      <c r="R37" s="404"/>
      <c r="S37" s="404"/>
      <c r="T37" s="405"/>
      <c r="U37" s="435">
        <f t="shared" si="1"/>
        <v>270</v>
      </c>
      <c r="V37" s="407" t="s">
        <v>7</v>
      </c>
      <c r="W37" s="436" t="s">
        <v>48</v>
      </c>
      <c r="X37" s="85" t="s">
        <v>323</v>
      </c>
      <c r="Y37" s="180"/>
      <c r="Z37" s="181"/>
      <c r="AA37" s="2"/>
      <c r="AB37" s="2"/>
    </row>
    <row r="38" spans="1:28" s="161" customFormat="1" ht="14.1" customHeight="1" x14ac:dyDescent="0.3">
      <c r="A38" s="98" t="s">
        <v>48</v>
      </c>
      <c r="B38" s="3" t="s">
        <v>219</v>
      </c>
      <c r="C38" s="4" t="s">
        <v>249</v>
      </c>
      <c r="D38" s="384">
        <v>8200251</v>
      </c>
      <c r="E38" s="385">
        <v>44063</v>
      </c>
      <c r="F38" s="384" t="s">
        <v>21</v>
      </c>
      <c r="G38" s="79">
        <v>44063</v>
      </c>
      <c r="H38" s="46"/>
      <c r="I38" s="47"/>
      <c r="J38" s="28"/>
      <c r="K38" s="28"/>
      <c r="L38" s="28"/>
      <c r="M38" s="46"/>
      <c r="N38" s="28"/>
      <c r="O38" s="46"/>
      <c r="P38" s="7"/>
      <c r="Q38" s="47"/>
      <c r="R38" s="46">
        <v>122</v>
      </c>
      <c r="S38" s="47"/>
      <c r="T38" s="32">
        <v>11.9</v>
      </c>
      <c r="U38" s="391">
        <f t="shared" si="1"/>
        <v>133.9</v>
      </c>
      <c r="V38" s="382" t="s">
        <v>36</v>
      </c>
      <c r="W38" s="396" t="s">
        <v>5</v>
      </c>
      <c r="X38" s="181" t="s">
        <v>328</v>
      </c>
      <c r="Y38" s="180"/>
      <c r="Z38" s="181"/>
      <c r="AA38" s="2"/>
      <c r="AB38" s="2"/>
    </row>
    <row r="39" spans="1:28" s="161" customFormat="1" ht="14.1" customHeight="1" x14ac:dyDescent="0.3">
      <c r="A39" s="98" t="s">
        <v>48</v>
      </c>
      <c r="B39" s="3" t="s">
        <v>251</v>
      </c>
      <c r="C39" s="4"/>
      <c r="D39" s="384">
        <v>8260071</v>
      </c>
      <c r="E39" s="385">
        <v>44069</v>
      </c>
      <c r="F39" s="384" t="s">
        <v>45</v>
      </c>
      <c r="G39" s="79">
        <v>44069</v>
      </c>
      <c r="H39" s="46"/>
      <c r="I39" s="47"/>
      <c r="J39" s="28"/>
      <c r="K39" s="28"/>
      <c r="L39" s="28"/>
      <c r="M39" s="46"/>
      <c r="N39" s="28"/>
      <c r="O39" s="46"/>
      <c r="P39" s="7">
        <v>180</v>
      </c>
      <c r="Q39" s="47"/>
      <c r="R39" s="46"/>
      <c r="S39" s="47"/>
      <c r="T39" s="32"/>
      <c r="U39" s="391">
        <f t="shared" si="1"/>
        <v>180</v>
      </c>
      <c r="V39" s="382" t="s">
        <v>7</v>
      </c>
      <c r="W39" s="396" t="s">
        <v>6</v>
      </c>
      <c r="X39" s="181" t="s">
        <v>325</v>
      </c>
      <c r="Y39" s="180"/>
      <c r="Z39" s="181"/>
      <c r="AA39" s="2"/>
      <c r="AB39" s="2"/>
    </row>
    <row r="40" spans="1:28" s="161" customFormat="1" ht="14.1" customHeight="1" x14ac:dyDescent="0.3">
      <c r="A40" s="98" t="s">
        <v>48</v>
      </c>
      <c r="B40" s="3" t="s">
        <v>50</v>
      </c>
      <c r="C40" s="4" t="s">
        <v>271</v>
      </c>
      <c r="D40" s="384">
        <v>8280251</v>
      </c>
      <c r="E40" s="385">
        <v>44071</v>
      </c>
      <c r="F40" s="384" t="s">
        <v>196</v>
      </c>
      <c r="G40" s="79">
        <v>44071</v>
      </c>
      <c r="H40" s="46"/>
      <c r="I40" s="47"/>
      <c r="J40" s="28"/>
      <c r="K40" s="28"/>
      <c r="L40" s="28"/>
      <c r="M40" s="46"/>
      <c r="N40" s="28"/>
      <c r="O40" s="46"/>
      <c r="P40" s="7">
        <v>90</v>
      </c>
      <c r="Q40" s="47"/>
      <c r="R40" s="46"/>
      <c r="S40" s="47"/>
      <c r="T40" s="32"/>
      <c r="U40" s="391">
        <f t="shared" si="1"/>
        <v>90</v>
      </c>
      <c r="V40" s="382" t="s">
        <v>7</v>
      </c>
      <c r="W40" s="396" t="s">
        <v>48</v>
      </c>
      <c r="X40" s="181" t="s">
        <v>18</v>
      </c>
      <c r="Y40" s="180"/>
      <c r="Z40" s="181"/>
      <c r="AA40" s="2"/>
      <c r="AB40" s="2"/>
    </row>
    <row r="41" spans="1:28" s="161" customFormat="1" ht="14.1" customHeight="1" x14ac:dyDescent="0.3">
      <c r="A41" s="98" t="s">
        <v>48</v>
      </c>
      <c r="B41" s="3" t="s">
        <v>282</v>
      </c>
      <c r="C41" s="4"/>
      <c r="D41" s="384">
        <v>8310252</v>
      </c>
      <c r="E41" s="385">
        <v>44074</v>
      </c>
      <c r="F41" s="384" t="s">
        <v>196</v>
      </c>
      <c r="G41" s="79">
        <v>44074</v>
      </c>
      <c r="H41" s="46"/>
      <c r="I41" s="47"/>
      <c r="J41" s="28"/>
      <c r="K41" s="28"/>
      <c r="L41" s="28"/>
      <c r="M41" s="46"/>
      <c r="N41" s="28"/>
      <c r="O41" s="46"/>
      <c r="P41" s="7">
        <v>90</v>
      </c>
      <c r="Q41" s="47"/>
      <c r="R41" s="46"/>
      <c r="S41" s="47"/>
      <c r="T41" s="32"/>
      <c r="U41" s="391">
        <f t="shared" si="1"/>
        <v>90</v>
      </c>
      <c r="V41" s="382" t="s">
        <v>29</v>
      </c>
      <c r="W41" s="396" t="s">
        <v>48</v>
      </c>
      <c r="X41" s="181" t="s">
        <v>18</v>
      </c>
      <c r="Y41" s="180"/>
      <c r="Z41" s="181"/>
      <c r="AA41" s="2"/>
      <c r="AB41" s="2"/>
    </row>
    <row r="42" spans="1:28" s="161" customFormat="1" ht="13.5" customHeight="1" x14ac:dyDescent="0.3">
      <c r="A42" s="102" t="s">
        <v>35</v>
      </c>
      <c r="B42" s="189" t="s">
        <v>125</v>
      </c>
      <c r="C42" s="190"/>
      <c r="D42" s="190">
        <v>1150056</v>
      </c>
      <c r="E42" s="267">
        <v>43845</v>
      </c>
      <c r="F42" s="190" t="s">
        <v>108</v>
      </c>
      <c r="G42" s="154">
        <v>43845</v>
      </c>
      <c r="H42" s="58"/>
      <c r="I42" s="57"/>
      <c r="J42" s="60"/>
      <c r="K42" s="60">
        <v>58.5</v>
      </c>
      <c r="L42" s="60"/>
      <c r="M42" s="58"/>
      <c r="N42" s="60"/>
      <c r="O42" s="58"/>
      <c r="P42" s="192"/>
      <c r="Q42" s="57"/>
      <c r="R42" s="58"/>
      <c r="S42" s="57"/>
      <c r="T42" s="59"/>
      <c r="U42" s="298">
        <f t="shared" si="1"/>
        <v>58.5</v>
      </c>
      <c r="V42" s="189" t="s">
        <v>29</v>
      </c>
      <c r="W42" s="271" t="s">
        <v>35</v>
      </c>
      <c r="X42" s="2" t="s">
        <v>311</v>
      </c>
      <c r="Y42" s="272"/>
      <c r="Z42" s="2"/>
      <c r="AA42" s="2"/>
      <c r="AB42" s="2"/>
    </row>
    <row r="43" spans="1:28" s="161" customFormat="1" ht="14.1" customHeight="1" x14ac:dyDescent="0.3">
      <c r="A43" s="102" t="s">
        <v>35</v>
      </c>
      <c r="B43" s="189" t="s">
        <v>172</v>
      </c>
      <c r="C43" s="190"/>
      <c r="D43" s="190">
        <v>2060402</v>
      </c>
      <c r="E43" s="267">
        <v>43867</v>
      </c>
      <c r="F43" s="190" t="s">
        <v>45</v>
      </c>
      <c r="G43" s="191">
        <v>43867</v>
      </c>
      <c r="H43" s="58"/>
      <c r="I43" s="57"/>
      <c r="J43" s="60"/>
      <c r="K43" s="60"/>
      <c r="L43" s="60"/>
      <c r="M43" s="58"/>
      <c r="N43" s="60"/>
      <c r="O43" s="58"/>
      <c r="P43" s="192">
        <v>180</v>
      </c>
      <c r="Q43" s="57">
        <v>90</v>
      </c>
      <c r="R43" s="58"/>
      <c r="S43" s="57"/>
      <c r="T43" s="59"/>
      <c r="U43" s="298">
        <f t="shared" si="1"/>
        <v>270</v>
      </c>
      <c r="V43" s="189" t="s">
        <v>7</v>
      </c>
      <c r="W43" s="271" t="s">
        <v>35</v>
      </c>
      <c r="X43" s="2" t="s">
        <v>173</v>
      </c>
      <c r="Y43" s="272"/>
      <c r="Z43" s="2"/>
      <c r="AA43" s="2"/>
      <c r="AB43" s="2"/>
    </row>
    <row r="44" spans="1:28" s="161" customFormat="1" ht="14.1" customHeight="1" x14ac:dyDescent="0.3">
      <c r="A44" s="102" t="s">
        <v>35</v>
      </c>
      <c r="B44" s="189" t="s">
        <v>185</v>
      </c>
      <c r="C44" s="190"/>
      <c r="D44" s="153">
        <v>4290053</v>
      </c>
      <c r="E44" s="162">
        <v>43950</v>
      </c>
      <c r="F44" s="153" t="s">
        <v>186</v>
      </c>
      <c r="G44" s="191">
        <v>43950</v>
      </c>
      <c r="H44" s="58"/>
      <c r="I44" s="57"/>
      <c r="J44" s="60"/>
      <c r="K44" s="60">
        <v>58.5</v>
      </c>
      <c r="L44" s="60"/>
      <c r="M44" s="58"/>
      <c r="N44" s="60"/>
      <c r="O44" s="58"/>
      <c r="P44" s="192"/>
      <c r="Q44" s="57"/>
      <c r="R44" s="58"/>
      <c r="S44" s="57"/>
      <c r="T44" s="59"/>
      <c r="U44" s="298">
        <f t="shared" si="1"/>
        <v>58.5</v>
      </c>
      <c r="V44" s="189" t="s">
        <v>29</v>
      </c>
      <c r="W44" s="271" t="s">
        <v>35</v>
      </c>
      <c r="X44" s="181" t="s">
        <v>311</v>
      </c>
      <c r="Y44" s="272"/>
      <c r="Z44" s="2"/>
      <c r="AA44" s="2"/>
      <c r="AB44" s="2"/>
    </row>
    <row r="45" spans="1:28" s="161" customFormat="1" ht="14.1" customHeight="1" x14ac:dyDescent="0.3">
      <c r="A45" s="100" t="s">
        <v>35</v>
      </c>
      <c r="B45" s="105" t="s">
        <v>212</v>
      </c>
      <c r="C45" s="140"/>
      <c r="D45" s="320">
        <v>8040291</v>
      </c>
      <c r="E45" s="159">
        <v>44047</v>
      </c>
      <c r="F45" s="320" t="s">
        <v>21</v>
      </c>
      <c r="G45" s="108">
        <v>44050</v>
      </c>
      <c r="H45" s="50"/>
      <c r="I45" s="49"/>
      <c r="J45" s="52"/>
      <c r="K45" s="52"/>
      <c r="L45" s="52"/>
      <c r="M45" s="50"/>
      <c r="N45" s="52"/>
      <c r="O45" s="50"/>
      <c r="P45" s="166"/>
      <c r="Q45" s="49"/>
      <c r="R45" s="50">
        <v>195</v>
      </c>
      <c r="S45" s="49">
        <v>45</v>
      </c>
      <c r="T45" s="51"/>
      <c r="U45" s="409">
        <f t="shared" si="1"/>
        <v>240</v>
      </c>
      <c r="V45" s="152" t="s">
        <v>36</v>
      </c>
      <c r="W45" s="331" t="s">
        <v>5</v>
      </c>
      <c r="X45" s="181" t="s">
        <v>18</v>
      </c>
      <c r="Y45" s="180"/>
      <c r="Z45" s="181"/>
      <c r="AA45" s="2"/>
      <c r="AB45" s="2"/>
    </row>
    <row r="46" spans="1:28" s="161" customFormat="1" ht="14.1" customHeight="1" thickBot="1" x14ac:dyDescent="0.35">
      <c r="A46" s="102" t="s">
        <v>6</v>
      </c>
      <c r="B46" s="189" t="s">
        <v>115</v>
      </c>
      <c r="C46" s="190"/>
      <c r="D46" s="190">
        <v>6119071</v>
      </c>
      <c r="E46" s="267">
        <v>43627</v>
      </c>
      <c r="F46" s="190" t="s">
        <v>45</v>
      </c>
      <c r="G46" s="154">
        <v>43627</v>
      </c>
      <c r="H46" s="58"/>
      <c r="I46" s="57"/>
      <c r="J46" s="60"/>
      <c r="K46" s="60"/>
      <c r="L46" s="60"/>
      <c r="M46" s="58"/>
      <c r="N46" s="60"/>
      <c r="O46" s="58"/>
      <c r="P46" s="192">
        <v>180</v>
      </c>
      <c r="Q46" s="57">
        <v>90</v>
      </c>
      <c r="R46" s="58"/>
      <c r="S46" s="57"/>
      <c r="T46" s="59"/>
      <c r="U46" s="298">
        <f t="shared" si="1"/>
        <v>270</v>
      </c>
      <c r="V46" s="189" t="s">
        <v>7</v>
      </c>
      <c r="W46" s="271" t="s">
        <v>6</v>
      </c>
      <c r="X46" s="2" t="s">
        <v>363</v>
      </c>
      <c r="Y46" s="272"/>
      <c r="Z46" s="2"/>
      <c r="AA46" s="2"/>
      <c r="AB46" s="2"/>
    </row>
    <row r="47" spans="1:28" s="161" customFormat="1" ht="14.1" customHeight="1" thickBot="1" x14ac:dyDescent="0.35">
      <c r="A47" s="174" t="s">
        <v>6</v>
      </c>
      <c r="B47" s="175" t="s">
        <v>77</v>
      </c>
      <c r="C47" s="176"/>
      <c r="D47" s="176">
        <v>11189071</v>
      </c>
      <c r="E47" s="364">
        <v>43788</v>
      </c>
      <c r="F47" s="176" t="s">
        <v>155</v>
      </c>
      <c r="G47" s="177">
        <v>43788</v>
      </c>
      <c r="H47" s="178"/>
      <c r="I47" s="178"/>
      <c r="J47" s="178"/>
      <c r="K47" s="178"/>
      <c r="L47" s="178"/>
      <c r="M47" s="178"/>
      <c r="N47" s="178"/>
      <c r="O47" s="178">
        <v>370</v>
      </c>
      <c r="P47" s="178"/>
      <c r="Q47" s="178">
        <v>20</v>
      </c>
      <c r="R47" s="178"/>
      <c r="S47" s="178"/>
      <c r="T47" s="365">
        <v>26.83</v>
      </c>
      <c r="U47" s="398">
        <f t="shared" si="1"/>
        <v>416.83</v>
      </c>
      <c r="V47" s="174" t="s">
        <v>43</v>
      </c>
      <c r="W47" s="179" t="s">
        <v>5</v>
      </c>
      <c r="X47" s="114" t="s">
        <v>156</v>
      </c>
      <c r="Y47" s="272"/>
      <c r="Z47" s="2"/>
      <c r="AA47" s="2"/>
      <c r="AB47" s="2"/>
    </row>
    <row r="48" spans="1:28" s="161" customFormat="1" ht="14.1" customHeight="1" x14ac:dyDescent="0.3">
      <c r="A48" s="102" t="s">
        <v>6</v>
      </c>
      <c r="B48" s="189" t="s">
        <v>76</v>
      </c>
      <c r="C48" s="190" t="s">
        <v>119</v>
      </c>
      <c r="D48" s="104">
        <v>5010501</v>
      </c>
      <c r="E48" s="141">
        <v>43952</v>
      </c>
      <c r="F48" s="43" t="s">
        <v>51</v>
      </c>
      <c r="G48" s="191">
        <v>43952</v>
      </c>
      <c r="H48" s="58"/>
      <c r="I48" s="60"/>
      <c r="J48" s="60"/>
      <c r="K48" s="60"/>
      <c r="L48" s="60"/>
      <c r="M48" s="58">
        <v>237</v>
      </c>
      <c r="N48" s="60"/>
      <c r="O48" s="58"/>
      <c r="P48" s="192"/>
      <c r="Q48" s="57"/>
      <c r="R48" s="58"/>
      <c r="S48" s="57"/>
      <c r="T48" s="59"/>
      <c r="U48" s="298">
        <f t="shared" si="1"/>
        <v>237</v>
      </c>
      <c r="V48" s="189" t="s">
        <v>29</v>
      </c>
      <c r="W48" s="67" t="s">
        <v>6</v>
      </c>
      <c r="X48" s="83" t="s">
        <v>290</v>
      </c>
      <c r="Y48" s="272"/>
      <c r="Z48" s="2"/>
      <c r="AA48" s="2"/>
      <c r="AB48" s="2"/>
    </row>
    <row r="49" spans="1:28" s="161" customFormat="1" ht="14.1" customHeight="1" x14ac:dyDescent="0.3">
      <c r="A49" s="102" t="s">
        <v>6</v>
      </c>
      <c r="B49" s="189" t="s">
        <v>76</v>
      </c>
      <c r="C49" s="190" t="s">
        <v>82</v>
      </c>
      <c r="D49" s="104">
        <v>6010508</v>
      </c>
      <c r="E49" s="141">
        <v>43983</v>
      </c>
      <c r="F49" s="43" t="s">
        <v>51</v>
      </c>
      <c r="G49" s="191">
        <v>43983</v>
      </c>
      <c r="H49" s="58"/>
      <c r="I49" s="60"/>
      <c r="J49" s="60"/>
      <c r="K49" s="60"/>
      <c r="L49" s="60"/>
      <c r="M49" s="58">
        <v>237</v>
      </c>
      <c r="N49" s="60"/>
      <c r="O49" s="58"/>
      <c r="P49" s="192"/>
      <c r="Q49" s="57"/>
      <c r="R49" s="58"/>
      <c r="S49" s="57"/>
      <c r="T49" s="59"/>
      <c r="U49" s="298">
        <f t="shared" si="1"/>
        <v>237</v>
      </c>
      <c r="V49" s="150" t="s">
        <v>29</v>
      </c>
      <c r="W49" s="67" t="s">
        <v>6</v>
      </c>
      <c r="X49" s="83" t="s">
        <v>290</v>
      </c>
      <c r="Y49" s="272"/>
      <c r="Z49" s="2"/>
      <c r="AA49" s="2"/>
      <c r="AB49" s="2"/>
    </row>
    <row r="50" spans="1:28" s="161" customFormat="1" ht="14.1" customHeight="1" thickBot="1" x14ac:dyDescent="0.35">
      <c r="A50" s="101" t="s">
        <v>6</v>
      </c>
      <c r="B50" s="169" t="s">
        <v>201</v>
      </c>
      <c r="C50" s="170"/>
      <c r="D50" s="103">
        <v>7010106</v>
      </c>
      <c r="E50" s="142">
        <v>44013</v>
      </c>
      <c r="F50" s="99" t="s">
        <v>21</v>
      </c>
      <c r="G50" s="171">
        <v>44013</v>
      </c>
      <c r="H50" s="54"/>
      <c r="I50" s="56"/>
      <c r="J50" s="56"/>
      <c r="K50" s="56"/>
      <c r="L50" s="56"/>
      <c r="M50" s="54"/>
      <c r="N50" s="56"/>
      <c r="O50" s="54"/>
      <c r="P50" s="173"/>
      <c r="Q50" s="53"/>
      <c r="R50" s="54">
        <v>55</v>
      </c>
      <c r="S50" s="53"/>
      <c r="T50" s="55">
        <v>4.54</v>
      </c>
      <c r="U50" s="310">
        <f t="shared" si="1"/>
        <v>59.54</v>
      </c>
      <c r="V50" s="151" t="s">
        <v>7</v>
      </c>
      <c r="W50" s="172" t="s">
        <v>6</v>
      </c>
      <c r="X50" s="83" t="s">
        <v>18</v>
      </c>
      <c r="Y50" s="180"/>
      <c r="Z50" s="2"/>
      <c r="AA50" s="2"/>
      <c r="AB50" s="2"/>
    </row>
    <row r="51" spans="1:28" s="161" customFormat="1" ht="14.1" customHeight="1" thickBot="1" x14ac:dyDescent="0.35">
      <c r="A51" s="182" t="s">
        <v>6</v>
      </c>
      <c r="B51" s="183" t="s">
        <v>226</v>
      </c>
      <c r="C51" s="184"/>
      <c r="D51" s="184">
        <v>8190051</v>
      </c>
      <c r="E51" s="185">
        <v>44062</v>
      </c>
      <c r="F51" s="184" t="s">
        <v>242</v>
      </c>
      <c r="G51" s="186">
        <v>44062</v>
      </c>
      <c r="H51" s="68"/>
      <c r="I51" s="68"/>
      <c r="J51" s="68"/>
      <c r="K51" s="68">
        <v>79</v>
      </c>
      <c r="L51" s="68"/>
      <c r="M51" s="68"/>
      <c r="N51" s="68"/>
      <c r="O51" s="68"/>
      <c r="P51" s="68"/>
      <c r="Q51" s="68"/>
      <c r="R51" s="68"/>
      <c r="S51" s="68"/>
      <c r="T51" s="187"/>
      <c r="U51" s="392">
        <f t="shared" si="1"/>
        <v>79</v>
      </c>
      <c r="V51" s="182" t="s">
        <v>29</v>
      </c>
      <c r="W51" s="45" t="s">
        <v>6</v>
      </c>
      <c r="X51" s="114" t="s">
        <v>18</v>
      </c>
      <c r="Y51" s="180"/>
      <c r="Z51" s="181"/>
      <c r="AA51" s="2"/>
      <c r="AB51" s="2"/>
    </row>
    <row r="52" spans="1:28" s="161" customFormat="1" ht="14.1" customHeight="1" x14ac:dyDescent="0.3">
      <c r="A52" s="98" t="s">
        <v>6</v>
      </c>
      <c r="B52" s="3" t="s">
        <v>252</v>
      </c>
      <c r="C52" s="4"/>
      <c r="D52" s="70">
        <v>8240051</v>
      </c>
      <c r="E52" s="136">
        <v>44067</v>
      </c>
      <c r="F52" s="48" t="s">
        <v>51</v>
      </c>
      <c r="G52" s="79">
        <v>44067</v>
      </c>
      <c r="H52" s="46"/>
      <c r="I52" s="28"/>
      <c r="J52" s="28"/>
      <c r="K52" s="28"/>
      <c r="L52" s="46"/>
      <c r="M52" s="46">
        <v>750</v>
      </c>
      <c r="N52" s="46"/>
      <c r="O52" s="46"/>
      <c r="P52" s="7"/>
      <c r="Q52" s="47"/>
      <c r="R52" s="387"/>
      <c r="S52" s="47"/>
      <c r="T52" s="32"/>
      <c r="U52" s="391">
        <f t="shared" si="1"/>
        <v>750</v>
      </c>
      <c r="V52" s="382" t="s">
        <v>29</v>
      </c>
      <c r="W52" s="2" t="s">
        <v>32</v>
      </c>
      <c r="X52" s="83" t="s">
        <v>18</v>
      </c>
      <c r="Y52" s="180"/>
      <c r="Z52" s="181"/>
      <c r="AA52" s="2"/>
      <c r="AB52" s="2"/>
    </row>
    <row r="53" spans="1:28" s="161" customFormat="1" ht="14.1" customHeight="1" thickBot="1" x14ac:dyDescent="0.35">
      <c r="A53" s="98" t="s">
        <v>6</v>
      </c>
      <c r="B53" s="3" t="s">
        <v>77</v>
      </c>
      <c r="C53" s="4"/>
      <c r="D53" s="70">
        <v>8310251</v>
      </c>
      <c r="E53" s="136">
        <v>44074</v>
      </c>
      <c r="F53" s="48" t="s">
        <v>196</v>
      </c>
      <c r="G53" s="79">
        <v>44074</v>
      </c>
      <c r="H53" s="46"/>
      <c r="I53" s="28"/>
      <c r="J53" s="28"/>
      <c r="K53" s="28"/>
      <c r="L53" s="28"/>
      <c r="M53" s="46"/>
      <c r="N53" s="28"/>
      <c r="O53" s="46"/>
      <c r="P53" s="7">
        <v>75</v>
      </c>
      <c r="Q53" s="47"/>
      <c r="R53" s="46"/>
      <c r="S53" s="47"/>
      <c r="T53" s="32"/>
      <c r="U53" s="391">
        <f t="shared" si="1"/>
        <v>75</v>
      </c>
      <c r="V53" s="382" t="s">
        <v>29</v>
      </c>
      <c r="W53" s="2" t="s">
        <v>48</v>
      </c>
      <c r="X53" s="83" t="s">
        <v>18</v>
      </c>
      <c r="Y53" s="180"/>
      <c r="Z53" s="181"/>
      <c r="AA53" s="2"/>
      <c r="AB53" s="2"/>
    </row>
    <row r="54" spans="1:28" s="161" customFormat="1" ht="14.1" customHeight="1" thickBot="1" x14ac:dyDescent="0.35">
      <c r="A54" s="182" t="s">
        <v>6</v>
      </c>
      <c r="B54" s="183" t="s">
        <v>283</v>
      </c>
      <c r="C54" s="184"/>
      <c r="D54" s="301">
        <v>8220071</v>
      </c>
      <c r="E54" s="302">
        <v>44065</v>
      </c>
      <c r="F54" s="303" t="s">
        <v>45</v>
      </c>
      <c r="G54" s="186">
        <v>44065</v>
      </c>
      <c r="H54" s="304"/>
      <c r="I54" s="305"/>
      <c r="J54" s="305"/>
      <c r="K54" s="305"/>
      <c r="L54" s="305"/>
      <c r="M54" s="304"/>
      <c r="N54" s="305"/>
      <c r="O54" s="304"/>
      <c r="P54" s="68">
        <v>180</v>
      </c>
      <c r="Q54" s="306"/>
      <c r="R54" s="304"/>
      <c r="S54" s="306"/>
      <c r="T54" s="307"/>
      <c r="U54" s="308">
        <f t="shared" si="1"/>
        <v>180</v>
      </c>
      <c r="V54" s="183" t="s">
        <v>7</v>
      </c>
      <c r="W54" s="45" t="s">
        <v>6</v>
      </c>
      <c r="X54" s="114" t="s">
        <v>18</v>
      </c>
      <c r="Y54" s="180"/>
      <c r="Z54" s="181"/>
      <c r="AA54" s="2"/>
      <c r="AB54" s="2"/>
    </row>
    <row r="55" spans="1:28" s="161" customFormat="1" ht="14.1" customHeight="1" thickBot="1" x14ac:dyDescent="0.35">
      <c r="A55" s="102" t="s">
        <v>80</v>
      </c>
      <c r="B55" s="189" t="s">
        <v>115</v>
      </c>
      <c r="C55" s="190"/>
      <c r="D55" s="104">
        <v>6129309</v>
      </c>
      <c r="E55" s="141">
        <v>43628</v>
      </c>
      <c r="F55" s="43" t="s">
        <v>97</v>
      </c>
      <c r="G55" s="154">
        <v>43628</v>
      </c>
      <c r="H55" s="58"/>
      <c r="I55" s="60"/>
      <c r="J55" s="60"/>
      <c r="K55" s="60"/>
      <c r="L55" s="60"/>
      <c r="M55" s="58"/>
      <c r="N55" s="60"/>
      <c r="O55" s="58">
        <v>102.5</v>
      </c>
      <c r="P55" s="192">
        <v>135</v>
      </c>
      <c r="Q55" s="57"/>
      <c r="R55" s="58"/>
      <c r="S55" s="57"/>
      <c r="T55" s="59">
        <v>8.9700000000000006</v>
      </c>
      <c r="U55" s="298">
        <f t="shared" si="1"/>
        <v>246.47</v>
      </c>
      <c r="V55" s="189" t="s">
        <v>7</v>
      </c>
      <c r="W55" s="158" t="s">
        <v>6</v>
      </c>
      <c r="X55" s="83" t="s">
        <v>220</v>
      </c>
      <c r="Y55" s="272"/>
      <c r="Z55" s="2"/>
      <c r="AA55" s="2"/>
      <c r="AB55" s="2"/>
    </row>
    <row r="56" spans="1:28" s="161" customFormat="1" ht="14.1" customHeight="1" thickBot="1" x14ac:dyDescent="0.35">
      <c r="A56" s="102" t="s">
        <v>80</v>
      </c>
      <c r="B56" s="189" t="s">
        <v>154</v>
      </c>
      <c r="C56" s="190"/>
      <c r="D56" s="104">
        <v>10119039</v>
      </c>
      <c r="E56" s="141">
        <v>43749</v>
      </c>
      <c r="F56" s="43" t="s">
        <v>87</v>
      </c>
      <c r="G56" s="154">
        <v>43749</v>
      </c>
      <c r="H56" s="58"/>
      <c r="I56" s="60"/>
      <c r="J56" s="60"/>
      <c r="K56" s="60"/>
      <c r="L56" s="60"/>
      <c r="M56" s="58"/>
      <c r="N56" s="60"/>
      <c r="O56" s="58"/>
      <c r="P56" s="192">
        <v>180</v>
      </c>
      <c r="Q56" s="57">
        <v>12</v>
      </c>
      <c r="R56" s="58"/>
      <c r="S56" s="57"/>
      <c r="T56" s="59"/>
      <c r="U56" s="298">
        <f t="shared" si="1"/>
        <v>192</v>
      </c>
      <c r="V56" s="189" t="s">
        <v>36</v>
      </c>
      <c r="W56" s="158" t="s">
        <v>80</v>
      </c>
      <c r="X56" s="188" t="s">
        <v>215</v>
      </c>
      <c r="Y56" s="272"/>
      <c r="Z56" s="2"/>
      <c r="AA56" s="2"/>
      <c r="AB56" s="2"/>
    </row>
    <row r="57" spans="1:28" s="161" customFormat="1" ht="14.1" customHeight="1" x14ac:dyDescent="0.3">
      <c r="A57" s="102" t="s">
        <v>80</v>
      </c>
      <c r="B57" s="189" t="s">
        <v>154</v>
      </c>
      <c r="C57" s="190"/>
      <c r="D57" s="104">
        <v>22100302</v>
      </c>
      <c r="E57" s="141">
        <v>43882</v>
      </c>
      <c r="F57" s="43" t="s">
        <v>97</v>
      </c>
      <c r="G57" s="191">
        <v>43882</v>
      </c>
      <c r="H57" s="58"/>
      <c r="I57" s="60"/>
      <c r="J57" s="60"/>
      <c r="K57" s="60"/>
      <c r="L57" s="60"/>
      <c r="M57" s="58"/>
      <c r="N57" s="60"/>
      <c r="O57" s="58">
        <v>25</v>
      </c>
      <c r="P57" s="192">
        <v>90</v>
      </c>
      <c r="Q57" s="57"/>
      <c r="R57" s="58"/>
      <c r="S57" s="57"/>
      <c r="T57" s="59">
        <v>2.13</v>
      </c>
      <c r="U57" s="298">
        <f t="shared" si="1"/>
        <v>117.13</v>
      </c>
      <c r="V57" s="189" t="s">
        <v>36</v>
      </c>
      <c r="W57" s="158" t="s">
        <v>80</v>
      </c>
      <c r="X57" s="83" t="s">
        <v>215</v>
      </c>
      <c r="Y57" s="272"/>
      <c r="Z57" s="2"/>
      <c r="AA57" s="2"/>
      <c r="AB57" s="2"/>
    </row>
    <row r="58" spans="1:28" s="161" customFormat="1" ht="14.1" customHeight="1" thickBot="1" x14ac:dyDescent="0.35">
      <c r="A58" s="102" t="s">
        <v>80</v>
      </c>
      <c r="B58" s="189" t="s">
        <v>154</v>
      </c>
      <c r="C58" s="190"/>
      <c r="D58" s="104">
        <v>22100301</v>
      </c>
      <c r="E58" s="141">
        <v>43882</v>
      </c>
      <c r="F58" s="43" t="s">
        <v>97</v>
      </c>
      <c r="G58" s="191">
        <v>43882</v>
      </c>
      <c r="H58" s="58"/>
      <c r="I58" s="60"/>
      <c r="J58" s="60"/>
      <c r="K58" s="60"/>
      <c r="L58" s="60"/>
      <c r="M58" s="58"/>
      <c r="N58" s="60"/>
      <c r="O58" s="58">
        <v>375</v>
      </c>
      <c r="P58" s="192">
        <v>180</v>
      </c>
      <c r="Q58" s="57"/>
      <c r="R58" s="58"/>
      <c r="S58" s="57"/>
      <c r="T58" s="59">
        <v>31.88</v>
      </c>
      <c r="U58" s="298">
        <f t="shared" si="1"/>
        <v>586.88</v>
      </c>
      <c r="V58" s="189" t="s">
        <v>36</v>
      </c>
      <c r="W58" s="158" t="s">
        <v>80</v>
      </c>
      <c r="X58" s="83" t="s">
        <v>215</v>
      </c>
      <c r="Y58" s="272"/>
      <c r="Z58" s="2"/>
      <c r="AA58" s="2"/>
      <c r="AB58" s="2"/>
    </row>
    <row r="59" spans="1:28" s="161" customFormat="1" ht="14.1" customHeight="1" thickBot="1" x14ac:dyDescent="0.35">
      <c r="A59" s="174" t="s">
        <v>14</v>
      </c>
      <c r="B59" s="175" t="s">
        <v>76</v>
      </c>
      <c r="C59" s="176" t="s">
        <v>158</v>
      </c>
      <c r="D59" s="176">
        <v>11259041</v>
      </c>
      <c r="E59" s="364">
        <v>43794</v>
      </c>
      <c r="F59" s="176" t="s">
        <v>159</v>
      </c>
      <c r="G59" s="177">
        <v>43794</v>
      </c>
      <c r="H59" s="178"/>
      <c r="I59" s="178"/>
      <c r="J59" s="178"/>
      <c r="K59" s="178"/>
      <c r="L59" s="178"/>
      <c r="M59" s="178"/>
      <c r="N59" s="178"/>
      <c r="O59" s="178">
        <v>299</v>
      </c>
      <c r="P59" s="178"/>
      <c r="Q59" s="178">
        <v>18</v>
      </c>
      <c r="R59" s="178"/>
      <c r="S59" s="178"/>
      <c r="T59" s="365">
        <v>30.65</v>
      </c>
      <c r="U59" s="377">
        <f t="shared" si="1"/>
        <v>347.65</v>
      </c>
      <c r="V59" s="174" t="s">
        <v>36</v>
      </c>
      <c r="W59" s="179" t="s">
        <v>14</v>
      </c>
      <c r="X59" s="45" t="s">
        <v>290</v>
      </c>
      <c r="Y59" s="334"/>
      <c r="Z59" s="2"/>
      <c r="AA59" s="2"/>
      <c r="AB59" s="2"/>
    </row>
    <row r="60" spans="1:28" s="161" customFormat="1" ht="14.1" customHeight="1" x14ac:dyDescent="0.3">
      <c r="A60" s="102" t="s">
        <v>14</v>
      </c>
      <c r="B60" s="189" t="s">
        <v>123</v>
      </c>
      <c r="C60" s="190" t="s">
        <v>168</v>
      </c>
      <c r="D60" s="104">
        <v>1270041</v>
      </c>
      <c r="E60" s="141">
        <v>43857</v>
      </c>
      <c r="F60" s="43" t="s">
        <v>169</v>
      </c>
      <c r="G60" s="154">
        <v>43857</v>
      </c>
      <c r="H60" s="58"/>
      <c r="I60" s="60"/>
      <c r="J60" s="60"/>
      <c r="K60" s="60"/>
      <c r="L60" s="60"/>
      <c r="M60" s="58"/>
      <c r="N60" s="60"/>
      <c r="O60" s="58">
        <v>60</v>
      </c>
      <c r="P60" s="192"/>
      <c r="Q60" s="57">
        <v>12</v>
      </c>
      <c r="R60" s="58"/>
      <c r="S60" s="57"/>
      <c r="T60" s="59">
        <v>5.7</v>
      </c>
      <c r="U60" s="138">
        <f t="shared" si="1"/>
        <v>77.7</v>
      </c>
      <c r="V60" s="113" t="s">
        <v>43</v>
      </c>
      <c r="W60" s="158" t="s">
        <v>80</v>
      </c>
      <c r="X60" s="83" t="s">
        <v>358</v>
      </c>
      <c r="Y60" s="272"/>
      <c r="Z60" s="2"/>
      <c r="AA60" s="2"/>
      <c r="AB60" s="2"/>
    </row>
    <row r="61" spans="1:28" s="161" customFormat="1" ht="14.1" customHeight="1" x14ac:dyDescent="0.3">
      <c r="A61" s="102" t="s">
        <v>14</v>
      </c>
      <c r="B61" s="189" t="s">
        <v>88</v>
      </c>
      <c r="C61" s="190" t="s">
        <v>170</v>
      </c>
      <c r="D61" s="104">
        <v>1290291</v>
      </c>
      <c r="E61" s="141">
        <v>43859</v>
      </c>
      <c r="F61" s="43" t="s">
        <v>96</v>
      </c>
      <c r="G61" s="154">
        <v>43859</v>
      </c>
      <c r="H61" s="58"/>
      <c r="I61" s="60"/>
      <c r="J61" s="60"/>
      <c r="K61" s="60"/>
      <c r="L61" s="60"/>
      <c r="M61" s="58"/>
      <c r="N61" s="60"/>
      <c r="O61" s="58">
        <v>150</v>
      </c>
      <c r="P61" s="192"/>
      <c r="Q61" s="57">
        <v>12</v>
      </c>
      <c r="R61" s="58"/>
      <c r="S61" s="57"/>
      <c r="T61" s="59">
        <v>13.88</v>
      </c>
      <c r="U61" s="138">
        <f t="shared" si="1"/>
        <v>175.88</v>
      </c>
      <c r="V61" s="113" t="s">
        <v>36</v>
      </c>
      <c r="W61" s="158" t="s">
        <v>5</v>
      </c>
      <c r="X61" s="83" t="s">
        <v>362</v>
      </c>
      <c r="Y61" s="272"/>
      <c r="Z61" s="2"/>
      <c r="AA61" s="2"/>
      <c r="AB61" s="2"/>
    </row>
    <row r="62" spans="1:28" s="161" customFormat="1" ht="13.5" customHeight="1" x14ac:dyDescent="0.3">
      <c r="A62" s="102" t="s">
        <v>14</v>
      </c>
      <c r="B62" s="150" t="s">
        <v>123</v>
      </c>
      <c r="C62" s="153" t="s">
        <v>168</v>
      </c>
      <c r="D62" s="104">
        <v>1310041</v>
      </c>
      <c r="E62" s="141">
        <v>43861</v>
      </c>
      <c r="F62" s="43" t="s">
        <v>134</v>
      </c>
      <c r="G62" s="154">
        <v>43861</v>
      </c>
      <c r="H62" s="58"/>
      <c r="I62" s="60"/>
      <c r="J62" s="60"/>
      <c r="K62" s="60"/>
      <c r="L62" s="60"/>
      <c r="M62" s="58"/>
      <c r="N62" s="60"/>
      <c r="O62" s="58">
        <v>590</v>
      </c>
      <c r="P62" s="155"/>
      <c r="Q62" s="57">
        <v>24</v>
      </c>
      <c r="R62" s="58"/>
      <c r="S62" s="57"/>
      <c r="T62" s="59">
        <v>56.05</v>
      </c>
      <c r="U62" s="138">
        <f t="shared" si="1"/>
        <v>670.05</v>
      </c>
      <c r="V62" s="113" t="s">
        <v>36</v>
      </c>
      <c r="W62" s="158" t="s">
        <v>80</v>
      </c>
      <c r="X62" s="372" t="s">
        <v>358</v>
      </c>
      <c r="Y62" s="373"/>
      <c r="Z62" s="371"/>
      <c r="AA62" s="2"/>
      <c r="AB62" s="2"/>
    </row>
    <row r="63" spans="1:28" s="161" customFormat="1" ht="14.1" customHeight="1" x14ac:dyDescent="0.3">
      <c r="A63" s="102" t="s">
        <v>14</v>
      </c>
      <c r="B63" s="189" t="s">
        <v>208</v>
      </c>
      <c r="C63" s="190"/>
      <c r="D63" s="104">
        <v>6060051</v>
      </c>
      <c r="E63" s="141">
        <v>43988</v>
      </c>
      <c r="F63" s="43" t="s">
        <v>51</v>
      </c>
      <c r="G63" s="191">
        <v>43988</v>
      </c>
      <c r="H63" s="58"/>
      <c r="I63" s="60"/>
      <c r="J63" s="60"/>
      <c r="K63" s="60"/>
      <c r="L63" s="60"/>
      <c r="M63" s="58">
        <v>850</v>
      </c>
      <c r="N63" s="60"/>
      <c r="O63" s="58"/>
      <c r="P63" s="192"/>
      <c r="Q63" s="57"/>
      <c r="R63" s="58"/>
      <c r="S63" s="57"/>
      <c r="T63" s="59"/>
      <c r="U63" s="138">
        <f t="shared" si="1"/>
        <v>850</v>
      </c>
      <c r="V63" s="113" t="s">
        <v>29</v>
      </c>
      <c r="W63" s="67" t="s">
        <v>14</v>
      </c>
      <c r="X63" s="372" t="s">
        <v>380</v>
      </c>
      <c r="Y63" s="228"/>
      <c r="Z63" s="371"/>
      <c r="AA63" s="371"/>
      <c r="AB63" s="371"/>
    </row>
    <row r="64" spans="1:28" s="161" customFormat="1" ht="14.1" customHeight="1" x14ac:dyDescent="0.3">
      <c r="A64" s="100" t="s">
        <v>14</v>
      </c>
      <c r="B64" s="105" t="s">
        <v>76</v>
      </c>
      <c r="C64" s="140" t="s">
        <v>82</v>
      </c>
      <c r="D64" s="144">
        <v>8030051</v>
      </c>
      <c r="E64" s="143">
        <v>44046</v>
      </c>
      <c r="F64" s="44" t="s">
        <v>51</v>
      </c>
      <c r="G64" s="108">
        <v>44046</v>
      </c>
      <c r="H64" s="50"/>
      <c r="I64" s="52"/>
      <c r="J64" s="52"/>
      <c r="K64" s="52"/>
      <c r="L64" s="52"/>
      <c r="M64" s="50">
        <v>237</v>
      </c>
      <c r="N64" s="52"/>
      <c r="O64" s="50"/>
      <c r="P64" s="166"/>
      <c r="Q64" s="49"/>
      <c r="R64" s="50"/>
      <c r="S64" s="49"/>
      <c r="T64" s="51"/>
      <c r="U64" s="139">
        <f t="shared" si="1"/>
        <v>237</v>
      </c>
      <c r="V64" s="112" t="s">
        <v>29</v>
      </c>
      <c r="W64" s="66" t="s">
        <v>14</v>
      </c>
      <c r="X64" s="83" t="s">
        <v>290</v>
      </c>
      <c r="Y64" s="180"/>
      <c r="Z64" s="181"/>
      <c r="AA64" s="2"/>
      <c r="AB64" s="2"/>
    </row>
    <row r="65" spans="1:28" s="161" customFormat="1" ht="13.5" customHeight="1" x14ac:dyDescent="0.3">
      <c r="A65" s="98" t="s">
        <v>14</v>
      </c>
      <c r="B65" s="3" t="s">
        <v>272</v>
      </c>
      <c r="C65" s="4" t="s">
        <v>273</v>
      </c>
      <c r="D65" s="70">
        <v>8260059</v>
      </c>
      <c r="E65" s="136">
        <v>44069</v>
      </c>
      <c r="F65" s="48" t="s">
        <v>237</v>
      </c>
      <c r="G65" s="79">
        <v>44069</v>
      </c>
      <c r="H65" s="46"/>
      <c r="I65" s="28"/>
      <c r="J65" s="28"/>
      <c r="K65" s="28"/>
      <c r="L65" s="28"/>
      <c r="M65" s="46">
        <v>67.62</v>
      </c>
      <c r="N65" s="28"/>
      <c r="O65" s="46"/>
      <c r="P65" s="7"/>
      <c r="Q65" s="47"/>
      <c r="R65" s="46"/>
      <c r="S65" s="47"/>
      <c r="T65" s="32"/>
      <c r="U65" s="71">
        <f t="shared" si="1"/>
        <v>67.62</v>
      </c>
      <c r="V65" s="82" t="s">
        <v>29</v>
      </c>
      <c r="W65" s="2" t="s">
        <v>14</v>
      </c>
      <c r="X65" s="83" t="s">
        <v>18</v>
      </c>
      <c r="Y65" s="180" t="s">
        <v>278</v>
      </c>
      <c r="Z65" s="181"/>
      <c r="AA65" s="2"/>
      <c r="AB65" s="2"/>
    </row>
    <row r="66" spans="1:28" s="161" customFormat="1" ht="13.5" customHeight="1" thickBot="1" x14ac:dyDescent="0.35">
      <c r="A66" s="102" t="s">
        <v>44</v>
      </c>
      <c r="B66" s="189" t="s">
        <v>99</v>
      </c>
      <c r="C66" s="190" t="s">
        <v>100</v>
      </c>
      <c r="D66" s="104">
        <v>2139261</v>
      </c>
      <c r="E66" s="141">
        <v>43509</v>
      </c>
      <c r="F66" s="43" t="s">
        <v>45</v>
      </c>
      <c r="G66" s="154">
        <v>43509</v>
      </c>
      <c r="H66" s="58"/>
      <c r="I66" s="60"/>
      <c r="J66" s="60"/>
      <c r="K66" s="60"/>
      <c r="L66" s="60"/>
      <c r="M66" s="58"/>
      <c r="N66" s="60"/>
      <c r="O66" s="58"/>
      <c r="P66" s="192">
        <v>180</v>
      </c>
      <c r="Q66" s="57">
        <v>90</v>
      </c>
      <c r="R66" s="58"/>
      <c r="S66" s="57"/>
      <c r="T66" s="59"/>
      <c r="U66" s="138">
        <f t="shared" si="1"/>
        <v>270</v>
      </c>
      <c r="V66" s="113" t="s">
        <v>7</v>
      </c>
      <c r="W66" s="158" t="s">
        <v>74</v>
      </c>
      <c r="X66" s="83" t="s">
        <v>241</v>
      </c>
      <c r="Y66" s="272"/>
      <c r="Z66" s="2"/>
      <c r="AA66" s="2"/>
      <c r="AB66" s="2"/>
    </row>
    <row r="67" spans="1:28" s="158" customFormat="1" ht="13.5" customHeight="1" thickBot="1" x14ac:dyDescent="0.35">
      <c r="A67" s="102" t="s">
        <v>44</v>
      </c>
      <c r="B67" s="189" t="s">
        <v>121</v>
      </c>
      <c r="C67" s="190"/>
      <c r="D67" s="104">
        <v>7139261</v>
      </c>
      <c r="E67" s="141">
        <v>43659</v>
      </c>
      <c r="F67" s="43" t="s">
        <v>87</v>
      </c>
      <c r="G67" s="154">
        <v>43659</v>
      </c>
      <c r="H67" s="58"/>
      <c r="I67" s="60"/>
      <c r="J67" s="60"/>
      <c r="K67" s="60"/>
      <c r="L67" s="60"/>
      <c r="M67" s="58"/>
      <c r="N67" s="60"/>
      <c r="O67" s="58"/>
      <c r="P67" s="192">
        <v>270</v>
      </c>
      <c r="Q67" s="57"/>
      <c r="R67" s="58"/>
      <c r="S67" s="57"/>
      <c r="T67" s="59"/>
      <c r="U67" s="138">
        <f t="shared" si="1"/>
        <v>270</v>
      </c>
      <c r="V67" s="113" t="s">
        <v>7</v>
      </c>
      <c r="W67" s="158" t="s">
        <v>44</v>
      </c>
      <c r="X67" s="188" t="s">
        <v>145</v>
      </c>
      <c r="Y67" s="272"/>
      <c r="Z67" s="2"/>
      <c r="AA67" s="2"/>
      <c r="AB67" s="2"/>
    </row>
    <row r="68" spans="1:28" s="161" customFormat="1" ht="13.5" customHeight="1" x14ac:dyDescent="0.3">
      <c r="A68" s="102" t="s">
        <v>44</v>
      </c>
      <c r="B68" s="189" t="s">
        <v>178</v>
      </c>
      <c r="C68" s="190"/>
      <c r="D68" s="104">
        <v>3060041</v>
      </c>
      <c r="E68" s="141">
        <v>43896</v>
      </c>
      <c r="F68" s="43" t="s">
        <v>94</v>
      </c>
      <c r="G68" s="191">
        <v>43896</v>
      </c>
      <c r="H68" s="58"/>
      <c r="I68" s="60"/>
      <c r="J68" s="60"/>
      <c r="K68" s="60"/>
      <c r="L68" s="60"/>
      <c r="M68" s="58"/>
      <c r="N68" s="60"/>
      <c r="O68" s="58">
        <v>150</v>
      </c>
      <c r="P68" s="192"/>
      <c r="Q68" s="57">
        <v>9</v>
      </c>
      <c r="R68" s="58"/>
      <c r="S68" s="57"/>
      <c r="T68" s="59">
        <v>12.75</v>
      </c>
      <c r="U68" s="138">
        <f t="shared" ref="U68:U99" si="2">SUM(H68:T68)</f>
        <v>171.75</v>
      </c>
      <c r="V68" s="113" t="s">
        <v>36</v>
      </c>
      <c r="W68" s="67" t="s">
        <v>80</v>
      </c>
      <c r="X68" s="372" t="s">
        <v>179</v>
      </c>
      <c r="Y68" s="373"/>
      <c r="Z68" s="371"/>
      <c r="AA68" s="2"/>
      <c r="AB68" s="2"/>
    </row>
    <row r="69" spans="1:28" s="161" customFormat="1" ht="14.1" customHeight="1" x14ac:dyDescent="0.3">
      <c r="A69" s="102" t="s">
        <v>44</v>
      </c>
      <c r="B69" s="189" t="s">
        <v>193</v>
      </c>
      <c r="C69" s="190"/>
      <c r="D69" s="104">
        <v>5260104</v>
      </c>
      <c r="E69" s="141">
        <v>43977</v>
      </c>
      <c r="F69" s="43" t="s">
        <v>21</v>
      </c>
      <c r="G69" s="191">
        <v>43977</v>
      </c>
      <c r="H69" s="58"/>
      <c r="I69" s="60"/>
      <c r="J69" s="60"/>
      <c r="K69" s="60"/>
      <c r="L69" s="60"/>
      <c r="M69" s="58"/>
      <c r="N69" s="60"/>
      <c r="O69" s="58"/>
      <c r="P69" s="192"/>
      <c r="Q69" s="57"/>
      <c r="R69" s="58">
        <v>165</v>
      </c>
      <c r="S69" s="57"/>
      <c r="T69" s="59">
        <v>15.26</v>
      </c>
      <c r="U69" s="138">
        <f t="shared" si="2"/>
        <v>180.26</v>
      </c>
      <c r="V69" s="113" t="s">
        <v>36</v>
      </c>
      <c r="W69" s="67" t="s">
        <v>5</v>
      </c>
      <c r="X69" s="83" t="s">
        <v>368</v>
      </c>
      <c r="Y69" s="272"/>
      <c r="Z69" s="2"/>
      <c r="AA69" s="2"/>
      <c r="AB69" s="2"/>
    </row>
    <row r="70" spans="1:28" s="161" customFormat="1" ht="14.1" customHeight="1" x14ac:dyDescent="0.3">
      <c r="A70" s="101" t="s">
        <v>44</v>
      </c>
      <c r="B70" s="169" t="s">
        <v>210</v>
      </c>
      <c r="C70" s="170"/>
      <c r="D70" s="103">
        <v>6190052</v>
      </c>
      <c r="E70" s="142">
        <v>44001</v>
      </c>
      <c r="F70" s="99" t="s">
        <v>51</v>
      </c>
      <c r="G70" s="171">
        <v>44001</v>
      </c>
      <c r="H70" s="54"/>
      <c r="I70" s="56"/>
      <c r="J70" s="56"/>
      <c r="K70" s="56"/>
      <c r="L70" s="56"/>
      <c r="M70" s="54">
        <v>750</v>
      </c>
      <c r="N70" s="56"/>
      <c r="O70" s="54"/>
      <c r="P70" s="173"/>
      <c r="Q70" s="53"/>
      <c r="R70" s="54"/>
      <c r="S70" s="53"/>
      <c r="T70" s="55"/>
      <c r="U70" s="145">
        <f t="shared" si="2"/>
        <v>750</v>
      </c>
      <c r="V70" s="111" t="s">
        <v>29</v>
      </c>
      <c r="W70" s="172" t="s">
        <v>44</v>
      </c>
      <c r="X70" s="372" t="s">
        <v>308</v>
      </c>
      <c r="Y70" s="228"/>
      <c r="Z70" s="371"/>
      <c r="AA70" s="371"/>
      <c r="AB70" s="371"/>
    </row>
    <row r="71" spans="1:28" s="161" customFormat="1" ht="14.1" customHeight="1" x14ac:dyDescent="0.3">
      <c r="A71" s="100" t="s">
        <v>44</v>
      </c>
      <c r="B71" s="105" t="s">
        <v>218</v>
      </c>
      <c r="C71" s="140"/>
      <c r="D71" s="144">
        <v>8030101</v>
      </c>
      <c r="E71" s="143">
        <v>44046</v>
      </c>
      <c r="F71" s="44" t="s">
        <v>21</v>
      </c>
      <c r="G71" s="108">
        <v>44046</v>
      </c>
      <c r="H71" s="50"/>
      <c r="I71" s="52"/>
      <c r="J71" s="52"/>
      <c r="K71" s="52"/>
      <c r="L71" s="52"/>
      <c r="M71" s="50"/>
      <c r="N71" s="52"/>
      <c r="O71" s="50"/>
      <c r="P71" s="166"/>
      <c r="Q71" s="49"/>
      <c r="R71" s="50">
        <v>117</v>
      </c>
      <c r="S71" s="49">
        <v>12</v>
      </c>
      <c r="T71" s="51">
        <v>9.8000000000000007</v>
      </c>
      <c r="U71" s="139">
        <f t="shared" si="2"/>
        <v>138.80000000000001</v>
      </c>
      <c r="V71" s="112" t="s">
        <v>36</v>
      </c>
      <c r="W71" s="66" t="s">
        <v>5</v>
      </c>
      <c r="X71" s="83" t="s">
        <v>18</v>
      </c>
      <c r="Y71" s="180"/>
      <c r="Z71" s="181"/>
      <c r="AA71" s="2"/>
      <c r="AB71" s="2"/>
    </row>
    <row r="72" spans="1:28" s="161" customFormat="1" ht="14.1" customHeight="1" x14ac:dyDescent="0.3">
      <c r="A72" s="98" t="s">
        <v>44</v>
      </c>
      <c r="B72" s="3" t="s">
        <v>129</v>
      </c>
      <c r="C72" s="4" t="s">
        <v>174</v>
      </c>
      <c r="D72" s="70">
        <v>8260261</v>
      </c>
      <c r="E72" s="136">
        <v>44069</v>
      </c>
      <c r="F72" s="48" t="s">
        <v>45</v>
      </c>
      <c r="G72" s="79">
        <v>44069</v>
      </c>
      <c r="H72" s="46"/>
      <c r="I72" s="28"/>
      <c r="J72" s="28"/>
      <c r="K72" s="28"/>
      <c r="L72" s="28"/>
      <c r="M72" s="46"/>
      <c r="N72" s="28"/>
      <c r="O72" s="46"/>
      <c r="P72" s="7">
        <v>180</v>
      </c>
      <c r="Q72" s="47">
        <v>90</v>
      </c>
      <c r="R72" s="46"/>
      <c r="S72" s="47"/>
      <c r="T72" s="32"/>
      <c r="U72" s="71">
        <f t="shared" si="2"/>
        <v>270</v>
      </c>
      <c r="V72" s="82" t="s">
        <v>7</v>
      </c>
      <c r="W72" s="2" t="s">
        <v>44</v>
      </c>
      <c r="X72" s="83" t="s">
        <v>18</v>
      </c>
      <c r="Y72" s="180"/>
      <c r="Z72" s="181"/>
      <c r="AA72" s="2"/>
      <c r="AB72" s="2"/>
    </row>
    <row r="73" spans="1:28" ht="13.5" customHeight="1" x14ac:dyDescent="0.3">
      <c r="A73" s="382" t="s">
        <v>44</v>
      </c>
      <c r="B73" s="3" t="s">
        <v>274</v>
      </c>
      <c r="C73" s="4" t="s">
        <v>275</v>
      </c>
      <c r="D73" s="48">
        <v>8260293</v>
      </c>
      <c r="E73" s="136">
        <v>44069</v>
      </c>
      <c r="F73" s="48" t="s">
        <v>21</v>
      </c>
      <c r="G73" s="218">
        <v>44069</v>
      </c>
      <c r="H73" s="46"/>
      <c r="I73" s="46"/>
      <c r="J73" s="46"/>
      <c r="K73" s="46"/>
      <c r="L73" s="46"/>
      <c r="M73" s="46"/>
      <c r="N73" s="46"/>
      <c r="O73" s="46"/>
      <c r="P73" s="7"/>
      <c r="Q73" s="387"/>
      <c r="R73" s="46">
        <v>49.95</v>
      </c>
      <c r="S73" s="387"/>
      <c r="T73" s="389">
        <v>4.62</v>
      </c>
      <c r="U73" s="71">
        <f t="shared" si="2"/>
        <v>54.57</v>
      </c>
      <c r="V73" s="82" t="s">
        <v>36</v>
      </c>
      <c r="W73" s="2" t="s">
        <v>93</v>
      </c>
      <c r="X73" s="83" t="s">
        <v>321</v>
      </c>
      <c r="Y73" s="180"/>
      <c r="Z73" s="181"/>
      <c r="AA73" s="2"/>
      <c r="AB73" s="2"/>
    </row>
    <row r="74" spans="1:28" s="161" customFormat="1" ht="14.1" customHeight="1" x14ac:dyDescent="0.3">
      <c r="A74" s="98" t="s">
        <v>44</v>
      </c>
      <c r="B74" s="3" t="s">
        <v>137</v>
      </c>
      <c r="C74" s="383"/>
      <c r="D74" s="70">
        <v>8270261</v>
      </c>
      <c r="E74" s="136">
        <v>44070</v>
      </c>
      <c r="F74" s="48" t="s">
        <v>21</v>
      </c>
      <c r="G74" s="79">
        <v>44070</v>
      </c>
      <c r="H74" s="28"/>
      <c r="I74" s="28"/>
      <c r="J74" s="28"/>
      <c r="K74" s="28"/>
      <c r="L74" s="28"/>
      <c r="M74" s="28"/>
      <c r="N74" s="28"/>
      <c r="O74" s="46"/>
      <c r="P74" s="7"/>
      <c r="Q74" s="47"/>
      <c r="R74" s="46">
        <v>69</v>
      </c>
      <c r="S74" s="47"/>
      <c r="T74" s="32">
        <v>5.87</v>
      </c>
      <c r="U74" s="71">
        <f t="shared" si="2"/>
        <v>74.87</v>
      </c>
      <c r="V74" s="82" t="s">
        <v>7</v>
      </c>
      <c r="W74" s="2" t="s">
        <v>44</v>
      </c>
      <c r="X74" s="83" t="s">
        <v>18</v>
      </c>
      <c r="Y74" s="180"/>
      <c r="Z74" s="181"/>
      <c r="AA74" s="2"/>
      <c r="AB74" s="2"/>
    </row>
    <row r="75" spans="1:28" s="161" customFormat="1" ht="13.5" customHeight="1" thickBot="1" x14ac:dyDescent="0.35">
      <c r="A75" s="98" t="s">
        <v>44</v>
      </c>
      <c r="B75" s="3" t="s">
        <v>202</v>
      </c>
      <c r="C75" s="4"/>
      <c r="D75" s="70">
        <v>8280261</v>
      </c>
      <c r="E75" s="136">
        <v>44071</v>
      </c>
      <c r="F75" s="48" t="s">
        <v>45</v>
      </c>
      <c r="G75" s="79">
        <v>44071</v>
      </c>
      <c r="H75" s="46"/>
      <c r="I75" s="28"/>
      <c r="J75" s="28"/>
      <c r="K75" s="28"/>
      <c r="L75" s="28"/>
      <c r="M75" s="46"/>
      <c r="N75" s="28"/>
      <c r="O75" s="46"/>
      <c r="P75" s="7">
        <v>180</v>
      </c>
      <c r="Q75" s="47">
        <v>90</v>
      </c>
      <c r="R75" s="46"/>
      <c r="S75" s="47"/>
      <c r="T75" s="32"/>
      <c r="U75" s="71">
        <f t="shared" si="2"/>
        <v>270</v>
      </c>
      <c r="V75" s="82" t="s">
        <v>7</v>
      </c>
      <c r="W75" s="2" t="s">
        <v>44</v>
      </c>
      <c r="X75" s="83" t="s">
        <v>18</v>
      </c>
      <c r="Y75" s="180"/>
      <c r="Z75" s="181"/>
      <c r="AA75" s="2"/>
      <c r="AB75" s="2"/>
    </row>
    <row r="76" spans="1:28" s="161" customFormat="1" ht="13.5" customHeight="1" thickBot="1" x14ac:dyDescent="0.35">
      <c r="A76" s="182" t="s">
        <v>44</v>
      </c>
      <c r="B76" s="183" t="s">
        <v>280</v>
      </c>
      <c r="C76" s="184" t="s">
        <v>245</v>
      </c>
      <c r="D76" s="184">
        <v>8280297</v>
      </c>
      <c r="E76" s="185">
        <v>44071</v>
      </c>
      <c r="F76" s="184" t="s">
        <v>45</v>
      </c>
      <c r="G76" s="186">
        <v>44071</v>
      </c>
      <c r="H76" s="68"/>
      <c r="I76" s="68"/>
      <c r="J76" s="68"/>
      <c r="K76" s="68"/>
      <c r="L76" s="68"/>
      <c r="M76" s="68"/>
      <c r="N76" s="68"/>
      <c r="O76" s="68"/>
      <c r="P76" s="68">
        <v>180</v>
      </c>
      <c r="Q76" s="68">
        <v>90</v>
      </c>
      <c r="R76" s="68"/>
      <c r="S76" s="68"/>
      <c r="T76" s="187"/>
      <c r="U76" s="393">
        <f t="shared" si="2"/>
        <v>270</v>
      </c>
      <c r="V76" s="182" t="s">
        <v>7</v>
      </c>
      <c r="W76" s="45" t="s">
        <v>44</v>
      </c>
      <c r="X76" s="45" t="s">
        <v>298</v>
      </c>
      <c r="Y76" s="334"/>
      <c r="Z76" s="181"/>
      <c r="AA76" s="2"/>
      <c r="AB76" s="2"/>
    </row>
    <row r="77" spans="1:28" s="161" customFormat="1" ht="13.5" customHeight="1" x14ac:dyDescent="0.3">
      <c r="A77" s="102" t="s">
        <v>32</v>
      </c>
      <c r="B77" s="189" t="s">
        <v>113</v>
      </c>
      <c r="C77" s="190" t="s">
        <v>116</v>
      </c>
      <c r="D77" s="104">
        <v>6050303</v>
      </c>
      <c r="E77" s="141">
        <v>43987</v>
      </c>
      <c r="F77" s="43" t="s">
        <v>198</v>
      </c>
      <c r="G77" s="191">
        <v>43987</v>
      </c>
      <c r="H77" s="58"/>
      <c r="I77" s="60"/>
      <c r="J77" s="60"/>
      <c r="K77" s="60"/>
      <c r="L77" s="60"/>
      <c r="M77" s="58"/>
      <c r="N77" s="60"/>
      <c r="O77" s="58">
        <v>75</v>
      </c>
      <c r="P77" s="192"/>
      <c r="Q77" s="57">
        <v>12</v>
      </c>
      <c r="R77" s="58"/>
      <c r="S77" s="57"/>
      <c r="T77" s="59">
        <v>6.38</v>
      </c>
      <c r="U77" s="138">
        <f t="shared" si="2"/>
        <v>93.38</v>
      </c>
      <c r="V77" s="113" t="s">
        <v>36</v>
      </c>
      <c r="W77" s="67" t="s">
        <v>5</v>
      </c>
      <c r="X77" s="83" t="s">
        <v>326</v>
      </c>
      <c r="Y77" s="272"/>
      <c r="Z77" s="2"/>
      <c r="AA77" s="2"/>
      <c r="AB77" s="2"/>
    </row>
    <row r="78" spans="1:28" s="161" customFormat="1" ht="14.1" customHeight="1" thickBot="1" x14ac:dyDescent="0.35">
      <c r="A78" s="102" t="s">
        <v>32</v>
      </c>
      <c r="B78" s="189" t="s">
        <v>92</v>
      </c>
      <c r="C78" s="190"/>
      <c r="D78" s="104">
        <v>6120303</v>
      </c>
      <c r="E78" s="141">
        <v>43994</v>
      </c>
      <c r="F78" s="43" t="s">
        <v>134</v>
      </c>
      <c r="G78" s="191">
        <v>43994</v>
      </c>
      <c r="H78" s="58"/>
      <c r="I78" s="60"/>
      <c r="J78" s="60"/>
      <c r="K78" s="60"/>
      <c r="L78" s="60"/>
      <c r="M78" s="58"/>
      <c r="N78" s="60"/>
      <c r="O78" s="58">
        <v>300</v>
      </c>
      <c r="P78" s="192"/>
      <c r="Q78" s="57"/>
      <c r="R78" s="58"/>
      <c r="S78" s="57"/>
      <c r="T78" s="59">
        <v>25.5</v>
      </c>
      <c r="U78" s="138">
        <f t="shared" si="2"/>
        <v>325.5</v>
      </c>
      <c r="V78" s="113" t="s">
        <v>7</v>
      </c>
      <c r="W78" s="67" t="s">
        <v>32</v>
      </c>
      <c r="X78" s="83" t="s">
        <v>326</v>
      </c>
      <c r="Y78" s="272"/>
      <c r="Z78" s="2"/>
      <c r="AA78" s="2"/>
      <c r="AB78" s="2"/>
    </row>
    <row r="79" spans="1:28" s="161" customFormat="1" ht="14.1" customHeight="1" thickBot="1" x14ac:dyDescent="0.35">
      <c r="A79" s="98" t="s">
        <v>32</v>
      </c>
      <c r="B79" s="3" t="s">
        <v>252</v>
      </c>
      <c r="C79" s="4"/>
      <c r="D79" s="70">
        <v>8270061</v>
      </c>
      <c r="E79" s="136">
        <v>44070</v>
      </c>
      <c r="F79" s="48" t="s">
        <v>45</v>
      </c>
      <c r="G79" s="79">
        <v>44070</v>
      </c>
      <c r="H79" s="46"/>
      <c r="I79" s="28"/>
      <c r="J79" s="28"/>
      <c r="K79" s="28"/>
      <c r="L79" s="28"/>
      <c r="M79" s="46"/>
      <c r="N79" s="28"/>
      <c r="O79" s="46"/>
      <c r="P79" s="7"/>
      <c r="Q79" s="47">
        <v>90</v>
      </c>
      <c r="R79" s="46"/>
      <c r="S79" s="47"/>
      <c r="T79" s="32"/>
      <c r="U79" s="71">
        <f t="shared" si="2"/>
        <v>90</v>
      </c>
      <c r="V79" s="82" t="s">
        <v>7</v>
      </c>
      <c r="W79" s="2" t="s">
        <v>32</v>
      </c>
      <c r="X79" s="188" t="s">
        <v>18</v>
      </c>
      <c r="Y79" s="180"/>
      <c r="Z79" s="181"/>
      <c r="AA79" s="2"/>
      <c r="AB79" s="2"/>
    </row>
    <row r="80" spans="1:28" s="161" customFormat="1" ht="14.1" customHeight="1" x14ac:dyDescent="0.3">
      <c r="A80" s="102" t="s">
        <v>78</v>
      </c>
      <c r="B80" s="189" t="s">
        <v>86</v>
      </c>
      <c r="C80" s="190">
        <v>2304</v>
      </c>
      <c r="D80" s="104">
        <v>9069201</v>
      </c>
      <c r="E80" s="141">
        <v>43714</v>
      </c>
      <c r="F80" s="43" t="s">
        <v>45</v>
      </c>
      <c r="G80" s="154">
        <v>43714</v>
      </c>
      <c r="H80" s="325"/>
      <c r="I80" s="60"/>
      <c r="J80" s="60"/>
      <c r="K80" s="60"/>
      <c r="L80" s="60"/>
      <c r="M80" s="58"/>
      <c r="N80" s="60"/>
      <c r="O80" s="58">
        <v>170</v>
      </c>
      <c r="P80" s="155">
        <v>120</v>
      </c>
      <c r="Q80" s="57">
        <v>60</v>
      </c>
      <c r="R80" s="58"/>
      <c r="S80" s="57"/>
      <c r="T80" s="60">
        <v>14.45</v>
      </c>
      <c r="U80" s="138">
        <f t="shared" si="2"/>
        <v>364.45</v>
      </c>
      <c r="V80" s="335" t="s">
        <v>7</v>
      </c>
      <c r="W80" s="150" t="s">
        <v>74</v>
      </c>
      <c r="X80" s="83" t="s">
        <v>326</v>
      </c>
      <c r="Y80" s="181"/>
      <c r="Z80" s="180"/>
      <c r="AA80" s="181"/>
      <c r="AB80" s="2"/>
    </row>
    <row r="81" spans="1:28" s="161" customFormat="1" ht="14.1" customHeight="1" x14ac:dyDescent="0.3">
      <c r="A81" s="100" t="s">
        <v>78</v>
      </c>
      <c r="B81" s="105" t="s">
        <v>192</v>
      </c>
      <c r="C81" s="140" t="s">
        <v>225</v>
      </c>
      <c r="D81" s="144">
        <v>8140305</v>
      </c>
      <c r="E81" s="143">
        <v>44057</v>
      </c>
      <c r="F81" s="44" t="s">
        <v>234</v>
      </c>
      <c r="G81" s="108">
        <v>44057</v>
      </c>
      <c r="H81" s="50"/>
      <c r="I81" s="52"/>
      <c r="J81" s="52"/>
      <c r="K81" s="52"/>
      <c r="L81" s="52"/>
      <c r="M81" s="50"/>
      <c r="N81" s="52"/>
      <c r="O81" s="50">
        <v>-95</v>
      </c>
      <c r="P81" s="166"/>
      <c r="Q81" s="49"/>
      <c r="R81" s="50"/>
      <c r="S81" s="49"/>
      <c r="T81" s="51">
        <v>-9.0299999999999994</v>
      </c>
      <c r="U81" s="139">
        <f t="shared" si="2"/>
        <v>-104.03</v>
      </c>
      <c r="V81" s="112" t="s">
        <v>235</v>
      </c>
      <c r="W81" s="66" t="s">
        <v>5</v>
      </c>
      <c r="X81" s="83" t="s">
        <v>326</v>
      </c>
      <c r="Y81" s="180"/>
      <c r="Z81" s="181"/>
      <c r="AA81" s="2"/>
      <c r="AB81" s="2"/>
    </row>
    <row r="82" spans="1:28" s="161" customFormat="1" ht="14.1" customHeight="1" x14ac:dyDescent="0.3">
      <c r="A82" s="102" t="s">
        <v>8</v>
      </c>
      <c r="B82" s="189" t="s">
        <v>110</v>
      </c>
      <c r="C82" s="190"/>
      <c r="D82" s="104">
        <v>4299012</v>
      </c>
      <c r="E82" s="141">
        <v>43584</v>
      </c>
      <c r="F82" s="43" t="s">
        <v>45</v>
      </c>
      <c r="G82" s="154">
        <v>43584</v>
      </c>
      <c r="H82" s="58"/>
      <c r="I82" s="60"/>
      <c r="J82" s="60"/>
      <c r="K82" s="60"/>
      <c r="L82" s="60"/>
      <c r="M82" s="58"/>
      <c r="N82" s="60"/>
      <c r="O82" s="58"/>
      <c r="P82" s="192">
        <v>180</v>
      </c>
      <c r="Q82" s="57">
        <v>90</v>
      </c>
      <c r="R82" s="58"/>
      <c r="S82" s="57"/>
      <c r="T82" s="59"/>
      <c r="U82" s="138">
        <f t="shared" si="2"/>
        <v>270</v>
      </c>
      <c r="V82" s="113" t="s">
        <v>7</v>
      </c>
      <c r="W82" s="158" t="s">
        <v>35</v>
      </c>
      <c r="X82" s="83" t="s">
        <v>143</v>
      </c>
      <c r="Y82" s="272"/>
      <c r="Z82" s="2"/>
      <c r="AA82" s="2"/>
      <c r="AB82" s="2"/>
    </row>
    <row r="83" spans="1:28" s="161" customFormat="1" ht="14.1" customHeight="1" x14ac:dyDescent="0.3">
      <c r="A83" s="101" t="s">
        <v>8</v>
      </c>
      <c r="B83" s="169" t="s">
        <v>209</v>
      </c>
      <c r="C83" s="170"/>
      <c r="D83" s="103">
        <v>6220051</v>
      </c>
      <c r="E83" s="142">
        <v>44004</v>
      </c>
      <c r="F83" s="99" t="s">
        <v>51</v>
      </c>
      <c r="G83" s="171">
        <v>44004</v>
      </c>
      <c r="H83" s="54"/>
      <c r="I83" s="56"/>
      <c r="J83" s="56"/>
      <c r="K83" s="56"/>
      <c r="L83" s="56"/>
      <c r="M83" s="54">
        <v>990</v>
      </c>
      <c r="N83" s="56"/>
      <c r="O83" s="54"/>
      <c r="P83" s="173"/>
      <c r="Q83" s="53"/>
      <c r="R83" s="54"/>
      <c r="S83" s="53"/>
      <c r="T83" s="55"/>
      <c r="U83" s="145">
        <f t="shared" si="2"/>
        <v>990</v>
      </c>
      <c r="V83" s="111" t="s">
        <v>7</v>
      </c>
      <c r="W83" s="172" t="s">
        <v>8</v>
      </c>
      <c r="X83" s="372" t="s">
        <v>391</v>
      </c>
      <c r="Y83" s="228"/>
      <c r="Z83" s="371"/>
      <c r="AA83" s="371"/>
      <c r="AB83" s="371"/>
    </row>
    <row r="84" spans="1:28" s="161" customFormat="1" ht="14.1" customHeight="1" thickBot="1" x14ac:dyDescent="0.35">
      <c r="A84" s="102" t="s">
        <v>8</v>
      </c>
      <c r="B84" s="150" t="s">
        <v>213</v>
      </c>
      <c r="C84" s="153"/>
      <c r="D84" s="104">
        <v>6060052</v>
      </c>
      <c r="E84" s="141">
        <v>43988</v>
      </c>
      <c r="F84" s="43" t="s">
        <v>51</v>
      </c>
      <c r="G84" s="154">
        <v>43988</v>
      </c>
      <c r="H84" s="58"/>
      <c r="I84" s="60"/>
      <c r="J84" s="60"/>
      <c r="K84" s="60"/>
      <c r="L84" s="60"/>
      <c r="M84" s="58">
        <v>500</v>
      </c>
      <c r="N84" s="60">
        <v>2492</v>
      </c>
      <c r="O84" s="58"/>
      <c r="P84" s="155"/>
      <c r="Q84" s="57"/>
      <c r="R84" s="58"/>
      <c r="S84" s="57"/>
      <c r="T84" s="59"/>
      <c r="U84" s="138">
        <f t="shared" si="2"/>
        <v>2992</v>
      </c>
      <c r="V84" s="113" t="s">
        <v>7</v>
      </c>
      <c r="W84" s="67" t="s">
        <v>8</v>
      </c>
      <c r="X84" s="372" t="s">
        <v>367</v>
      </c>
      <c r="Y84" s="228"/>
      <c r="Z84" s="371"/>
      <c r="AA84" s="371"/>
      <c r="AB84" s="371"/>
    </row>
    <row r="85" spans="1:28" s="161" customFormat="1" ht="14.1" customHeight="1" thickBot="1" x14ac:dyDescent="0.35">
      <c r="A85" s="100" t="s">
        <v>8</v>
      </c>
      <c r="B85" s="105" t="s">
        <v>126</v>
      </c>
      <c r="C85" s="140" t="s">
        <v>211</v>
      </c>
      <c r="D85" s="144">
        <v>7290251</v>
      </c>
      <c r="E85" s="143">
        <v>44041</v>
      </c>
      <c r="F85" s="44" t="s">
        <v>45</v>
      </c>
      <c r="G85" s="108">
        <v>44041</v>
      </c>
      <c r="H85" s="50"/>
      <c r="I85" s="52"/>
      <c r="J85" s="52"/>
      <c r="K85" s="52"/>
      <c r="L85" s="52"/>
      <c r="M85" s="50"/>
      <c r="N85" s="52"/>
      <c r="O85" s="50"/>
      <c r="P85" s="166">
        <v>90</v>
      </c>
      <c r="Q85" s="49"/>
      <c r="R85" s="50"/>
      <c r="S85" s="49"/>
      <c r="T85" s="51"/>
      <c r="U85" s="139">
        <f t="shared" si="2"/>
        <v>90</v>
      </c>
      <c r="V85" s="112" t="s">
        <v>7</v>
      </c>
      <c r="W85" s="66" t="s">
        <v>8</v>
      </c>
      <c r="X85" s="311" t="s">
        <v>79</v>
      </c>
      <c r="Y85" s="180"/>
      <c r="Z85" s="2"/>
      <c r="AA85" s="2"/>
      <c r="AB85" s="2"/>
    </row>
    <row r="86" spans="1:28" s="161" customFormat="1" ht="14.1" customHeight="1" thickBot="1" x14ac:dyDescent="0.35">
      <c r="A86" s="100" t="s">
        <v>8</v>
      </c>
      <c r="B86" s="105" t="s">
        <v>130</v>
      </c>
      <c r="C86" s="140"/>
      <c r="D86" s="144">
        <v>8010053</v>
      </c>
      <c r="E86" s="143">
        <v>44044</v>
      </c>
      <c r="F86" s="44" t="s">
        <v>141</v>
      </c>
      <c r="G86" s="108">
        <v>44044</v>
      </c>
      <c r="H86" s="50"/>
      <c r="I86" s="52"/>
      <c r="J86" s="52"/>
      <c r="K86" s="52"/>
      <c r="L86" s="52"/>
      <c r="M86" s="50"/>
      <c r="N86" s="52">
        <v>275</v>
      </c>
      <c r="O86" s="50"/>
      <c r="P86" s="166"/>
      <c r="Q86" s="49"/>
      <c r="R86" s="50"/>
      <c r="S86" s="49"/>
      <c r="T86" s="51"/>
      <c r="U86" s="139">
        <f t="shared" si="2"/>
        <v>275</v>
      </c>
      <c r="V86" s="112" t="s">
        <v>29</v>
      </c>
      <c r="W86" s="66" t="s">
        <v>8</v>
      </c>
      <c r="X86" s="188" t="s">
        <v>18</v>
      </c>
      <c r="Y86" s="180"/>
      <c r="Z86" s="181"/>
      <c r="AA86" s="2"/>
      <c r="AB86" s="2"/>
    </row>
    <row r="87" spans="1:28" s="161" customFormat="1" ht="14.1" customHeight="1" thickBot="1" x14ac:dyDescent="0.35">
      <c r="A87" s="152" t="s">
        <v>8</v>
      </c>
      <c r="B87" s="105" t="s">
        <v>227</v>
      </c>
      <c r="C87" s="140"/>
      <c r="D87" s="144">
        <v>8100053</v>
      </c>
      <c r="E87" s="143">
        <v>44053</v>
      </c>
      <c r="F87" s="44" t="s">
        <v>51</v>
      </c>
      <c r="G87" s="108">
        <v>44053</v>
      </c>
      <c r="H87" s="50"/>
      <c r="I87" s="50"/>
      <c r="J87" s="50"/>
      <c r="K87" s="50"/>
      <c r="L87" s="50"/>
      <c r="M87" s="50">
        <v>500</v>
      </c>
      <c r="N87" s="50"/>
      <c r="O87" s="50"/>
      <c r="P87" s="166"/>
      <c r="Q87" s="157"/>
      <c r="R87" s="50"/>
      <c r="S87" s="157"/>
      <c r="T87" s="379"/>
      <c r="U87" s="139">
        <f t="shared" si="2"/>
        <v>500</v>
      </c>
      <c r="V87" s="112" t="s">
        <v>29</v>
      </c>
      <c r="W87" s="66" t="s">
        <v>8</v>
      </c>
      <c r="X87" s="83" t="s">
        <v>18</v>
      </c>
      <c r="Y87" s="180"/>
      <c r="Z87" s="181"/>
      <c r="AA87" s="2"/>
      <c r="AB87" s="2"/>
    </row>
    <row r="88" spans="1:28" s="161" customFormat="1" ht="13.5" customHeight="1" thickBot="1" x14ac:dyDescent="0.35">
      <c r="A88" s="182" t="s">
        <v>8</v>
      </c>
      <c r="B88" s="183" t="s">
        <v>246</v>
      </c>
      <c r="C88" s="184"/>
      <c r="D88" s="184">
        <v>8060011</v>
      </c>
      <c r="E88" s="185">
        <v>44049</v>
      </c>
      <c r="F88" s="184" t="s">
        <v>236</v>
      </c>
      <c r="G88" s="186">
        <v>44063</v>
      </c>
      <c r="H88" s="68">
        <v>1495</v>
      </c>
      <c r="I88" s="68"/>
      <c r="J88" s="68">
        <v>360</v>
      </c>
      <c r="K88" s="68"/>
      <c r="L88" s="68"/>
      <c r="M88" s="68"/>
      <c r="N88" s="68"/>
      <c r="O88" s="68"/>
      <c r="P88" s="68"/>
      <c r="Q88" s="68"/>
      <c r="R88" s="68"/>
      <c r="S88" s="68"/>
      <c r="T88" s="187">
        <v>108.39</v>
      </c>
      <c r="U88" s="393">
        <f t="shared" si="2"/>
        <v>1963.39</v>
      </c>
      <c r="V88" s="182" t="s">
        <v>7</v>
      </c>
      <c r="W88" s="45" t="s">
        <v>32</v>
      </c>
      <c r="X88" s="45" t="s">
        <v>18</v>
      </c>
      <c r="Y88" s="334"/>
      <c r="Z88" s="181"/>
      <c r="AA88" s="2"/>
      <c r="AB88" s="2"/>
    </row>
    <row r="89" spans="1:28" s="2" customFormat="1" ht="14.1" customHeight="1" x14ac:dyDescent="0.3">
      <c r="A89" s="98" t="s">
        <v>253</v>
      </c>
      <c r="B89" s="3" t="s">
        <v>217</v>
      </c>
      <c r="C89" s="4" t="s">
        <v>254</v>
      </c>
      <c r="D89" s="70">
        <v>8240053</v>
      </c>
      <c r="E89" s="136">
        <v>44067</v>
      </c>
      <c r="F89" s="48" t="s">
        <v>51</v>
      </c>
      <c r="G89" s="79">
        <v>44067</v>
      </c>
      <c r="H89" s="46"/>
      <c r="I89" s="28"/>
      <c r="J89" s="28"/>
      <c r="K89" s="28"/>
      <c r="L89" s="28"/>
      <c r="M89" s="46">
        <v>600</v>
      </c>
      <c r="N89" s="28"/>
      <c r="O89" s="46"/>
      <c r="P89" s="7"/>
      <c r="Q89" s="47"/>
      <c r="R89" s="46"/>
      <c r="S89" s="47"/>
      <c r="T89" s="32"/>
      <c r="U89" s="71">
        <f t="shared" si="2"/>
        <v>600</v>
      </c>
      <c r="V89" s="82" t="s">
        <v>29</v>
      </c>
      <c r="W89" s="2" t="s">
        <v>255</v>
      </c>
      <c r="X89" s="83" t="s">
        <v>18</v>
      </c>
      <c r="Y89" s="180"/>
      <c r="Z89" s="181"/>
    </row>
    <row r="90" spans="1:28" s="2" customFormat="1" ht="14.1" customHeight="1" x14ac:dyDescent="0.3">
      <c r="A90" s="98" t="s">
        <v>253</v>
      </c>
      <c r="B90" s="3" t="s">
        <v>217</v>
      </c>
      <c r="C90" s="4" t="s">
        <v>256</v>
      </c>
      <c r="D90" s="70">
        <v>8240052</v>
      </c>
      <c r="E90" s="136">
        <v>44067</v>
      </c>
      <c r="F90" s="48" t="s">
        <v>51</v>
      </c>
      <c r="G90" s="79">
        <v>44067</v>
      </c>
      <c r="H90" s="46"/>
      <c r="I90" s="28"/>
      <c r="J90" s="28"/>
      <c r="K90" s="28"/>
      <c r="L90" s="28"/>
      <c r="M90" s="46">
        <v>600</v>
      </c>
      <c r="N90" s="28"/>
      <c r="O90" s="46"/>
      <c r="P90" s="7"/>
      <c r="Q90" s="47"/>
      <c r="R90" s="46"/>
      <c r="S90" s="47"/>
      <c r="T90" s="32"/>
      <c r="U90" s="71">
        <f t="shared" si="2"/>
        <v>600</v>
      </c>
      <c r="V90" s="82" t="s">
        <v>29</v>
      </c>
      <c r="W90" s="2" t="s">
        <v>32</v>
      </c>
      <c r="X90" s="83" t="s">
        <v>18</v>
      </c>
      <c r="Y90" s="180"/>
      <c r="Z90" s="181"/>
    </row>
    <row r="91" spans="1:28" s="2" customFormat="1" ht="14.1" customHeight="1" x14ac:dyDescent="0.3">
      <c r="A91" s="102" t="s">
        <v>5</v>
      </c>
      <c r="B91" s="189" t="s">
        <v>53</v>
      </c>
      <c r="C91" s="190"/>
      <c r="D91" s="104">
        <v>2100061</v>
      </c>
      <c r="E91" s="141">
        <v>43871</v>
      </c>
      <c r="F91" s="43" t="s">
        <v>21</v>
      </c>
      <c r="G91" s="191">
        <v>43871</v>
      </c>
      <c r="H91" s="58"/>
      <c r="I91" s="60"/>
      <c r="J91" s="60"/>
      <c r="K91" s="60"/>
      <c r="L91" s="60"/>
      <c r="M91" s="58"/>
      <c r="N91" s="60"/>
      <c r="O91" s="58"/>
      <c r="P91" s="192"/>
      <c r="Q91" s="57"/>
      <c r="R91" s="58">
        <v>259.5</v>
      </c>
      <c r="S91" s="57"/>
      <c r="T91" s="59">
        <v>22.06</v>
      </c>
      <c r="U91" s="138">
        <f t="shared" si="2"/>
        <v>281.56</v>
      </c>
      <c r="V91" s="113" t="s">
        <v>36</v>
      </c>
      <c r="W91" s="158" t="s">
        <v>80</v>
      </c>
      <c r="X91" s="83" t="s">
        <v>312</v>
      </c>
      <c r="Y91" s="272"/>
    </row>
    <row r="92" spans="1:28" s="2" customFormat="1" ht="14.1" customHeight="1" thickBot="1" x14ac:dyDescent="0.35">
      <c r="A92" s="102" t="s">
        <v>5</v>
      </c>
      <c r="B92" s="189" t="s">
        <v>175</v>
      </c>
      <c r="C92" s="190"/>
      <c r="D92" s="104">
        <v>2280061</v>
      </c>
      <c r="E92" s="141">
        <v>43889</v>
      </c>
      <c r="F92" s="43" t="s">
        <v>21</v>
      </c>
      <c r="G92" s="191">
        <v>43889</v>
      </c>
      <c r="H92" s="58"/>
      <c r="I92" s="60"/>
      <c r="J92" s="60"/>
      <c r="K92" s="60"/>
      <c r="L92" s="60"/>
      <c r="M92" s="58"/>
      <c r="N92" s="60"/>
      <c r="O92" s="58"/>
      <c r="P92" s="192"/>
      <c r="Q92" s="57"/>
      <c r="R92" s="58">
        <v>212</v>
      </c>
      <c r="S92" s="57"/>
      <c r="T92" s="59">
        <v>20.14</v>
      </c>
      <c r="U92" s="138">
        <f t="shared" si="2"/>
        <v>232.14</v>
      </c>
      <c r="V92" s="113" t="s">
        <v>43</v>
      </c>
      <c r="W92" s="158" t="s">
        <v>5</v>
      </c>
      <c r="X92" s="83" t="s">
        <v>176</v>
      </c>
      <c r="Y92" s="272"/>
    </row>
    <row r="93" spans="1:28" s="2" customFormat="1" ht="14.1" customHeight="1" thickBot="1" x14ac:dyDescent="0.35">
      <c r="A93" s="102" t="s">
        <v>5</v>
      </c>
      <c r="B93" s="189" t="s">
        <v>117</v>
      </c>
      <c r="C93" s="190" t="s">
        <v>184</v>
      </c>
      <c r="D93" s="104">
        <v>4200101</v>
      </c>
      <c r="E93" s="141">
        <v>43941</v>
      </c>
      <c r="F93" s="43" t="s">
        <v>21</v>
      </c>
      <c r="G93" s="191">
        <v>43941</v>
      </c>
      <c r="H93" s="58"/>
      <c r="I93" s="60"/>
      <c r="J93" s="60"/>
      <c r="K93" s="60"/>
      <c r="L93" s="60"/>
      <c r="M93" s="58"/>
      <c r="N93" s="60"/>
      <c r="O93" s="58"/>
      <c r="P93" s="192"/>
      <c r="Q93" s="57"/>
      <c r="R93" s="58">
        <v>153</v>
      </c>
      <c r="S93" s="57"/>
      <c r="T93" s="59">
        <v>13.01</v>
      </c>
      <c r="U93" s="138">
        <f t="shared" si="2"/>
        <v>166.01</v>
      </c>
      <c r="V93" s="113" t="s">
        <v>36</v>
      </c>
      <c r="W93" s="67" t="s">
        <v>5</v>
      </c>
      <c r="X93" s="188" t="s">
        <v>312</v>
      </c>
      <c r="Y93" s="272"/>
    </row>
    <row r="94" spans="1:28" s="2" customFormat="1" ht="14.1" customHeight="1" x14ac:dyDescent="0.3">
      <c r="A94" s="102" t="s">
        <v>5</v>
      </c>
      <c r="B94" s="189" t="s">
        <v>189</v>
      </c>
      <c r="C94" s="190"/>
      <c r="D94" s="104">
        <v>5150057</v>
      </c>
      <c r="E94" s="141">
        <v>43966</v>
      </c>
      <c r="F94" s="43" t="s">
        <v>51</v>
      </c>
      <c r="G94" s="191">
        <v>43966</v>
      </c>
      <c r="H94" s="58"/>
      <c r="I94" s="60"/>
      <c r="J94" s="60"/>
      <c r="K94" s="60"/>
      <c r="L94" s="60"/>
      <c r="M94" s="58">
        <v>600</v>
      </c>
      <c r="N94" s="60"/>
      <c r="O94" s="58"/>
      <c r="P94" s="192"/>
      <c r="Q94" s="57"/>
      <c r="R94" s="58"/>
      <c r="S94" s="57"/>
      <c r="T94" s="59"/>
      <c r="U94" s="138">
        <f t="shared" si="2"/>
        <v>600</v>
      </c>
      <c r="V94" s="113" t="s">
        <v>29</v>
      </c>
      <c r="W94" s="67" t="s">
        <v>32</v>
      </c>
      <c r="X94" s="333" t="s">
        <v>79</v>
      </c>
      <c r="Y94" s="312"/>
    </row>
    <row r="95" spans="1:28" s="2" customFormat="1" ht="14.1" customHeight="1" x14ac:dyDescent="0.3">
      <c r="A95" s="102" t="s">
        <v>5</v>
      </c>
      <c r="B95" s="189" t="s">
        <v>189</v>
      </c>
      <c r="C95" s="190"/>
      <c r="D95" s="104">
        <v>6150056</v>
      </c>
      <c r="E95" s="141">
        <v>43997</v>
      </c>
      <c r="F95" s="43" t="s">
        <v>51</v>
      </c>
      <c r="G95" s="191">
        <v>43997</v>
      </c>
      <c r="H95" s="58"/>
      <c r="I95" s="60"/>
      <c r="J95" s="60"/>
      <c r="K95" s="60"/>
      <c r="L95" s="60"/>
      <c r="M95" s="58">
        <v>900</v>
      </c>
      <c r="N95" s="60"/>
      <c r="O95" s="58"/>
      <c r="P95" s="192"/>
      <c r="Q95" s="57"/>
      <c r="R95" s="58"/>
      <c r="S95" s="57"/>
      <c r="T95" s="59"/>
      <c r="U95" s="138">
        <f t="shared" si="2"/>
        <v>900</v>
      </c>
      <c r="V95" s="113" t="s">
        <v>29</v>
      </c>
      <c r="W95" s="67" t="s">
        <v>32</v>
      </c>
      <c r="X95" s="437" t="s">
        <v>79</v>
      </c>
      <c r="Y95" s="433"/>
      <c r="Z95" s="67"/>
      <c r="AA95" s="67"/>
      <c r="AB95" s="67"/>
    </row>
    <row r="96" spans="1:28" s="2" customFormat="1" ht="14.1" customHeight="1" x14ac:dyDescent="0.3">
      <c r="A96" s="101" t="s">
        <v>5</v>
      </c>
      <c r="B96" s="169" t="s">
        <v>117</v>
      </c>
      <c r="C96" s="170" t="s">
        <v>184</v>
      </c>
      <c r="D96" s="103">
        <v>6190101</v>
      </c>
      <c r="E96" s="142">
        <v>44001</v>
      </c>
      <c r="F96" s="99" t="s">
        <v>21</v>
      </c>
      <c r="G96" s="171">
        <v>44001</v>
      </c>
      <c r="H96" s="54"/>
      <c r="I96" s="56"/>
      <c r="J96" s="56"/>
      <c r="K96" s="56"/>
      <c r="L96" s="56"/>
      <c r="M96" s="54"/>
      <c r="N96" s="56"/>
      <c r="O96" s="54"/>
      <c r="P96" s="173"/>
      <c r="Q96" s="53"/>
      <c r="R96" s="54">
        <v>180</v>
      </c>
      <c r="S96" s="53"/>
      <c r="T96" s="55">
        <v>15.3</v>
      </c>
      <c r="U96" s="145">
        <f t="shared" si="2"/>
        <v>195.3</v>
      </c>
      <c r="V96" s="111" t="s">
        <v>36</v>
      </c>
      <c r="W96" s="172" t="s">
        <v>5</v>
      </c>
      <c r="X96" s="83" t="s">
        <v>312</v>
      </c>
      <c r="Y96" s="272"/>
    </row>
    <row r="97" spans="1:28" s="2" customFormat="1" ht="14.1" customHeight="1" x14ac:dyDescent="0.3">
      <c r="A97" s="101" t="s">
        <v>5</v>
      </c>
      <c r="B97" s="169" t="s">
        <v>189</v>
      </c>
      <c r="C97" s="170"/>
      <c r="D97" s="103">
        <v>7150054</v>
      </c>
      <c r="E97" s="142">
        <v>44027</v>
      </c>
      <c r="F97" s="99" t="s">
        <v>51</v>
      </c>
      <c r="G97" s="171">
        <v>44027</v>
      </c>
      <c r="H97" s="54"/>
      <c r="I97" s="56"/>
      <c r="J97" s="56"/>
      <c r="K97" s="56"/>
      <c r="L97" s="56"/>
      <c r="M97" s="54">
        <v>600</v>
      </c>
      <c r="N97" s="56"/>
      <c r="O97" s="54"/>
      <c r="P97" s="173"/>
      <c r="Q97" s="53"/>
      <c r="R97" s="54"/>
      <c r="S97" s="53"/>
      <c r="T97" s="55"/>
      <c r="U97" s="145">
        <v>300</v>
      </c>
      <c r="V97" s="111" t="s">
        <v>29</v>
      </c>
      <c r="W97" s="172" t="s">
        <v>32</v>
      </c>
      <c r="X97" s="333" t="s">
        <v>79</v>
      </c>
      <c r="Y97" s="180"/>
    </row>
    <row r="98" spans="1:28" s="2" customFormat="1" ht="14.1" customHeight="1" x14ac:dyDescent="0.3">
      <c r="A98" s="100" t="s">
        <v>5</v>
      </c>
      <c r="B98" s="105" t="s">
        <v>117</v>
      </c>
      <c r="C98" s="140" t="s">
        <v>205</v>
      </c>
      <c r="D98" s="144">
        <v>7210102</v>
      </c>
      <c r="E98" s="143">
        <v>44033</v>
      </c>
      <c r="F98" s="44" t="s">
        <v>21</v>
      </c>
      <c r="G98" s="108">
        <v>44033</v>
      </c>
      <c r="H98" s="50"/>
      <c r="I98" s="52"/>
      <c r="J98" s="52"/>
      <c r="K98" s="52"/>
      <c r="L98" s="52"/>
      <c r="M98" s="50"/>
      <c r="N98" s="52"/>
      <c r="O98" s="50"/>
      <c r="P98" s="166"/>
      <c r="Q98" s="49"/>
      <c r="R98" s="50">
        <v>173</v>
      </c>
      <c r="S98" s="49"/>
      <c r="T98" s="51">
        <v>14.71</v>
      </c>
      <c r="U98" s="139">
        <f t="shared" ref="U98:U143" si="3">SUM(H98:T98)</f>
        <v>187.71</v>
      </c>
      <c r="V98" s="112" t="s">
        <v>36</v>
      </c>
      <c r="W98" s="66" t="s">
        <v>5</v>
      </c>
      <c r="X98" s="83" t="s">
        <v>312</v>
      </c>
      <c r="Y98" s="180"/>
    </row>
    <row r="99" spans="1:28" s="2" customFormat="1" ht="14.1" customHeight="1" x14ac:dyDescent="0.3">
      <c r="A99" s="100" t="s">
        <v>5</v>
      </c>
      <c r="B99" s="105" t="s">
        <v>117</v>
      </c>
      <c r="C99" s="140" t="s">
        <v>184</v>
      </c>
      <c r="D99" s="144">
        <v>7240107</v>
      </c>
      <c r="E99" s="143">
        <v>44036</v>
      </c>
      <c r="F99" s="44" t="s">
        <v>21</v>
      </c>
      <c r="G99" s="108">
        <v>44036</v>
      </c>
      <c r="H99" s="50"/>
      <c r="I99" s="52"/>
      <c r="J99" s="52"/>
      <c r="K99" s="52"/>
      <c r="L99" s="52"/>
      <c r="M99" s="50"/>
      <c r="N99" s="52"/>
      <c r="O99" s="50"/>
      <c r="P99" s="166"/>
      <c r="Q99" s="49"/>
      <c r="R99" s="50">
        <v>117</v>
      </c>
      <c r="S99" s="49"/>
      <c r="T99" s="51">
        <v>9.9499999999999993</v>
      </c>
      <c r="U99" s="139">
        <f t="shared" si="3"/>
        <v>126.95</v>
      </c>
      <c r="V99" s="112" t="s">
        <v>36</v>
      </c>
      <c r="W99" s="66" t="s">
        <v>5</v>
      </c>
      <c r="X99" s="83" t="s">
        <v>312</v>
      </c>
      <c r="Y99" s="180"/>
    </row>
    <row r="100" spans="1:28" s="2" customFormat="1" ht="14.1" customHeight="1" x14ac:dyDescent="0.3">
      <c r="A100" s="100" t="s">
        <v>5</v>
      </c>
      <c r="B100" s="105" t="s">
        <v>212</v>
      </c>
      <c r="C100" s="140"/>
      <c r="D100" s="144">
        <v>4280067</v>
      </c>
      <c r="E100" s="143">
        <v>43949</v>
      </c>
      <c r="F100" s="44" t="s">
        <v>207</v>
      </c>
      <c r="G100" s="108">
        <v>44036</v>
      </c>
      <c r="H100" s="50">
        <v>3185</v>
      </c>
      <c r="I100" s="52"/>
      <c r="J100" s="52"/>
      <c r="K100" s="52"/>
      <c r="L100" s="52"/>
      <c r="M100" s="50"/>
      <c r="N100" s="52"/>
      <c r="O100" s="50"/>
      <c r="P100" s="166"/>
      <c r="Q100" s="49"/>
      <c r="R100" s="50"/>
      <c r="S100" s="49"/>
      <c r="T100" s="51"/>
      <c r="U100" s="139">
        <f t="shared" si="3"/>
        <v>3185</v>
      </c>
      <c r="V100" s="112" t="s">
        <v>36</v>
      </c>
      <c r="W100" s="66" t="s">
        <v>5</v>
      </c>
      <c r="X100" s="333" t="s">
        <v>79</v>
      </c>
      <c r="Y100" s="228" t="s">
        <v>286</v>
      </c>
      <c r="Z100" s="371"/>
      <c r="AA100" s="371"/>
      <c r="AB100" s="161"/>
    </row>
    <row r="101" spans="1:28" s="2" customFormat="1" ht="14.1" customHeight="1" x14ac:dyDescent="0.3">
      <c r="A101" s="100" t="s">
        <v>5</v>
      </c>
      <c r="B101" s="105" t="s">
        <v>244</v>
      </c>
      <c r="C101" s="140"/>
      <c r="D101" s="144">
        <v>7310105</v>
      </c>
      <c r="E101" s="143">
        <v>44043</v>
      </c>
      <c r="F101" s="44" t="s">
        <v>224</v>
      </c>
      <c r="G101" s="108">
        <v>44043</v>
      </c>
      <c r="H101" s="50"/>
      <c r="I101" s="52"/>
      <c r="J101" s="52"/>
      <c r="K101" s="52"/>
      <c r="L101" s="52"/>
      <c r="M101" s="50"/>
      <c r="N101" s="52"/>
      <c r="O101" s="50"/>
      <c r="P101" s="166"/>
      <c r="Q101" s="49"/>
      <c r="R101" s="50">
        <v>-62.17</v>
      </c>
      <c r="S101" s="49"/>
      <c r="T101" s="51"/>
      <c r="U101" s="139">
        <f t="shared" si="3"/>
        <v>-62.17</v>
      </c>
      <c r="V101" s="112" t="s">
        <v>235</v>
      </c>
      <c r="W101" s="66" t="s">
        <v>93</v>
      </c>
      <c r="X101" s="83" t="s">
        <v>18</v>
      </c>
      <c r="Y101" s="180"/>
    </row>
    <row r="102" spans="1:28" s="2" customFormat="1" ht="14.1" customHeight="1" x14ac:dyDescent="0.3">
      <c r="A102" s="100" t="s">
        <v>5</v>
      </c>
      <c r="B102" s="105" t="s">
        <v>103</v>
      </c>
      <c r="C102" s="140"/>
      <c r="D102" s="144">
        <v>8070101</v>
      </c>
      <c r="E102" s="143">
        <v>44050</v>
      </c>
      <c r="F102" s="44" t="s">
        <v>21</v>
      </c>
      <c r="G102" s="108">
        <v>44050</v>
      </c>
      <c r="H102" s="50"/>
      <c r="I102" s="52"/>
      <c r="J102" s="52"/>
      <c r="K102" s="52"/>
      <c r="L102" s="52"/>
      <c r="M102" s="50"/>
      <c r="N102" s="52"/>
      <c r="O102" s="50"/>
      <c r="P102" s="166"/>
      <c r="Q102" s="49"/>
      <c r="R102" s="50">
        <v>57</v>
      </c>
      <c r="S102" s="49"/>
      <c r="T102" s="51">
        <v>4.42</v>
      </c>
      <c r="U102" s="139">
        <f t="shared" si="3"/>
        <v>61.42</v>
      </c>
      <c r="V102" s="112" t="s">
        <v>36</v>
      </c>
      <c r="W102" s="66" t="s">
        <v>80</v>
      </c>
      <c r="X102" s="83" t="s">
        <v>322</v>
      </c>
      <c r="Y102" s="180"/>
      <c r="Z102" s="181"/>
    </row>
    <row r="103" spans="1:28" s="2" customFormat="1" ht="14.1" customHeight="1" x14ac:dyDescent="0.3">
      <c r="A103" s="100" t="s">
        <v>5</v>
      </c>
      <c r="B103" s="105" t="s">
        <v>117</v>
      </c>
      <c r="C103" s="140" t="s">
        <v>293</v>
      </c>
      <c r="D103" s="144">
        <v>8100101</v>
      </c>
      <c r="E103" s="143">
        <v>44053</v>
      </c>
      <c r="F103" s="44" t="s">
        <v>21</v>
      </c>
      <c r="G103" s="108">
        <v>44053</v>
      </c>
      <c r="H103" s="50"/>
      <c r="I103" s="52"/>
      <c r="J103" s="52"/>
      <c r="K103" s="52"/>
      <c r="L103" s="52"/>
      <c r="M103" s="50"/>
      <c r="N103" s="52"/>
      <c r="O103" s="50"/>
      <c r="P103" s="166"/>
      <c r="Q103" s="49"/>
      <c r="R103" s="50">
        <v>78</v>
      </c>
      <c r="S103" s="49"/>
      <c r="T103" s="51">
        <v>7.41</v>
      </c>
      <c r="U103" s="139">
        <f t="shared" si="3"/>
        <v>85.41</v>
      </c>
      <c r="V103" s="112" t="s">
        <v>36</v>
      </c>
      <c r="W103" s="66" t="s">
        <v>80</v>
      </c>
      <c r="X103" s="83" t="s">
        <v>312</v>
      </c>
      <c r="Y103" s="180"/>
      <c r="Z103" s="181"/>
    </row>
    <row r="104" spans="1:28" s="2" customFormat="1" ht="14.1" customHeight="1" thickBot="1" x14ac:dyDescent="0.35">
      <c r="A104" s="100" t="s">
        <v>5</v>
      </c>
      <c r="B104" s="105" t="s">
        <v>229</v>
      </c>
      <c r="C104" s="140"/>
      <c r="D104" s="144">
        <v>8110105</v>
      </c>
      <c r="E104" s="143">
        <v>44054</v>
      </c>
      <c r="F104" s="44" t="s">
        <v>21</v>
      </c>
      <c r="G104" s="108">
        <v>44054</v>
      </c>
      <c r="H104" s="50"/>
      <c r="I104" s="52"/>
      <c r="J104" s="52"/>
      <c r="K104" s="52"/>
      <c r="L104" s="52"/>
      <c r="M104" s="50"/>
      <c r="N104" s="52"/>
      <c r="O104" s="50"/>
      <c r="P104" s="166"/>
      <c r="Q104" s="49"/>
      <c r="R104" s="50">
        <v>125.5</v>
      </c>
      <c r="S104" s="49"/>
      <c r="T104" s="51">
        <v>11.61</v>
      </c>
      <c r="U104" s="139">
        <f t="shared" si="3"/>
        <v>137.11000000000001</v>
      </c>
      <c r="V104" s="112" t="s">
        <v>36</v>
      </c>
      <c r="W104" s="66" t="s">
        <v>5</v>
      </c>
      <c r="X104" s="83" t="s">
        <v>18</v>
      </c>
      <c r="Y104" s="180"/>
      <c r="Z104" s="181"/>
    </row>
    <row r="105" spans="1:28" s="2" customFormat="1" ht="14.1" customHeight="1" thickBot="1" x14ac:dyDescent="0.35">
      <c r="A105" s="100" t="s">
        <v>5</v>
      </c>
      <c r="B105" s="105" t="s">
        <v>53</v>
      </c>
      <c r="C105" s="140"/>
      <c r="D105" s="144">
        <v>8130101</v>
      </c>
      <c r="E105" s="143">
        <v>44056</v>
      </c>
      <c r="F105" s="44" t="s">
        <v>21</v>
      </c>
      <c r="G105" s="108">
        <v>44056</v>
      </c>
      <c r="H105" s="50"/>
      <c r="I105" s="52"/>
      <c r="J105" s="52"/>
      <c r="K105" s="52"/>
      <c r="L105" s="52"/>
      <c r="M105" s="50"/>
      <c r="N105" s="52"/>
      <c r="O105" s="50"/>
      <c r="P105" s="166"/>
      <c r="Q105" s="49"/>
      <c r="R105" s="50">
        <v>63</v>
      </c>
      <c r="S105" s="49"/>
      <c r="T105" s="51">
        <v>5.36</v>
      </c>
      <c r="U105" s="139">
        <f t="shared" si="3"/>
        <v>68.36</v>
      </c>
      <c r="V105" s="112" t="s">
        <v>36</v>
      </c>
      <c r="W105" s="66" t="s">
        <v>5</v>
      </c>
      <c r="X105" s="188" t="s">
        <v>312</v>
      </c>
      <c r="Y105" s="180"/>
      <c r="Z105" s="181"/>
    </row>
    <row r="106" spans="1:28" s="2" customFormat="1" ht="14.1" customHeight="1" x14ac:dyDescent="0.3">
      <c r="A106" s="100" t="s">
        <v>5</v>
      </c>
      <c r="B106" s="105" t="s">
        <v>230</v>
      </c>
      <c r="C106" s="140"/>
      <c r="D106" s="144">
        <v>8130105</v>
      </c>
      <c r="E106" s="143">
        <v>44056</v>
      </c>
      <c r="F106" s="44" t="s">
        <v>21</v>
      </c>
      <c r="G106" s="108">
        <v>44056</v>
      </c>
      <c r="H106" s="50"/>
      <c r="I106" s="52"/>
      <c r="J106" s="52"/>
      <c r="K106" s="52"/>
      <c r="L106" s="52"/>
      <c r="M106" s="50"/>
      <c r="N106" s="52"/>
      <c r="O106" s="50"/>
      <c r="P106" s="166"/>
      <c r="Q106" s="49"/>
      <c r="R106" s="50">
        <v>54</v>
      </c>
      <c r="S106" s="49">
        <v>9</v>
      </c>
      <c r="T106" s="51">
        <v>4.8600000000000003</v>
      </c>
      <c r="U106" s="139">
        <f t="shared" si="3"/>
        <v>67.86</v>
      </c>
      <c r="V106" s="112" t="s">
        <v>36</v>
      </c>
      <c r="W106" s="66" t="s">
        <v>5</v>
      </c>
      <c r="X106" s="83" t="s">
        <v>18</v>
      </c>
      <c r="Y106" s="180"/>
      <c r="Z106" s="181"/>
    </row>
    <row r="107" spans="1:28" s="2" customFormat="1" ht="14.1" customHeight="1" x14ac:dyDescent="0.3">
      <c r="A107" s="100" t="s">
        <v>5</v>
      </c>
      <c r="B107" s="105" t="s">
        <v>189</v>
      </c>
      <c r="C107" s="140"/>
      <c r="D107" s="144" t="s">
        <v>238</v>
      </c>
      <c r="E107" s="143">
        <v>44058</v>
      </c>
      <c r="F107" s="44" t="s">
        <v>51</v>
      </c>
      <c r="G107" s="108">
        <v>44058</v>
      </c>
      <c r="H107" s="50"/>
      <c r="I107" s="52"/>
      <c r="J107" s="52"/>
      <c r="K107" s="52"/>
      <c r="L107" s="52"/>
      <c r="M107" s="50">
        <v>2100</v>
      </c>
      <c r="N107" s="52"/>
      <c r="O107" s="50"/>
      <c r="P107" s="166"/>
      <c r="Q107" s="49"/>
      <c r="R107" s="50"/>
      <c r="S107" s="49"/>
      <c r="T107" s="51"/>
      <c r="U107" s="139">
        <f t="shared" si="3"/>
        <v>2100</v>
      </c>
      <c r="V107" s="112" t="s">
        <v>29</v>
      </c>
      <c r="W107" s="66" t="s">
        <v>78</v>
      </c>
      <c r="X107" s="380" t="s">
        <v>79</v>
      </c>
      <c r="Y107" s="180"/>
      <c r="Z107" s="181"/>
    </row>
    <row r="108" spans="1:28" s="2" customFormat="1" ht="14.1" customHeight="1" x14ac:dyDescent="0.3">
      <c r="A108" s="98" t="s">
        <v>5</v>
      </c>
      <c r="B108" s="3" t="s">
        <v>103</v>
      </c>
      <c r="C108" s="4"/>
      <c r="D108" s="70">
        <v>8170103</v>
      </c>
      <c r="E108" s="136">
        <v>44060</v>
      </c>
      <c r="F108" s="48" t="s">
        <v>21</v>
      </c>
      <c r="G108" s="79">
        <v>44060</v>
      </c>
      <c r="H108" s="46"/>
      <c r="I108" s="28"/>
      <c r="J108" s="28"/>
      <c r="K108" s="28"/>
      <c r="L108" s="28"/>
      <c r="M108" s="46"/>
      <c r="N108" s="28"/>
      <c r="O108" s="46"/>
      <c r="P108" s="7"/>
      <c r="Q108" s="47"/>
      <c r="R108" s="46">
        <v>104</v>
      </c>
      <c r="S108" s="47"/>
      <c r="T108" s="32">
        <v>8.06</v>
      </c>
      <c r="U108" s="71">
        <f t="shared" si="3"/>
        <v>112.06</v>
      </c>
      <c r="V108" s="82" t="s">
        <v>36</v>
      </c>
      <c r="W108" s="2" t="s">
        <v>5</v>
      </c>
      <c r="X108" s="83" t="s">
        <v>18</v>
      </c>
      <c r="Y108" s="180"/>
      <c r="Z108" s="181"/>
    </row>
    <row r="109" spans="1:28" s="2" customFormat="1" ht="14.1" customHeight="1" x14ac:dyDescent="0.3">
      <c r="A109" s="98" t="s">
        <v>5</v>
      </c>
      <c r="B109" s="3" t="s">
        <v>239</v>
      </c>
      <c r="C109" s="4"/>
      <c r="D109" s="70">
        <v>8180101</v>
      </c>
      <c r="E109" s="136">
        <v>44061</v>
      </c>
      <c r="F109" s="48" t="s">
        <v>21</v>
      </c>
      <c r="G109" s="79">
        <v>44061</v>
      </c>
      <c r="H109" s="46"/>
      <c r="I109" s="28"/>
      <c r="J109" s="28"/>
      <c r="K109" s="28"/>
      <c r="L109" s="28"/>
      <c r="M109" s="46"/>
      <c r="N109" s="28"/>
      <c r="O109" s="46"/>
      <c r="P109" s="7"/>
      <c r="Q109" s="47"/>
      <c r="R109" s="46">
        <v>70.5</v>
      </c>
      <c r="S109" s="47"/>
      <c r="T109" s="32">
        <v>5.99</v>
      </c>
      <c r="U109" s="71">
        <f t="shared" si="3"/>
        <v>76.489999999999995</v>
      </c>
      <c r="V109" s="82" t="s">
        <v>36</v>
      </c>
      <c r="W109" s="2" t="s">
        <v>5</v>
      </c>
      <c r="X109" s="83" t="s">
        <v>18</v>
      </c>
      <c r="Y109" s="180"/>
      <c r="Z109" s="181"/>
    </row>
    <row r="110" spans="1:28" s="2" customFormat="1" ht="14.1" customHeight="1" x14ac:dyDescent="0.3">
      <c r="A110" s="98" t="s">
        <v>5</v>
      </c>
      <c r="B110" s="3" t="s">
        <v>243</v>
      </c>
      <c r="C110" s="4"/>
      <c r="D110" s="70">
        <v>8190105</v>
      </c>
      <c r="E110" s="136">
        <v>44062</v>
      </c>
      <c r="F110" s="48" t="s">
        <v>21</v>
      </c>
      <c r="G110" s="79">
        <v>44062</v>
      </c>
      <c r="H110" s="46"/>
      <c r="I110" s="28"/>
      <c r="J110" s="28"/>
      <c r="K110" s="28"/>
      <c r="L110" s="28"/>
      <c r="M110" s="46"/>
      <c r="N110" s="28"/>
      <c r="O110" s="46"/>
      <c r="P110" s="7"/>
      <c r="Q110" s="47"/>
      <c r="R110" s="46">
        <v>114</v>
      </c>
      <c r="S110" s="47">
        <v>18</v>
      </c>
      <c r="T110" s="32">
        <v>8.84</v>
      </c>
      <c r="U110" s="71">
        <f t="shared" si="3"/>
        <v>140.84</v>
      </c>
      <c r="V110" s="82" t="s">
        <v>36</v>
      </c>
      <c r="W110" s="2" t="s">
        <v>5</v>
      </c>
      <c r="X110" s="83" t="s">
        <v>18</v>
      </c>
      <c r="Y110" s="180"/>
      <c r="Z110" s="181"/>
    </row>
    <row r="111" spans="1:28" s="2" customFormat="1" ht="14.1" customHeight="1" x14ac:dyDescent="0.3">
      <c r="A111" s="98" t="s">
        <v>5</v>
      </c>
      <c r="B111" s="3" t="s">
        <v>219</v>
      </c>
      <c r="C111" s="4" t="s">
        <v>250</v>
      </c>
      <c r="D111" s="70">
        <v>8200101</v>
      </c>
      <c r="E111" s="136">
        <v>44063</v>
      </c>
      <c r="F111" s="48" t="s">
        <v>21</v>
      </c>
      <c r="G111" s="79">
        <v>44063</v>
      </c>
      <c r="H111" s="46"/>
      <c r="I111" s="28"/>
      <c r="J111" s="28"/>
      <c r="K111" s="28"/>
      <c r="L111" s="28"/>
      <c r="M111" s="46"/>
      <c r="N111" s="28"/>
      <c r="O111" s="46"/>
      <c r="P111" s="7"/>
      <c r="Q111" s="47"/>
      <c r="R111" s="46">
        <v>97</v>
      </c>
      <c r="S111" s="47"/>
      <c r="T111" s="32">
        <v>8.73</v>
      </c>
      <c r="U111" s="71">
        <f t="shared" si="3"/>
        <v>105.73</v>
      </c>
      <c r="V111" s="82" t="s">
        <v>36</v>
      </c>
      <c r="W111" s="2" t="s">
        <v>5</v>
      </c>
      <c r="X111" s="83" t="s">
        <v>328</v>
      </c>
      <c r="Y111" s="180"/>
      <c r="Z111" s="181"/>
    </row>
    <row r="112" spans="1:28" s="2" customFormat="1" ht="14.1" customHeight="1" x14ac:dyDescent="0.3">
      <c r="A112" s="98" t="s">
        <v>5</v>
      </c>
      <c r="B112" s="3" t="s">
        <v>40</v>
      </c>
      <c r="C112" s="4"/>
      <c r="D112" s="70">
        <v>8250102</v>
      </c>
      <c r="E112" s="136">
        <v>44068</v>
      </c>
      <c r="F112" s="48" t="s">
        <v>21</v>
      </c>
      <c r="G112" s="79">
        <v>44068</v>
      </c>
      <c r="H112" s="46"/>
      <c r="I112" s="28"/>
      <c r="J112" s="28"/>
      <c r="K112" s="28"/>
      <c r="L112" s="28"/>
      <c r="M112" s="46"/>
      <c r="N112" s="28"/>
      <c r="O112" s="46"/>
      <c r="P112" s="7"/>
      <c r="Q112" s="47"/>
      <c r="R112" s="46">
        <v>451</v>
      </c>
      <c r="S112" s="47"/>
      <c r="T112" s="32"/>
      <c r="U112" s="71">
        <f t="shared" si="3"/>
        <v>451</v>
      </c>
      <c r="V112" s="82" t="s">
        <v>36</v>
      </c>
      <c r="W112" s="2" t="s">
        <v>5</v>
      </c>
      <c r="X112" s="83" t="s">
        <v>322</v>
      </c>
      <c r="Y112" s="180"/>
      <c r="Z112" s="181"/>
    </row>
    <row r="113" spans="1:26" s="2" customFormat="1" ht="14.1" customHeight="1" x14ac:dyDescent="0.3">
      <c r="A113" s="98" t="s">
        <v>5</v>
      </c>
      <c r="B113" s="3" t="s">
        <v>263</v>
      </c>
      <c r="C113" s="4"/>
      <c r="D113" s="70">
        <v>8250103</v>
      </c>
      <c r="E113" s="136">
        <v>44068</v>
      </c>
      <c r="F113" s="48" t="s">
        <v>21</v>
      </c>
      <c r="G113" s="79">
        <v>44068</v>
      </c>
      <c r="H113" s="46"/>
      <c r="I113" s="28"/>
      <c r="J113" s="28"/>
      <c r="K113" s="28"/>
      <c r="L113" s="28"/>
      <c r="M113" s="46"/>
      <c r="N113" s="28"/>
      <c r="O113" s="46"/>
      <c r="P113" s="7"/>
      <c r="Q113" s="47"/>
      <c r="R113" s="46">
        <v>59</v>
      </c>
      <c r="S113" s="47"/>
      <c r="T113" s="32"/>
      <c r="U113" s="71">
        <f t="shared" si="3"/>
        <v>59</v>
      </c>
      <c r="V113" s="82" t="s">
        <v>36</v>
      </c>
      <c r="W113" s="2" t="s">
        <v>5</v>
      </c>
      <c r="X113" s="83" t="s">
        <v>328</v>
      </c>
      <c r="Y113" s="180"/>
      <c r="Z113" s="181"/>
    </row>
    <row r="114" spans="1:26" s="2" customFormat="1" ht="14.1" customHeight="1" x14ac:dyDescent="0.3">
      <c r="A114" s="98" t="s">
        <v>5</v>
      </c>
      <c r="B114" s="3" t="s">
        <v>129</v>
      </c>
      <c r="C114" s="4" t="s">
        <v>174</v>
      </c>
      <c r="D114" s="70">
        <v>8250104</v>
      </c>
      <c r="E114" s="136">
        <v>44068</v>
      </c>
      <c r="F114" s="48" t="s">
        <v>21</v>
      </c>
      <c r="G114" s="79">
        <v>44068</v>
      </c>
      <c r="H114" s="46"/>
      <c r="I114" s="28"/>
      <c r="J114" s="28"/>
      <c r="K114" s="28"/>
      <c r="L114" s="28"/>
      <c r="M114" s="46"/>
      <c r="N114" s="28"/>
      <c r="O114" s="46"/>
      <c r="P114" s="7"/>
      <c r="Q114" s="47"/>
      <c r="R114" s="46">
        <v>90</v>
      </c>
      <c r="S114" s="47">
        <v>17</v>
      </c>
      <c r="T114" s="32">
        <v>8.33</v>
      </c>
      <c r="U114" s="71">
        <f t="shared" si="3"/>
        <v>115.33</v>
      </c>
      <c r="V114" s="82" t="s">
        <v>36</v>
      </c>
      <c r="W114" s="2" t="s">
        <v>5</v>
      </c>
      <c r="X114" s="83" t="s">
        <v>330</v>
      </c>
      <c r="Y114" s="180"/>
      <c r="Z114" s="181"/>
    </row>
    <row r="115" spans="1:26" s="2" customFormat="1" ht="14.1" customHeight="1" x14ac:dyDescent="0.3">
      <c r="A115" s="98" t="s">
        <v>5</v>
      </c>
      <c r="B115" s="3" t="s">
        <v>264</v>
      </c>
      <c r="C115" s="4"/>
      <c r="D115" s="70">
        <v>8250106</v>
      </c>
      <c r="E115" s="136">
        <v>44068</v>
      </c>
      <c r="F115" s="48" t="s">
        <v>21</v>
      </c>
      <c r="G115" s="79">
        <v>44068</v>
      </c>
      <c r="H115" s="46"/>
      <c r="I115" s="28"/>
      <c r="J115" s="28"/>
      <c r="K115" s="28"/>
      <c r="L115" s="28"/>
      <c r="M115" s="46"/>
      <c r="N115" s="28"/>
      <c r="O115" s="46"/>
      <c r="P115" s="7"/>
      <c r="Q115" s="47"/>
      <c r="R115" s="46">
        <v>78</v>
      </c>
      <c r="S115" s="47">
        <v>18</v>
      </c>
      <c r="T115" s="32">
        <v>6.63</v>
      </c>
      <c r="U115" s="71">
        <f t="shared" si="3"/>
        <v>102.63</v>
      </c>
      <c r="V115" s="82" t="s">
        <v>36</v>
      </c>
      <c r="W115" s="2" t="s">
        <v>5</v>
      </c>
      <c r="X115" s="83" t="s">
        <v>318</v>
      </c>
      <c r="Y115" s="180"/>
      <c r="Z115" s="181"/>
    </row>
    <row r="116" spans="1:26" s="2" customFormat="1" ht="14.1" customHeight="1" x14ac:dyDescent="0.3">
      <c r="A116" s="98" t="s">
        <v>5</v>
      </c>
      <c r="B116" s="3" t="s">
        <v>257</v>
      </c>
      <c r="C116" s="4" t="s">
        <v>265</v>
      </c>
      <c r="D116" s="70">
        <v>8250061</v>
      </c>
      <c r="E116" s="136">
        <v>44068</v>
      </c>
      <c r="F116" s="48" t="s">
        <v>266</v>
      </c>
      <c r="G116" s="79">
        <v>44068</v>
      </c>
      <c r="H116" s="46">
        <v>375</v>
      </c>
      <c r="I116" s="28"/>
      <c r="J116" s="28"/>
      <c r="K116" s="28"/>
      <c r="L116" s="28"/>
      <c r="M116" s="46"/>
      <c r="N116" s="28"/>
      <c r="O116" s="46"/>
      <c r="P116" s="7"/>
      <c r="Q116" s="47"/>
      <c r="R116" s="46"/>
      <c r="S116" s="47"/>
      <c r="T116" s="32">
        <v>33.75</v>
      </c>
      <c r="U116" s="71">
        <f t="shared" si="3"/>
        <v>408.75</v>
      </c>
      <c r="V116" s="82" t="s">
        <v>39</v>
      </c>
      <c r="W116" s="2" t="s">
        <v>267</v>
      </c>
      <c r="X116" s="83" t="s">
        <v>328</v>
      </c>
      <c r="Y116" s="180"/>
      <c r="Z116" s="181"/>
    </row>
    <row r="117" spans="1:26" s="2" customFormat="1" ht="14.1" customHeight="1" x14ac:dyDescent="0.3">
      <c r="A117" s="98" t="s">
        <v>5</v>
      </c>
      <c r="B117" s="3" t="s">
        <v>257</v>
      </c>
      <c r="C117" s="4" t="s">
        <v>268</v>
      </c>
      <c r="D117" s="70">
        <v>8250062</v>
      </c>
      <c r="E117" s="136">
        <v>44068</v>
      </c>
      <c r="F117" s="48" t="s">
        <v>266</v>
      </c>
      <c r="G117" s="79">
        <v>44068</v>
      </c>
      <c r="H117" s="46">
        <v>375</v>
      </c>
      <c r="I117" s="28"/>
      <c r="J117" s="28"/>
      <c r="K117" s="28"/>
      <c r="L117" s="28"/>
      <c r="M117" s="46"/>
      <c r="N117" s="28"/>
      <c r="O117" s="46"/>
      <c r="P117" s="7"/>
      <c r="Q117" s="47"/>
      <c r="R117" s="46"/>
      <c r="S117" s="47"/>
      <c r="T117" s="32">
        <v>33.75</v>
      </c>
      <c r="U117" s="71">
        <f t="shared" si="3"/>
        <v>408.75</v>
      </c>
      <c r="V117" s="82" t="s">
        <v>39</v>
      </c>
      <c r="W117" s="2" t="s">
        <v>267</v>
      </c>
      <c r="X117" s="83" t="s">
        <v>328</v>
      </c>
      <c r="Y117" s="180"/>
      <c r="Z117" s="181"/>
    </row>
    <row r="118" spans="1:26" s="2" customFormat="1" ht="14.1" customHeight="1" x14ac:dyDescent="0.3">
      <c r="A118" s="98" t="s">
        <v>5</v>
      </c>
      <c r="B118" s="3" t="s">
        <v>257</v>
      </c>
      <c r="C118" s="4" t="s">
        <v>258</v>
      </c>
      <c r="D118" s="70">
        <v>8250063</v>
      </c>
      <c r="E118" s="136">
        <v>44068</v>
      </c>
      <c r="F118" s="48" t="s">
        <v>266</v>
      </c>
      <c r="G118" s="79">
        <v>44068</v>
      </c>
      <c r="H118" s="46">
        <v>375</v>
      </c>
      <c r="I118" s="28"/>
      <c r="J118" s="28"/>
      <c r="K118" s="28"/>
      <c r="L118" s="28"/>
      <c r="M118" s="46"/>
      <c r="N118" s="28"/>
      <c r="O118" s="46"/>
      <c r="P118" s="7"/>
      <c r="Q118" s="47"/>
      <c r="R118" s="46"/>
      <c r="S118" s="47"/>
      <c r="T118" s="32">
        <v>33.75</v>
      </c>
      <c r="U118" s="71">
        <f t="shared" si="3"/>
        <v>408.75</v>
      </c>
      <c r="V118" s="82" t="s">
        <v>39</v>
      </c>
      <c r="W118" s="2" t="s">
        <v>267</v>
      </c>
      <c r="X118" s="83" t="s">
        <v>328</v>
      </c>
      <c r="Y118" s="180"/>
      <c r="Z118" s="181"/>
    </row>
    <row r="119" spans="1:26" s="2" customFormat="1" ht="14.1" customHeight="1" x14ac:dyDescent="0.3">
      <c r="A119" s="98" t="s">
        <v>5</v>
      </c>
      <c r="B119" s="3" t="s">
        <v>257</v>
      </c>
      <c r="C119" s="4" t="s">
        <v>203</v>
      </c>
      <c r="D119" s="70">
        <v>8250064</v>
      </c>
      <c r="E119" s="136">
        <v>44068</v>
      </c>
      <c r="F119" s="48" t="s">
        <v>266</v>
      </c>
      <c r="G119" s="79">
        <v>44068</v>
      </c>
      <c r="H119" s="46">
        <v>375</v>
      </c>
      <c r="I119" s="28"/>
      <c r="J119" s="28"/>
      <c r="K119" s="28"/>
      <c r="L119" s="28"/>
      <c r="M119" s="46"/>
      <c r="N119" s="28"/>
      <c r="O119" s="46"/>
      <c r="P119" s="7"/>
      <c r="Q119" s="47"/>
      <c r="R119" s="46"/>
      <c r="S119" s="47"/>
      <c r="T119" s="32">
        <v>33.75</v>
      </c>
      <c r="U119" s="71">
        <f t="shared" si="3"/>
        <v>408.75</v>
      </c>
      <c r="V119" s="82" t="s">
        <v>39</v>
      </c>
      <c r="W119" s="2" t="s">
        <v>267</v>
      </c>
      <c r="X119" s="83" t="s">
        <v>328</v>
      </c>
      <c r="Y119" s="180"/>
      <c r="Z119" s="181"/>
    </row>
    <row r="120" spans="1:26" s="2" customFormat="1" ht="14.1" customHeight="1" x14ac:dyDescent="0.3">
      <c r="A120" s="98" t="s">
        <v>5</v>
      </c>
      <c r="B120" s="3" t="s">
        <v>257</v>
      </c>
      <c r="C120" s="4" t="s">
        <v>269</v>
      </c>
      <c r="D120" s="70">
        <v>8250065</v>
      </c>
      <c r="E120" s="136">
        <v>44068</v>
      </c>
      <c r="F120" s="48" t="s">
        <v>266</v>
      </c>
      <c r="G120" s="79">
        <v>44068</v>
      </c>
      <c r="H120" s="46">
        <v>375</v>
      </c>
      <c r="I120" s="28"/>
      <c r="J120" s="28"/>
      <c r="K120" s="28"/>
      <c r="L120" s="28"/>
      <c r="M120" s="46"/>
      <c r="N120" s="28"/>
      <c r="O120" s="46"/>
      <c r="P120" s="7"/>
      <c r="Q120" s="47"/>
      <c r="R120" s="46"/>
      <c r="S120" s="47"/>
      <c r="T120" s="32">
        <v>33.75</v>
      </c>
      <c r="U120" s="71">
        <f t="shared" si="3"/>
        <v>408.75</v>
      </c>
      <c r="V120" s="82" t="s">
        <v>39</v>
      </c>
      <c r="W120" s="2" t="s">
        <v>267</v>
      </c>
      <c r="X120" s="83" t="s">
        <v>328</v>
      </c>
      <c r="Y120" s="180"/>
      <c r="Z120" s="181"/>
    </row>
    <row r="121" spans="1:26" s="2" customFormat="1" ht="14.1" customHeight="1" x14ac:dyDescent="0.3">
      <c r="A121" s="98" t="s">
        <v>5</v>
      </c>
      <c r="B121" s="3" t="s">
        <v>257</v>
      </c>
      <c r="C121" s="4" t="s">
        <v>270</v>
      </c>
      <c r="D121" s="70">
        <v>8250066</v>
      </c>
      <c r="E121" s="136">
        <v>44068</v>
      </c>
      <c r="F121" s="48" t="s">
        <v>266</v>
      </c>
      <c r="G121" s="79">
        <v>44068</v>
      </c>
      <c r="H121" s="46">
        <v>375</v>
      </c>
      <c r="I121" s="28"/>
      <c r="J121" s="28"/>
      <c r="K121" s="28"/>
      <c r="L121" s="28"/>
      <c r="M121" s="46"/>
      <c r="N121" s="28"/>
      <c r="O121" s="46"/>
      <c r="P121" s="7"/>
      <c r="Q121" s="47"/>
      <c r="R121" s="46"/>
      <c r="S121" s="47"/>
      <c r="T121" s="32">
        <v>33.75</v>
      </c>
      <c r="U121" s="71">
        <f t="shared" si="3"/>
        <v>408.75</v>
      </c>
      <c r="V121" s="82" t="s">
        <v>39</v>
      </c>
      <c r="W121" s="2" t="s">
        <v>267</v>
      </c>
      <c r="X121" s="83" t="s">
        <v>328</v>
      </c>
      <c r="Y121" s="180"/>
      <c r="Z121" s="181"/>
    </row>
    <row r="122" spans="1:26" s="2" customFormat="1" ht="14.1" customHeight="1" x14ac:dyDescent="0.3">
      <c r="A122" s="98" t="s">
        <v>5</v>
      </c>
      <c r="B122" s="3" t="s">
        <v>138</v>
      </c>
      <c r="C122" s="4"/>
      <c r="D122" s="70">
        <v>8280103</v>
      </c>
      <c r="E122" s="136">
        <v>44071</v>
      </c>
      <c r="F122" s="48" t="s">
        <v>21</v>
      </c>
      <c r="G122" s="79">
        <v>44071</v>
      </c>
      <c r="H122" s="46"/>
      <c r="I122" s="28"/>
      <c r="J122" s="28"/>
      <c r="K122" s="28"/>
      <c r="L122" s="28"/>
      <c r="M122" s="46"/>
      <c r="N122" s="28"/>
      <c r="O122" s="46"/>
      <c r="P122" s="7"/>
      <c r="Q122" s="47"/>
      <c r="R122" s="46">
        <v>223</v>
      </c>
      <c r="S122" s="47"/>
      <c r="T122" s="32">
        <v>18.399999999999999</v>
      </c>
      <c r="U122" s="71">
        <f t="shared" si="3"/>
        <v>241.4</v>
      </c>
      <c r="V122" s="82" t="s">
        <v>39</v>
      </c>
      <c r="W122" s="2" t="s">
        <v>277</v>
      </c>
      <c r="X122" s="83" t="s">
        <v>18</v>
      </c>
      <c r="Y122" s="180"/>
      <c r="Z122" s="181"/>
    </row>
    <row r="123" spans="1:26" s="2" customFormat="1" ht="14.1" customHeight="1" x14ac:dyDescent="0.3">
      <c r="A123" s="98" t="s">
        <v>5</v>
      </c>
      <c r="B123" s="3" t="s">
        <v>261</v>
      </c>
      <c r="C123" s="4"/>
      <c r="D123" s="70">
        <v>8310101</v>
      </c>
      <c r="E123" s="136">
        <v>44074</v>
      </c>
      <c r="F123" s="48" t="s">
        <v>21</v>
      </c>
      <c r="G123" s="79">
        <v>44074</v>
      </c>
      <c r="H123" s="46"/>
      <c r="I123" s="28"/>
      <c r="J123" s="28"/>
      <c r="K123" s="28"/>
      <c r="L123" s="28"/>
      <c r="M123" s="46"/>
      <c r="N123" s="28"/>
      <c r="O123" s="46"/>
      <c r="P123" s="7"/>
      <c r="Q123" s="47"/>
      <c r="R123" s="46">
        <v>42</v>
      </c>
      <c r="S123" s="47"/>
      <c r="T123" s="32">
        <v>3.78</v>
      </c>
      <c r="U123" s="71">
        <f t="shared" si="3"/>
        <v>45.78</v>
      </c>
      <c r="V123" s="82" t="s">
        <v>36</v>
      </c>
      <c r="W123" s="2" t="s">
        <v>80</v>
      </c>
      <c r="X123" s="83" t="s">
        <v>18</v>
      </c>
      <c r="Y123" s="180"/>
      <c r="Z123" s="181"/>
    </row>
    <row r="124" spans="1:26" s="2" customFormat="1" ht="14.1" customHeight="1" x14ac:dyDescent="0.3">
      <c r="A124" s="98" t="s">
        <v>5</v>
      </c>
      <c r="B124" s="3" t="s">
        <v>284</v>
      </c>
      <c r="C124" s="4"/>
      <c r="D124" s="70">
        <v>8310103</v>
      </c>
      <c r="E124" s="136">
        <v>44074</v>
      </c>
      <c r="F124" s="48" t="s">
        <v>21</v>
      </c>
      <c r="G124" s="79">
        <v>44074</v>
      </c>
      <c r="H124" s="46"/>
      <c r="I124" s="28"/>
      <c r="J124" s="28"/>
      <c r="K124" s="28"/>
      <c r="L124" s="28"/>
      <c r="M124" s="46"/>
      <c r="N124" s="28"/>
      <c r="O124" s="46"/>
      <c r="P124" s="7"/>
      <c r="Q124" s="47"/>
      <c r="R124" s="46">
        <v>165.5</v>
      </c>
      <c r="S124" s="47"/>
      <c r="T124" s="32">
        <v>13.65</v>
      </c>
      <c r="U124" s="71">
        <f t="shared" si="3"/>
        <v>179.15</v>
      </c>
      <c r="V124" s="82" t="s">
        <v>36</v>
      </c>
      <c r="W124" s="2" t="s">
        <v>5</v>
      </c>
      <c r="X124" s="83" t="s">
        <v>18</v>
      </c>
      <c r="Y124" s="180"/>
      <c r="Z124" s="181"/>
    </row>
    <row r="125" spans="1:26" s="2" customFormat="1" ht="14.1" customHeight="1" x14ac:dyDescent="0.3">
      <c r="A125" s="102" t="s">
        <v>93</v>
      </c>
      <c r="B125" s="189" t="s">
        <v>91</v>
      </c>
      <c r="C125" s="190"/>
      <c r="D125" s="104">
        <v>6010294</v>
      </c>
      <c r="E125" s="141">
        <v>43983</v>
      </c>
      <c r="F125" s="43" t="s">
        <v>21</v>
      </c>
      <c r="G125" s="191">
        <v>43983</v>
      </c>
      <c r="H125" s="58"/>
      <c r="I125" s="60"/>
      <c r="J125" s="60"/>
      <c r="K125" s="60"/>
      <c r="L125" s="60"/>
      <c r="M125" s="58"/>
      <c r="N125" s="60"/>
      <c r="O125" s="58"/>
      <c r="P125" s="192"/>
      <c r="Q125" s="57"/>
      <c r="R125" s="58">
        <v>58</v>
      </c>
      <c r="S125" s="57"/>
      <c r="T125" s="59">
        <v>4.8600000000000003</v>
      </c>
      <c r="U125" s="138">
        <f t="shared" si="3"/>
        <v>62.86</v>
      </c>
      <c r="V125" s="113" t="s">
        <v>36</v>
      </c>
      <c r="W125" s="67" t="s">
        <v>5</v>
      </c>
      <c r="X125" s="83" t="s">
        <v>228</v>
      </c>
      <c r="Y125" s="272"/>
    </row>
    <row r="126" spans="1:26" s="2" customFormat="1" ht="14.1" customHeight="1" x14ac:dyDescent="0.3">
      <c r="A126" s="102" t="s">
        <v>93</v>
      </c>
      <c r="B126" s="189" t="s">
        <v>199</v>
      </c>
      <c r="C126" s="190" t="s">
        <v>109</v>
      </c>
      <c r="D126" s="104">
        <v>6080296</v>
      </c>
      <c r="E126" s="141">
        <v>43990</v>
      </c>
      <c r="F126" s="43" t="s">
        <v>21</v>
      </c>
      <c r="G126" s="191">
        <v>43990</v>
      </c>
      <c r="H126" s="58"/>
      <c r="I126" s="60"/>
      <c r="J126" s="60"/>
      <c r="K126" s="60"/>
      <c r="L126" s="60"/>
      <c r="M126" s="58"/>
      <c r="N126" s="60"/>
      <c r="O126" s="58"/>
      <c r="P126" s="192"/>
      <c r="Q126" s="57"/>
      <c r="R126" s="58">
        <v>49</v>
      </c>
      <c r="S126" s="57">
        <v>9</v>
      </c>
      <c r="T126" s="59">
        <v>4.47</v>
      </c>
      <c r="U126" s="138">
        <f t="shared" si="3"/>
        <v>62.47</v>
      </c>
      <c r="V126" s="113" t="s">
        <v>36</v>
      </c>
      <c r="W126" s="67" t="s">
        <v>80</v>
      </c>
      <c r="X126" s="83" t="s">
        <v>350</v>
      </c>
      <c r="Y126" s="272"/>
    </row>
    <row r="127" spans="1:26" s="2" customFormat="1" ht="14.1" customHeight="1" x14ac:dyDescent="0.3">
      <c r="A127" s="101" t="s">
        <v>93</v>
      </c>
      <c r="B127" s="169" t="s">
        <v>105</v>
      </c>
      <c r="C127" s="170"/>
      <c r="D127" s="103">
        <v>6220291</v>
      </c>
      <c r="E127" s="142">
        <v>44004</v>
      </c>
      <c r="F127" s="99" t="s">
        <v>21</v>
      </c>
      <c r="G127" s="171">
        <v>44004</v>
      </c>
      <c r="H127" s="54"/>
      <c r="I127" s="56"/>
      <c r="J127" s="56"/>
      <c r="K127" s="56"/>
      <c r="L127" s="56"/>
      <c r="M127" s="54"/>
      <c r="N127" s="56"/>
      <c r="O127" s="54"/>
      <c r="P127" s="173"/>
      <c r="Q127" s="53"/>
      <c r="R127" s="54">
        <v>127</v>
      </c>
      <c r="S127" s="53">
        <v>24</v>
      </c>
      <c r="T127" s="55">
        <v>10.8</v>
      </c>
      <c r="U127" s="145">
        <f t="shared" si="3"/>
        <v>161.80000000000001</v>
      </c>
      <c r="V127" s="111" t="s">
        <v>36</v>
      </c>
      <c r="W127" s="172" t="s">
        <v>5</v>
      </c>
      <c r="X127" s="83" t="s">
        <v>297</v>
      </c>
      <c r="Y127" s="272"/>
    </row>
    <row r="128" spans="1:26" s="2" customFormat="1" ht="14.1" customHeight="1" x14ac:dyDescent="0.3">
      <c r="A128" s="101" t="s">
        <v>93</v>
      </c>
      <c r="B128" s="169" t="s">
        <v>199</v>
      </c>
      <c r="C128" s="170" t="s">
        <v>114</v>
      </c>
      <c r="D128" s="103">
        <v>6240296</v>
      </c>
      <c r="E128" s="142">
        <v>44006</v>
      </c>
      <c r="F128" s="99" t="s">
        <v>21</v>
      </c>
      <c r="G128" s="171">
        <v>44006</v>
      </c>
      <c r="H128" s="54"/>
      <c r="I128" s="56"/>
      <c r="J128" s="56"/>
      <c r="K128" s="56"/>
      <c r="L128" s="56"/>
      <c r="M128" s="54"/>
      <c r="N128" s="56"/>
      <c r="O128" s="54"/>
      <c r="P128" s="173"/>
      <c r="Q128" s="53"/>
      <c r="R128" s="54">
        <v>49</v>
      </c>
      <c r="S128" s="53">
        <v>9</v>
      </c>
      <c r="T128" s="55">
        <v>4.41</v>
      </c>
      <c r="U128" s="145">
        <f t="shared" si="3"/>
        <v>62.41</v>
      </c>
      <c r="V128" s="111" t="s">
        <v>36</v>
      </c>
      <c r="W128" s="172" t="s">
        <v>5</v>
      </c>
      <c r="X128" s="83" t="s">
        <v>350</v>
      </c>
      <c r="Y128" s="272"/>
    </row>
    <row r="129" spans="1:26" s="2" customFormat="1" ht="14.1" customHeight="1" x14ac:dyDescent="0.3">
      <c r="A129" s="100" t="s">
        <v>93</v>
      </c>
      <c r="B129" s="105" t="s">
        <v>204</v>
      </c>
      <c r="C129" s="140"/>
      <c r="D129" s="144">
        <v>7200103</v>
      </c>
      <c r="E129" s="143">
        <v>44032</v>
      </c>
      <c r="F129" s="44" t="s">
        <v>21</v>
      </c>
      <c r="G129" s="108">
        <v>44032</v>
      </c>
      <c r="H129" s="50"/>
      <c r="I129" s="52"/>
      <c r="J129" s="52"/>
      <c r="K129" s="52"/>
      <c r="L129" s="52"/>
      <c r="M129" s="50"/>
      <c r="N129" s="52"/>
      <c r="O129" s="50"/>
      <c r="P129" s="166"/>
      <c r="Q129" s="49"/>
      <c r="R129" s="50">
        <v>225</v>
      </c>
      <c r="S129" s="49"/>
      <c r="T129" s="51">
        <v>20.25</v>
      </c>
      <c r="U129" s="139">
        <f t="shared" si="3"/>
        <v>245.25</v>
      </c>
      <c r="V129" s="112" t="s">
        <v>39</v>
      </c>
      <c r="W129" s="66" t="s">
        <v>14</v>
      </c>
      <c r="X129" s="83" t="s">
        <v>328</v>
      </c>
      <c r="Y129" s="180"/>
    </row>
    <row r="130" spans="1:26" s="2" customFormat="1" ht="14.1" customHeight="1" x14ac:dyDescent="0.3">
      <c r="A130" s="100" t="s">
        <v>93</v>
      </c>
      <c r="B130" s="105" t="s">
        <v>111</v>
      </c>
      <c r="C130" s="140"/>
      <c r="D130" s="144">
        <v>7170292</v>
      </c>
      <c r="E130" s="143">
        <v>44029</v>
      </c>
      <c r="F130" s="44" t="s">
        <v>21</v>
      </c>
      <c r="G130" s="108">
        <v>44032</v>
      </c>
      <c r="H130" s="50"/>
      <c r="I130" s="52"/>
      <c r="J130" s="52"/>
      <c r="K130" s="52"/>
      <c r="L130" s="52"/>
      <c r="M130" s="50"/>
      <c r="N130" s="52"/>
      <c r="O130" s="50"/>
      <c r="P130" s="166"/>
      <c r="Q130" s="49"/>
      <c r="R130" s="50">
        <v>172</v>
      </c>
      <c r="S130" s="49">
        <v>36</v>
      </c>
      <c r="T130" s="51">
        <v>14.19</v>
      </c>
      <c r="U130" s="139">
        <f t="shared" si="3"/>
        <v>222.19</v>
      </c>
      <c r="V130" s="112" t="s">
        <v>36</v>
      </c>
      <c r="W130" s="66" t="s">
        <v>80</v>
      </c>
      <c r="X130" s="83" t="s">
        <v>352</v>
      </c>
      <c r="Y130" s="180"/>
    </row>
    <row r="131" spans="1:26" s="2" customFormat="1" ht="14.1" customHeight="1" x14ac:dyDescent="0.3">
      <c r="A131" s="100" t="s">
        <v>93</v>
      </c>
      <c r="B131" s="105" t="s">
        <v>84</v>
      </c>
      <c r="C131" s="140"/>
      <c r="D131" s="144">
        <v>7200105</v>
      </c>
      <c r="E131" s="143">
        <v>44032</v>
      </c>
      <c r="F131" s="44" t="s">
        <v>21</v>
      </c>
      <c r="G131" s="108">
        <v>44032</v>
      </c>
      <c r="H131" s="50"/>
      <c r="I131" s="52"/>
      <c r="J131" s="52"/>
      <c r="K131" s="52"/>
      <c r="L131" s="52"/>
      <c r="M131" s="50"/>
      <c r="N131" s="52"/>
      <c r="O131" s="50"/>
      <c r="P131" s="166"/>
      <c r="Q131" s="49"/>
      <c r="R131" s="50">
        <v>120</v>
      </c>
      <c r="S131" s="49">
        <v>18</v>
      </c>
      <c r="T131" s="51">
        <v>9.9</v>
      </c>
      <c r="U131" s="139">
        <f t="shared" si="3"/>
        <v>147.9</v>
      </c>
      <c r="V131" s="112" t="s">
        <v>36</v>
      </c>
      <c r="W131" s="66" t="s">
        <v>5</v>
      </c>
      <c r="X131" s="83" t="s">
        <v>359</v>
      </c>
      <c r="Y131" s="180"/>
    </row>
    <row r="132" spans="1:26" s="2" customFormat="1" ht="14.1" customHeight="1" x14ac:dyDescent="0.3">
      <c r="A132" s="100" t="s">
        <v>93</v>
      </c>
      <c r="B132" s="105" t="s">
        <v>188</v>
      </c>
      <c r="C132" s="140"/>
      <c r="D132" s="144">
        <v>8050103</v>
      </c>
      <c r="E132" s="143">
        <v>44048</v>
      </c>
      <c r="F132" s="44" t="s">
        <v>21</v>
      </c>
      <c r="G132" s="108">
        <v>44048</v>
      </c>
      <c r="H132" s="50"/>
      <c r="I132" s="52"/>
      <c r="J132" s="52"/>
      <c r="K132" s="52"/>
      <c r="L132" s="52"/>
      <c r="M132" s="50"/>
      <c r="N132" s="52"/>
      <c r="O132" s="50"/>
      <c r="P132" s="166"/>
      <c r="Q132" s="49"/>
      <c r="R132" s="50">
        <v>40.049999999999997</v>
      </c>
      <c r="S132" s="49"/>
      <c r="T132" s="51">
        <v>4.95</v>
      </c>
      <c r="U132" s="139">
        <f t="shared" si="3"/>
        <v>45</v>
      </c>
      <c r="V132" s="112" t="s">
        <v>64</v>
      </c>
      <c r="W132" s="66" t="s">
        <v>81</v>
      </c>
      <c r="X132" s="333" t="s">
        <v>79</v>
      </c>
      <c r="Y132" s="180"/>
      <c r="Z132" s="181"/>
    </row>
    <row r="133" spans="1:26" s="2" customFormat="1" ht="14.1" customHeight="1" x14ac:dyDescent="0.3">
      <c r="A133" s="100" t="s">
        <v>93</v>
      </c>
      <c r="B133" s="105" t="s">
        <v>231</v>
      </c>
      <c r="C133" s="140"/>
      <c r="D133" s="144">
        <v>8130291</v>
      </c>
      <c r="E133" s="143">
        <v>44056</v>
      </c>
      <c r="F133" s="44" t="s">
        <v>21</v>
      </c>
      <c r="G133" s="108">
        <v>44056</v>
      </c>
      <c r="H133" s="50"/>
      <c r="I133" s="52"/>
      <c r="J133" s="52"/>
      <c r="K133" s="52"/>
      <c r="L133" s="52"/>
      <c r="M133" s="50"/>
      <c r="N133" s="52"/>
      <c r="O133" s="50"/>
      <c r="P133" s="166"/>
      <c r="Q133" s="49"/>
      <c r="R133" s="50">
        <v>98</v>
      </c>
      <c r="S133" s="49">
        <v>18</v>
      </c>
      <c r="T133" s="51">
        <v>8.09</v>
      </c>
      <c r="U133" s="139">
        <f t="shared" si="3"/>
        <v>124.09</v>
      </c>
      <c r="V133" s="112" t="s">
        <v>36</v>
      </c>
      <c r="W133" s="66" t="s">
        <v>93</v>
      </c>
      <c r="X133" s="83" t="s">
        <v>18</v>
      </c>
      <c r="Y133" s="180"/>
      <c r="Z133" s="181"/>
    </row>
    <row r="134" spans="1:26" s="2" customFormat="1" ht="14.1" customHeight="1" x14ac:dyDescent="0.3">
      <c r="A134" s="100" t="s">
        <v>93</v>
      </c>
      <c r="B134" s="105" t="s">
        <v>232</v>
      </c>
      <c r="C134" s="140" t="s">
        <v>233</v>
      </c>
      <c r="D134" s="144">
        <v>8140294</v>
      </c>
      <c r="E134" s="143">
        <v>44057</v>
      </c>
      <c r="F134" s="44" t="s">
        <v>21</v>
      </c>
      <c r="G134" s="108">
        <v>44057</v>
      </c>
      <c r="H134" s="50"/>
      <c r="I134" s="52"/>
      <c r="J134" s="52"/>
      <c r="K134" s="52"/>
      <c r="L134" s="52"/>
      <c r="M134" s="50"/>
      <c r="N134" s="52"/>
      <c r="O134" s="50"/>
      <c r="P134" s="166"/>
      <c r="Q134" s="49"/>
      <c r="R134" s="50">
        <v>55</v>
      </c>
      <c r="S134" s="49"/>
      <c r="T134" s="51">
        <v>4.8099999999999996</v>
      </c>
      <c r="U134" s="139">
        <f t="shared" si="3"/>
        <v>59.81</v>
      </c>
      <c r="V134" s="112" t="s">
        <v>36</v>
      </c>
      <c r="W134" s="66" t="s">
        <v>5</v>
      </c>
      <c r="X134" s="83" t="s">
        <v>18</v>
      </c>
      <c r="Y134" s="180"/>
      <c r="Z134" s="181"/>
    </row>
    <row r="135" spans="1:26" s="2" customFormat="1" ht="14.1" customHeight="1" x14ac:dyDescent="0.3">
      <c r="A135" s="98" t="s">
        <v>93</v>
      </c>
      <c r="B135" s="3" t="s">
        <v>247</v>
      </c>
      <c r="C135" s="4" t="s">
        <v>248</v>
      </c>
      <c r="D135" s="70">
        <v>8200292</v>
      </c>
      <c r="E135" s="136">
        <v>44063</v>
      </c>
      <c r="F135" s="48" t="s">
        <v>21</v>
      </c>
      <c r="G135" s="79">
        <v>44063</v>
      </c>
      <c r="H135" s="46"/>
      <c r="I135" s="28"/>
      <c r="J135" s="28"/>
      <c r="K135" s="28"/>
      <c r="L135" s="28"/>
      <c r="M135" s="46"/>
      <c r="N135" s="28"/>
      <c r="O135" s="46"/>
      <c r="P135" s="7"/>
      <c r="Q135" s="47"/>
      <c r="R135" s="46">
        <v>79</v>
      </c>
      <c r="S135" s="47">
        <v>18</v>
      </c>
      <c r="T135" s="32">
        <v>6.62</v>
      </c>
      <c r="U135" s="71">
        <f t="shared" si="3"/>
        <v>103.62</v>
      </c>
      <c r="V135" s="82" t="s">
        <v>36</v>
      </c>
      <c r="W135" s="2" t="s">
        <v>5</v>
      </c>
      <c r="X135" s="83" t="s">
        <v>18</v>
      </c>
      <c r="Y135" s="180"/>
      <c r="Z135" s="181"/>
    </row>
    <row r="136" spans="1:26" s="2" customFormat="1" ht="14.1" customHeight="1" x14ac:dyDescent="0.3">
      <c r="A136" s="98" t="s">
        <v>93</v>
      </c>
      <c r="B136" s="3" t="s">
        <v>257</v>
      </c>
      <c r="C136" s="4" t="s">
        <v>258</v>
      </c>
      <c r="D136" s="70">
        <v>8240291</v>
      </c>
      <c r="E136" s="136">
        <v>44067</v>
      </c>
      <c r="F136" s="48" t="s">
        <v>97</v>
      </c>
      <c r="G136" s="79">
        <v>44067</v>
      </c>
      <c r="H136" s="46"/>
      <c r="I136" s="28"/>
      <c r="J136" s="28"/>
      <c r="K136" s="28"/>
      <c r="L136" s="28"/>
      <c r="M136" s="46"/>
      <c r="N136" s="28"/>
      <c r="O136" s="46">
        <v>65</v>
      </c>
      <c r="P136" s="7">
        <v>90</v>
      </c>
      <c r="Q136" s="47"/>
      <c r="R136" s="46"/>
      <c r="S136" s="47"/>
      <c r="T136" s="32">
        <v>5.69</v>
      </c>
      <c r="U136" s="71">
        <f t="shared" si="3"/>
        <v>160.69</v>
      </c>
      <c r="V136" s="82" t="s">
        <v>39</v>
      </c>
      <c r="W136" s="2" t="s">
        <v>259</v>
      </c>
      <c r="X136" s="83" t="s">
        <v>328</v>
      </c>
      <c r="Y136" s="180"/>
      <c r="Z136" s="181"/>
    </row>
    <row r="137" spans="1:26" s="2" customFormat="1" ht="14.1" customHeight="1" x14ac:dyDescent="0.3">
      <c r="A137" s="98" t="s">
        <v>93</v>
      </c>
      <c r="B137" s="3" t="s">
        <v>157</v>
      </c>
      <c r="C137" s="4" t="s">
        <v>260</v>
      </c>
      <c r="D137" s="70">
        <v>8240293</v>
      </c>
      <c r="E137" s="136">
        <v>44067</v>
      </c>
      <c r="F137" s="48" t="s">
        <v>21</v>
      </c>
      <c r="G137" s="79">
        <v>44067</v>
      </c>
      <c r="H137" s="46"/>
      <c r="I137" s="28"/>
      <c r="J137" s="28"/>
      <c r="K137" s="28"/>
      <c r="L137" s="28"/>
      <c r="M137" s="46"/>
      <c r="N137" s="28"/>
      <c r="O137" s="46"/>
      <c r="P137" s="7"/>
      <c r="Q137" s="47"/>
      <c r="R137" s="46">
        <v>22.5</v>
      </c>
      <c r="S137" s="47"/>
      <c r="T137" s="32">
        <v>1.86</v>
      </c>
      <c r="U137" s="71">
        <f t="shared" si="3"/>
        <v>24.36</v>
      </c>
      <c r="V137" s="82" t="s">
        <v>39</v>
      </c>
      <c r="W137" s="2" t="s">
        <v>223</v>
      </c>
      <c r="X137" s="83" t="s">
        <v>18</v>
      </c>
      <c r="Y137" s="180"/>
      <c r="Z137" s="181"/>
    </row>
    <row r="138" spans="1:26" s="2" customFormat="1" ht="14.1" customHeight="1" x14ac:dyDescent="0.3">
      <c r="A138" s="98" t="s">
        <v>93</v>
      </c>
      <c r="B138" s="3" t="s">
        <v>262</v>
      </c>
      <c r="C138" s="4"/>
      <c r="D138" s="70">
        <v>8240101</v>
      </c>
      <c r="E138" s="136">
        <v>44067</v>
      </c>
      <c r="F138" s="48" t="s">
        <v>21</v>
      </c>
      <c r="G138" s="79">
        <v>44067</v>
      </c>
      <c r="H138" s="46"/>
      <c r="I138" s="28"/>
      <c r="J138" s="28"/>
      <c r="K138" s="28"/>
      <c r="L138" s="28"/>
      <c r="M138" s="46"/>
      <c r="N138" s="28"/>
      <c r="O138" s="46"/>
      <c r="P138" s="7"/>
      <c r="Q138" s="47"/>
      <c r="R138" s="46">
        <v>174</v>
      </c>
      <c r="S138" s="47"/>
      <c r="T138" s="32">
        <v>16.97</v>
      </c>
      <c r="U138" s="71">
        <f t="shared" si="3"/>
        <v>190.97</v>
      </c>
      <c r="V138" s="82" t="s">
        <v>39</v>
      </c>
      <c r="W138" s="2" t="s">
        <v>223</v>
      </c>
      <c r="X138" s="83" t="s">
        <v>18</v>
      </c>
      <c r="Y138" s="180"/>
      <c r="Z138" s="181"/>
    </row>
    <row r="139" spans="1:26" s="2" customFormat="1" ht="14.1" customHeight="1" x14ac:dyDescent="0.3">
      <c r="A139" s="98" t="s">
        <v>93</v>
      </c>
      <c r="B139" s="3" t="s">
        <v>247</v>
      </c>
      <c r="C139" s="4" t="s">
        <v>248</v>
      </c>
      <c r="D139" s="70">
        <v>8240295</v>
      </c>
      <c r="E139" s="136">
        <v>44067</v>
      </c>
      <c r="F139" s="48" t="s">
        <v>21</v>
      </c>
      <c r="G139" s="79">
        <v>44067</v>
      </c>
      <c r="H139" s="46"/>
      <c r="I139" s="28"/>
      <c r="J139" s="28"/>
      <c r="K139" s="28"/>
      <c r="L139" s="28"/>
      <c r="M139" s="46"/>
      <c r="N139" s="28"/>
      <c r="O139" s="46"/>
      <c r="P139" s="7"/>
      <c r="Q139" s="47"/>
      <c r="R139" s="46">
        <v>50</v>
      </c>
      <c r="S139" s="47">
        <v>9</v>
      </c>
      <c r="T139" s="32">
        <v>4.1900000000000004</v>
      </c>
      <c r="U139" s="71">
        <f t="shared" si="3"/>
        <v>63.19</v>
      </c>
      <c r="V139" s="82" t="s">
        <v>7</v>
      </c>
      <c r="W139" s="2" t="s">
        <v>93</v>
      </c>
      <c r="X139" s="83" t="s">
        <v>18</v>
      </c>
      <c r="Y139" s="180"/>
      <c r="Z139" s="181"/>
    </row>
    <row r="140" spans="1:26" s="2" customFormat="1" ht="14.1" customHeight="1" x14ac:dyDescent="0.3">
      <c r="A140" s="98" t="s">
        <v>93</v>
      </c>
      <c r="B140" s="3" t="s">
        <v>276</v>
      </c>
      <c r="C140" s="4"/>
      <c r="D140" s="70">
        <v>8260292</v>
      </c>
      <c r="E140" s="136">
        <v>44069</v>
      </c>
      <c r="F140" s="48" t="s">
        <v>21</v>
      </c>
      <c r="G140" s="79">
        <v>44069</v>
      </c>
      <c r="H140" s="46"/>
      <c r="I140" s="28"/>
      <c r="J140" s="28"/>
      <c r="K140" s="28"/>
      <c r="L140" s="28"/>
      <c r="M140" s="46"/>
      <c r="N140" s="28"/>
      <c r="O140" s="46"/>
      <c r="P140" s="7"/>
      <c r="Q140" s="47"/>
      <c r="R140" s="46">
        <v>110</v>
      </c>
      <c r="S140" s="47"/>
      <c r="T140" s="32">
        <v>9.35</v>
      </c>
      <c r="U140" s="71">
        <f t="shared" si="3"/>
        <v>119.35</v>
      </c>
      <c r="V140" s="82" t="s">
        <v>36</v>
      </c>
      <c r="W140" s="2" t="s">
        <v>5</v>
      </c>
      <c r="X140" s="83" t="s">
        <v>319</v>
      </c>
      <c r="Y140" s="180"/>
      <c r="Z140" s="181"/>
    </row>
    <row r="141" spans="1:26" s="2" customFormat="1" ht="14.1" customHeight="1" x14ac:dyDescent="0.3">
      <c r="A141" s="98" t="s">
        <v>93</v>
      </c>
      <c r="B141" s="3" t="s">
        <v>279</v>
      </c>
      <c r="C141" s="4"/>
      <c r="D141" s="70">
        <v>8270291</v>
      </c>
      <c r="E141" s="136">
        <v>44070</v>
      </c>
      <c r="F141" s="48" t="s">
        <v>21</v>
      </c>
      <c r="G141" s="79">
        <v>44070</v>
      </c>
      <c r="H141" s="46"/>
      <c r="I141" s="28"/>
      <c r="J141" s="28"/>
      <c r="K141" s="28"/>
      <c r="L141" s="28"/>
      <c r="M141" s="46"/>
      <c r="N141" s="28"/>
      <c r="O141" s="46"/>
      <c r="P141" s="7"/>
      <c r="Q141" s="47"/>
      <c r="R141" s="46">
        <v>164</v>
      </c>
      <c r="S141" s="47"/>
      <c r="T141" s="32">
        <v>14.76</v>
      </c>
      <c r="U141" s="71">
        <f t="shared" si="3"/>
        <v>178.76</v>
      </c>
      <c r="V141" s="82" t="s">
        <v>36</v>
      </c>
      <c r="W141" s="2" t="s">
        <v>5</v>
      </c>
      <c r="X141" s="83" t="s">
        <v>328</v>
      </c>
      <c r="Y141" s="180"/>
      <c r="Z141" s="181"/>
    </row>
    <row r="142" spans="1:26" s="2" customFormat="1" ht="14.1" customHeight="1" x14ac:dyDescent="0.3">
      <c r="A142" s="98" t="s">
        <v>93</v>
      </c>
      <c r="B142" s="3" t="s">
        <v>124</v>
      </c>
      <c r="C142" s="4"/>
      <c r="D142" s="70">
        <v>8280292</v>
      </c>
      <c r="E142" s="136">
        <v>44071</v>
      </c>
      <c r="F142" s="48" t="s">
        <v>21</v>
      </c>
      <c r="G142" s="79">
        <v>44071</v>
      </c>
      <c r="H142" s="46"/>
      <c r="I142" s="28"/>
      <c r="J142" s="28"/>
      <c r="K142" s="28"/>
      <c r="L142" s="28"/>
      <c r="M142" s="46"/>
      <c r="N142" s="28"/>
      <c r="O142" s="46"/>
      <c r="P142" s="7"/>
      <c r="Q142" s="47"/>
      <c r="R142" s="46">
        <v>202</v>
      </c>
      <c r="S142" s="47"/>
      <c r="T142" s="32">
        <v>17.68</v>
      </c>
      <c r="U142" s="71">
        <f t="shared" si="3"/>
        <v>219.68</v>
      </c>
      <c r="V142" s="82" t="s">
        <v>7</v>
      </c>
      <c r="W142" s="2" t="s">
        <v>6</v>
      </c>
      <c r="X142" s="83" t="s">
        <v>18</v>
      </c>
      <c r="Y142" s="180"/>
      <c r="Z142" s="181"/>
    </row>
    <row r="143" spans="1:26" s="2" customFormat="1" ht="14.1" customHeight="1" x14ac:dyDescent="0.3">
      <c r="A143" s="98" t="s">
        <v>93</v>
      </c>
      <c r="B143" s="3" t="s">
        <v>281</v>
      </c>
      <c r="C143" s="4"/>
      <c r="D143" s="70">
        <v>8280293</v>
      </c>
      <c r="E143" s="136">
        <v>44071</v>
      </c>
      <c r="F143" s="48" t="s">
        <v>21</v>
      </c>
      <c r="G143" s="79">
        <v>44071</v>
      </c>
      <c r="H143" s="46"/>
      <c r="I143" s="28"/>
      <c r="J143" s="28"/>
      <c r="K143" s="28"/>
      <c r="L143" s="28"/>
      <c r="M143" s="46"/>
      <c r="N143" s="28"/>
      <c r="O143" s="46"/>
      <c r="P143" s="7"/>
      <c r="Q143" s="47"/>
      <c r="R143" s="46">
        <v>49</v>
      </c>
      <c r="S143" s="47">
        <v>9</v>
      </c>
      <c r="T143" s="32">
        <v>4.04</v>
      </c>
      <c r="U143" s="71">
        <f t="shared" si="3"/>
        <v>62.04</v>
      </c>
      <c r="V143" s="82" t="s">
        <v>36</v>
      </c>
      <c r="W143" s="2" t="s">
        <v>5</v>
      </c>
      <c r="X143" s="83" t="s">
        <v>18</v>
      </c>
      <c r="Y143" s="180"/>
      <c r="Z143" s="181"/>
    </row>
    <row r="144" spans="1:26" ht="13.5" customHeight="1" thickBot="1" x14ac:dyDescent="0.25">
      <c r="A144" s="348"/>
      <c r="B144" s="348"/>
      <c r="C144" s="348"/>
      <c r="D144" s="355"/>
      <c r="E144" s="349"/>
      <c r="F144" s="356"/>
      <c r="G144" s="350"/>
      <c r="H144" s="351"/>
      <c r="I144" s="351"/>
      <c r="J144" s="351"/>
      <c r="K144" s="351"/>
      <c r="L144" s="351"/>
      <c r="M144" s="351"/>
      <c r="N144" s="351"/>
      <c r="O144" s="351"/>
      <c r="P144" s="352"/>
      <c r="Q144" s="353"/>
      <c r="R144" s="347"/>
      <c r="S144" s="354"/>
      <c r="T144" s="361"/>
      <c r="U144" s="93"/>
      <c r="V144" s="347"/>
      <c r="X144" s="347"/>
    </row>
    <row r="145" spans="1:28" s="161" customFormat="1" ht="14.1" customHeight="1" thickBot="1" x14ac:dyDescent="0.35">
      <c r="A145" s="94"/>
      <c r="B145" s="285"/>
      <c r="C145" s="286"/>
      <c r="D145" s="296"/>
      <c r="E145" s="287"/>
      <c r="F145" s="296"/>
      <c r="G145" s="288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90"/>
      <c r="T145" s="290"/>
      <c r="U145" s="80"/>
      <c r="V145" s="300" t="s">
        <v>287</v>
      </c>
      <c r="W145" s="61">
        <f>SUM(U89:U143)</f>
        <v>16231.01</v>
      </c>
      <c r="X145" s="313">
        <f>W145/V145</f>
        <v>0.17395275809960667</v>
      </c>
      <c r="Y145" s="294"/>
      <c r="Z145" s="2"/>
      <c r="AA145" s="2"/>
      <c r="AB145" s="2"/>
    </row>
    <row r="146" spans="1:28" s="161" customFormat="1" ht="19.5" customHeight="1" thickBot="1" x14ac:dyDescent="0.4">
      <c r="A146" s="314"/>
      <c r="B146" s="315" t="s">
        <v>10</v>
      </c>
      <c r="C146" s="315"/>
      <c r="D146" s="45"/>
      <c r="E146" s="45"/>
      <c r="F146" s="357"/>
      <c r="G146" s="45"/>
      <c r="H146" s="316">
        <f t="shared" ref="H146:U146" si="4">SUM(H3:H143)</f>
        <v>6930</v>
      </c>
      <c r="I146" s="316">
        <f t="shared" si="4"/>
        <v>0</v>
      </c>
      <c r="J146" s="316">
        <f t="shared" si="4"/>
        <v>360</v>
      </c>
      <c r="K146" s="316">
        <f t="shared" si="4"/>
        <v>196</v>
      </c>
      <c r="L146" s="316">
        <f t="shared" si="4"/>
        <v>0</v>
      </c>
      <c r="M146" s="316">
        <f t="shared" si="4"/>
        <v>10518.619999999999</v>
      </c>
      <c r="N146" s="316">
        <f t="shared" si="4"/>
        <v>2767</v>
      </c>
      <c r="O146" s="316">
        <f t="shared" si="4"/>
        <v>2916.5</v>
      </c>
      <c r="P146" s="316">
        <f t="shared" si="4"/>
        <v>3600</v>
      </c>
      <c r="Q146" s="316">
        <f t="shared" si="4"/>
        <v>1069</v>
      </c>
      <c r="R146" s="316">
        <f t="shared" si="4"/>
        <v>9756.4599999999991</v>
      </c>
      <c r="S146" s="316">
        <f t="shared" si="4"/>
        <v>371</v>
      </c>
      <c r="T146" s="316">
        <f t="shared" si="4"/>
        <v>1356.24</v>
      </c>
      <c r="U146" s="316">
        <f t="shared" si="4"/>
        <v>39540.820000000014</v>
      </c>
      <c r="V146" s="317"/>
      <c r="W146" s="26"/>
      <c r="X146" s="3"/>
      <c r="Y146" s="318"/>
      <c r="Z146" s="318"/>
      <c r="AA146" s="318"/>
      <c r="AB146" s="318"/>
    </row>
    <row r="147" spans="1:28" s="161" customFormat="1" ht="14.1" customHeight="1" thickBot="1" x14ac:dyDescent="0.35">
      <c r="A147" s="3"/>
      <c r="B147" s="3"/>
      <c r="C147" s="3"/>
      <c r="D147" s="41"/>
      <c r="E147" s="5"/>
      <c r="F147" s="358"/>
      <c r="G147" s="40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3"/>
      <c r="S147" s="2"/>
      <c r="T147" s="109"/>
      <c r="U147" s="39"/>
      <c r="V147" s="319">
        <f>SUM(U3:U143)</f>
        <v>39540.820000000014</v>
      </c>
      <c r="W147" s="3"/>
      <c r="X147" s="3"/>
      <c r="Y147" s="3"/>
      <c r="Z147" s="3"/>
      <c r="AA147" s="3"/>
      <c r="AB147" s="3"/>
    </row>
    <row r="148" spans="1:28" s="161" customFormat="1" ht="14.1" customHeight="1" x14ac:dyDescent="0.3">
      <c r="A148" s="3"/>
      <c r="B148" s="3"/>
      <c r="C148" s="3"/>
      <c r="D148" s="41"/>
      <c r="E148" s="5"/>
      <c r="F148" s="358"/>
      <c r="G148" s="40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3"/>
      <c r="S148" s="2"/>
      <c r="T148" s="109"/>
      <c r="U148" s="39"/>
      <c r="V148" s="26"/>
      <c r="W148" s="2"/>
      <c r="X148" s="3"/>
      <c r="Y148" s="3"/>
      <c r="Z148" s="3"/>
      <c r="AA148" s="3"/>
      <c r="AB148" s="3"/>
    </row>
    <row r="149" spans="1:28" s="161" customFormat="1" ht="14.1" customHeight="1" x14ac:dyDescent="0.3">
      <c r="A149" s="3"/>
      <c r="B149" s="3"/>
      <c r="C149" s="3"/>
      <c r="D149" s="41"/>
      <c r="E149" s="5"/>
      <c r="F149" s="358"/>
      <c r="G149" s="40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3"/>
      <c r="S149" s="2"/>
      <c r="T149" s="109"/>
      <c r="U149" s="39"/>
      <c r="V149" s="26"/>
      <c r="W149" s="2"/>
      <c r="X149" s="3"/>
      <c r="Y149" s="3"/>
      <c r="Z149" s="3"/>
      <c r="AA149" s="3"/>
      <c r="AB149" s="3"/>
    </row>
    <row r="150" spans="1:28" s="161" customFormat="1" ht="14.1" customHeight="1" x14ac:dyDescent="0.3">
      <c r="A150" s="3"/>
      <c r="B150" s="3"/>
      <c r="C150" s="3"/>
      <c r="D150" s="41"/>
      <c r="E150" s="5"/>
      <c r="F150" s="358"/>
      <c r="G150" s="40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3"/>
      <c r="S150" s="2"/>
      <c r="T150" s="109"/>
      <c r="U150" s="39"/>
      <c r="V150" s="26"/>
      <c r="W150" s="2"/>
      <c r="X150" s="3"/>
      <c r="Y150" s="3"/>
      <c r="Z150" s="3"/>
      <c r="AA150" s="3"/>
      <c r="AB150" s="3"/>
    </row>
    <row r="151" spans="1:28" s="161" customFormat="1" ht="14.1" customHeight="1" x14ac:dyDescent="0.3">
      <c r="A151" s="221"/>
      <c r="B151" s="221"/>
      <c r="C151" s="229"/>
      <c r="D151" s="229"/>
      <c r="E151" s="222"/>
      <c r="F151" s="229"/>
      <c r="G151" s="227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4"/>
      <c r="U151" s="233"/>
      <c r="V151" s="221"/>
      <c r="Y151" s="228"/>
    </row>
    <row r="152" spans="1:28" s="161" customFormat="1" ht="14.1" customHeight="1" x14ac:dyDescent="0.3">
      <c r="A152" s="221"/>
      <c r="B152" s="221"/>
      <c r="C152" s="229"/>
      <c r="D152" s="229"/>
      <c r="E152" s="222"/>
      <c r="F152" s="229"/>
      <c r="G152" s="227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4"/>
      <c r="U152" s="233"/>
      <c r="V152" s="221"/>
      <c r="Y152" s="228"/>
    </row>
    <row r="153" spans="1:28" s="161" customFormat="1" ht="14.1" customHeight="1" x14ac:dyDescent="0.3">
      <c r="A153" s="221"/>
      <c r="B153" s="221"/>
      <c r="C153" s="229"/>
      <c r="D153" s="229"/>
      <c r="E153" s="222"/>
      <c r="F153" s="229"/>
      <c r="G153" s="227"/>
      <c r="H153" s="223"/>
      <c r="I153" s="223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4"/>
      <c r="U153" s="233"/>
      <c r="V153" s="221"/>
      <c r="Y153" s="228"/>
    </row>
    <row r="154" spans="1:28" s="161" customFormat="1" ht="14.1" customHeight="1" x14ac:dyDescent="0.3">
      <c r="A154" s="221"/>
      <c r="B154" s="221"/>
      <c r="C154" s="229"/>
      <c r="D154" s="229"/>
      <c r="E154" s="222"/>
      <c r="F154" s="229"/>
      <c r="G154" s="227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4"/>
      <c r="U154" s="233"/>
      <c r="V154" s="221"/>
      <c r="Y154" s="228"/>
    </row>
    <row r="155" spans="1:28" s="161" customFormat="1" ht="14.1" customHeight="1" x14ac:dyDescent="0.3">
      <c r="A155" s="221"/>
      <c r="B155" s="221"/>
      <c r="C155" s="229"/>
      <c r="D155" s="229"/>
      <c r="E155" s="222"/>
      <c r="F155" s="229"/>
      <c r="G155" s="227"/>
      <c r="H155" s="223"/>
      <c r="I155" s="223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4"/>
      <c r="U155" s="233"/>
      <c r="V155" s="221"/>
      <c r="Y155" s="228"/>
    </row>
    <row r="156" spans="1:28" s="161" customFormat="1" ht="14.1" customHeight="1" x14ac:dyDescent="0.3">
      <c r="A156" s="221"/>
      <c r="B156" s="221"/>
      <c r="C156" s="229"/>
      <c r="D156" s="229"/>
      <c r="E156" s="222"/>
      <c r="F156" s="229"/>
      <c r="G156" s="227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4"/>
      <c r="U156" s="233"/>
      <c r="V156" s="221"/>
      <c r="Y156" s="228"/>
    </row>
    <row r="157" spans="1:28" s="161" customFormat="1" ht="14.1" customHeight="1" x14ac:dyDescent="0.3">
      <c r="A157" s="221"/>
      <c r="B157" s="221"/>
      <c r="C157" s="229"/>
      <c r="D157" s="229"/>
      <c r="E157" s="222"/>
      <c r="F157" s="229"/>
      <c r="G157" s="227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4"/>
      <c r="U157" s="233"/>
      <c r="V157" s="221"/>
      <c r="Y157" s="228"/>
    </row>
    <row r="158" spans="1:28" s="161" customFormat="1" ht="14.1" customHeight="1" x14ac:dyDescent="0.3">
      <c r="A158" s="221"/>
      <c r="B158" s="221"/>
      <c r="C158" s="229"/>
      <c r="D158" s="229"/>
      <c r="E158" s="222"/>
      <c r="F158" s="229"/>
      <c r="G158" s="227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4"/>
      <c r="U158" s="233"/>
      <c r="V158" s="221"/>
      <c r="Y158" s="228"/>
    </row>
    <row r="159" spans="1:28" s="161" customFormat="1" ht="14.1" customHeight="1" x14ac:dyDescent="0.3">
      <c r="A159" s="221"/>
      <c r="B159" s="221"/>
      <c r="C159" s="229"/>
      <c r="D159" s="229"/>
      <c r="E159" s="222"/>
      <c r="F159" s="229"/>
      <c r="G159" s="227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4"/>
      <c r="U159" s="233"/>
      <c r="V159" s="221"/>
      <c r="Y159" s="228"/>
    </row>
    <row r="160" spans="1:28" s="161" customFormat="1" ht="14.1" customHeight="1" x14ac:dyDescent="0.3">
      <c r="A160" s="221"/>
      <c r="B160" s="221"/>
      <c r="C160" s="229"/>
      <c r="D160" s="229"/>
      <c r="E160" s="222"/>
      <c r="F160" s="229"/>
      <c r="G160" s="227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4"/>
      <c r="U160" s="233"/>
      <c r="V160" s="221"/>
      <c r="Y160" s="228"/>
    </row>
    <row r="161" spans="1:25" s="161" customFormat="1" ht="14.1" customHeight="1" x14ac:dyDescent="0.3">
      <c r="A161" s="221"/>
      <c r="B161" s="221"/>
      <c r="C161" s="229"/>
      <c r="D161" s="229"/>
      <c r="E161" s="222"/>
      <c r="F161" s="229"/>
      <c r="G161" s="227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4"/>
      <c r="U161" s="233"/>
      <c r="V161" s="221"/>
      <c r="Y161" s="228"/>
    </row>
    <row r="162" spans="1:25" s="161" customFormat="1" ht="14.1" customHeight="1" x14ac:dyDescent="0.3">
      <c r="A162" s="221"/>
      <c r="B162" s="221"/>
      <c r="C162" s="229"/>
      <c r="D162" s="229"/>
      <c r="E162" s="222"/>
      <c r="F162" s="229"/>
      <c r="G162" s="227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4"/>
      <c r="U162" s="233"/>
      <c r="V162" s="221"/>
      <c r="Y162" s="228"/>
    </row>
    <row r="163" spans="1:25" s="161" customFormat="1" ht="14.1" customHeight="1" x14ac:dyDescent="0.3">
      <c r="A163" s="221"/>
      <c r="B163" s="221"/>
      <c r="C163" s="229"/>
      <c r="D163" s="229"/>
      <c r="E163" s="222"/>
      <c r="F163" s="229"/>
      <c r="G163" s="227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4"/>
      <c r="U163" s="233"/>
      <c r="V163" s="221"/>
      <c r="Y163" s="228"/>
    </row>
    <row r="164" spans="1:25" s="161" customFormat="1" ht="14.1" customHeight="1" x14ac:dyDescent="0.3">
      <c r="A164" s="221"/>
      <c r="B164" s="221"/>
      <c r="C164" s="229"/>
      <c r="D164" s="229"/>
      <c r="E164" s="222"/>
      <c r="F164" s="229"/>
      <c r="G164" s="227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4"/>
      <c r="U164" s="233"/>
      <c r="V164" s="221"/>
      <c r="Y164" s="228"/>
    </row>
    <row r="165" spans="1:25" s="161" customFormat="1" ht="14.1" customHeight="1" x14ac:dyDescent="0.3">
      <c r="A165" s="221"/>
      <c r="B165" s="221"/>
      <c r="C165" s="229"/>
      <c r="D165" s="229"/>
      <c r="E165" s="222"/>
      <c r="F165" s="229"/>
      <c r="G165" s="227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4"/>
      <c r="U165" s="233"/>
      <c r="V165" s="221"/>
      <c r="Y165" s="228"/>
    </row>
    <row r="166" spans="1:25" s="161" customFormat="1" ht="14.1" customHeight="1" x14ac:dyDescent="0.3">
      <c r="A166" s="221"/>
      <c r="B166" s="221"/>
      <c r="C166" s="229"/>
      <c r="D166" s="229"/>
      <c r="E166" s="222"/>
      <c r="F166" s="229"/>
      <c r="G166" s="227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4"/>
      <c r="U166" s="233"/>
      <c r="V166" s="221"/>
      <c r="Y166" s="228"/>
    </row>
    <row r="167" spans="1:25" s="161" customFormat="1" ht="14.1" customHeight="1" x14ac:dyDescent="0.3">
      <c r="A167" s="221"/>
      <c r="B167" s="221"/>
      <c r="C167" s="229"/>
      <c r="D167" s="229"/>
      <c r="E167" s="222"/>
      <c r="F167" s="229"/>
      <c r="G167" s="227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4"/>
      <c r="U167" s="233"/>
      <c r="V167" s="221"/>
      <c r="Y167" s="228"/>
    </row>
    <row r="168" spans="1:25" s="161" customFormat="1" ht="14.1" customHeight="1" x14ac:dyDescent="0.3">
      <c r="A168" s="221"/>
      <c r="B168" s="221"/>
      <c r="C168" s="229"/>
      <c r="D168" s="229"/>
      <c r="E168" s="222"/>
      <c r="F168" s="229"/>
      <c r="G168" s="227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4"/>
      <c r="U168" s="233"/>
      <c r="V168" s="221"/>
      <c r="Y168" s="228"/>
    </row>
    <row r="169" spans="1:25" s="161" customFormat="1" ht="14.1" customHeight="1" x14ac:dyDescent="0.3">
      <c r="A169" s="221"/>
      <c r="B169" s="221"/>
      <c r="C169" s="229"/>
      <c r="D169" s="229"/>
      <c r="E169" s="222"/>
      <c r="F169" s="229"/>
      <c r="G169" s="227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4"/>
      <c r="U169" s="233"/>
      <c r="V169" s="221"/>
      <c r="Y169" s="228"/>
    </row>
    <row r="170" spans="1:25" s="161" customFormat="1" ht="14.1" customHeight="1" x14ac:dyDescent="0.3">
      <c r="A170" s="221"/>
      <c r="B170" s="221"/>
      <c r="C170" s="229"/>
      <c r="D170" s="229"/>
      <c r="E170" s="222"/>
      <c r="F170" s="229"/>
      <c r="G170" s="227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4"/>
      <c r="U170" s="233"/>
      <c r="V170" s="221"/>
      <c r="Y170" s="228"/>
    </row>
    <row r="171" spans="1:25" s="161" customFormat="1" ht="14.1" customHeight="1" x14ac:dyDescent="0.3">
      <c r="A171" s="221"/>
      <c r="B171" s="221"/>
      <c r="C171" s="229"/>
      <c r="D171" s="229"/>
      <c r="E171" s="222"/>
      <c r="F171" s="229"/>
      <c r="G171" s="227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4"/>
      <c r="U171" s="233"/>
      <c r="V171" s="221"/>
      <c r="Y171" s="228"/>
    </row>
    <row r="172" spans="1:25" s="161" customFormat="1" ht="14.1" customHeight="1" x14ac:dyDescent="0.3">
      <c r="A172" s="221"/>
      <c r="B172" s="221"/>
      <c r="C172" s="229"/>
      <c r="D172" s="229"/>
      <c r="E172" s="222"/>
      <c r="F172" s="229"/>
      <c r="G172" s="227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4"/>
      <c r="U172" s="233"/>
      <c r="V172" s="221"/>
      <c r="Y172" s="228"/>
    </row>
    <row r="173" spans="1:25" s="161" customFormat="1" ht="14.1" customHeight="1" x14ac:dyDescent="0.3">
      <c r="A173" s="221"/>
      <c r="B173" s="221"/>
      <c r="C173" s="229"/>
      <c r="D173" s="229"/>
      <c r="E173" s="222"/>
      <c r="F173" s="229"/>
      <c r="G173" s="227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4"/>
      <c r="U173" s="233"/>
      <c r="V173" s="221"/>
      <c r="Y173" s="228"/>
    </row>
    <row r="174" spans="1:25" s="161" customFormat="1" ht="14.1" customHeight="1" x14ac:dyDescent="0.3">
      <c r="A174" s="221"/>
      <c r="B174" s="221"/>
      <c r="C174" s="229"/>
      <c r="D174" s="229"/>
      <c r="E174" s="222"/>
      <c r="F174" s="229"/>
      <c r="G174" s="227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4"/>
      <c r="U174" s="233"/>
      <c r="V174" s="221"/>
      <c r="Y174" s="228"/>
    </row>
    <row r="175" spans="1:25" s="161" customFormat="1" ht="14.1" customHeight="1" x14ac:dyDescent="0.3">
      <c r="A175" s="221"/>
      <c r="B175" s="221"/>
      <c r="C175" s="229"/>
      <c r="D175" s="229"/>
      <c r="E175" s="222"/>
      <c r="F175" s="229"/>
      <c r="G175" s="227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4"/>
      <c r="U175" s="233"/>
      <c r="V175" s="221"/>
      <c r="Y175" s="228"/>
    </row>
    <row r="176" spans="1:25" s="161" customFormat="1" ht="14.1" customHeight="1" x14ac:dyDescent="0.3">
      <c r="A176" s="221"/>
      <c r="B176" s="221"/>
      <c r="C176" s="229"/>
      <c r="D176" s="229"/>
      <c r="E176" s="222"/>
      <c r="F176" s="229"/>
      <c r="G176" s="227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4"/>
      <c r="U176" s="233"/>
      <c r="V176" s="221"/>
      <c r="Y176" s="228"/>
    </row>
    <row r="177" spans="1:25" s="161" customFormat="1" ht="14.1" customHeight="1" x14ac:dyDescent="0.3">
      <c r="A177" s="221"/>
      <c r="B177" s="221"/>
      <c r="C177" s="229"/>
      <c r="D177" s="229"/>
      <c r="E177" s="222"/>
      <c r="F177" s="229"/>
      <c r="G177" s="227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4"/>
      <c r="U177" s="233"/>
      <c r="V177" s="221"/>
      <c r="Y177" s="228"/>
    </row>
    <row r="178" spans="1:25" s="161" customFormat="1" ht="14.1" customHeight="1" x14ac:dyDescent="0.3">
      <c r="A178" s="221"/>
      <c r="B178" s="221"/>
      <c r="C178" s="229"/>
      <c r="D178" s="229"/>
      <c r="E178" s="222"/>
      <c r="F178" s="229"/>
      <c r="G178" s="227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4"/>
      <c r="U178" s="233"/>
      <c r="V178" s="221"/>
      <c r="Y178" s="228"/>
    </row>
    <row r="179" spans="1:25" s="161" customFormat="1" ht="14.1" customHeight="1" x14ac:dyDescent="0.3">
      <c r="A179" s="221"/>
      <c r="B179" s="221"/>
      <c r="C179" s="229"/>
      <c r="D179" s="229"/>
      <c r="E179" s="222"/>
      <c r="F179" s="229"/>
      <c r="G179" s="227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4"/>
      <c r="U179" s="233"/>
      <c r="V179" s="221"/>
      <c r="Y179" s="228"/>
    </row>
    <row r="180" spans="1:25" s="161" customFormat="1" ht="14.1" customHeight="1" x14ac:dyDescent="0.3">
      <c r="A180" s="221"/>
      <c r="B180" s="221"/>
      <c r="C180" s="229"/>
      <c r="D180" s="229"/>
      <c r="E180" s="222"/>
      <c r="F180" s="229"/>
      <c r="G180" s="227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4"/>
      <c r="U180" s="233"/>
      <c r="V180" s="221"/>
      <c r="Y180" s="228"/>
    </row>
    <row r="181" spans="1:25" s="161" customFormat="1" ht="14.1" customHeight="1" x14ac:dyDescent="0.3">
      <c r="A181" s="221"/>
      <c r="B181" s="221"/>
      <c r="C181" s="229"/>
      <c r="D181" s="229"/>
      <c r="E181" s="222"/>
      <c r="F181" s="229"/>
      <c r="G181" s="227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4"/>
      <c r="U181" s="233"/>
      <c r="V181" s="221"/>
      <c r="Y181" s="228"/>
    </row>
    <row r="182" spans="1:25" s="161" customFormat="1" ht="14.1" customHeight="1" x14ac:dyDescent="0.3">
      <c r="A182" s="221"/>
      <c r="B182" s="221"/>
      <c r="C182" s="229"/>
      <c r="D182" s="229"/>
      <c r="E182" s="222"/>
      <c r="F182" s="229"/>
      <c r="G182" s="227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4"/>
      <c r="U182" s="233"/>
      <c r="V182" s="221"/>
      <c r="Y182" s="228"/>
    </row>
    <row r="183" spans="1:25" s="161" customFormat="1" ht="14.1" customHeight="1" x14ac:dyDescent="0.3">
      <c r="A183" s="221"/>
      <c r="B183" s="221"/>
      <c r="C183" s="229"/>
      <c r="D183" s="229"/>
      <c r="E183" s="222"/>
      <c r="F183" s="229"/>
      <c r="G183" s="227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4"/>
      <c r="U183" s="233"/>
      <c r="V183" s="221"/>
      <c r="Y183" s="228"/>
    </row>
    <row r="184" spans="1:25" s="161" customFormat="1" ht="14.1" customHeight="1" x14ac:dyDescent="0.3">
      <c r="A184" s="221"/>
      <c r="B184" s="221"/>
      <c r="C184" s="229"/>
      <c r="D184" s="229"/>
      <c r="E184" s="222"/>
      <c r="F184" s="229"/>
      <c r="G184" s="227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4"/>
      <c r="U184" s="233"/>
      <c r="V184" s="221"/>
      <c r="Y184" s="228"/>
    </row>
    <row r="185" spans="1:25" s="161" customFormat="1" ht="14.1" customHeight="1" x14ac:dyDescent="0.3">
      <c r="A185" s="221"/>
      <c r="B185" s="221"/>
      <c r="C185" s="229"/>
      <c r="D185" s="229"/>
      <c r="E185" s="222"/>
      <c r="F185" s="229"/>
      <c r="G185" s="227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4"/>
      <c r="U185" s="233"/>
      <c r="V185" s="221"/>
      <c r="Y185" s="228"/>
    </row>
    <row r="186" spans="1:25" s="161" customFormat="1" ht="14.1" customHeight="1" x14ac:dyDescent="0.3">
      <c r="A186" s="221"/>
      <c r="B186" s="221"/>
      <c r="C186" s="229"/>
      <c r="D186" s="229"/>
      <c r="E186" s="222"/>
      <c r="F186" s="229"/>
      <c r="G186" s="227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4"/>
      <c r="U186" s="233"/>
      <c r="V186" s="221"/>
      <c r="Y186" s="228"/>
    </row>
    <row r="187" spans="1:25" s="161" customFormat="1" ht="14.1" customHeight="1" x14ac:dyDescent="0.3">
      <c r="A187" s="221"/>
      <c r="B187" s="221"/>
      <c r="C187" s="229"/>
      <c r="D187" s="229"/>
      <c r="E187" s="222"/>
      <c r="F187" s="229"/>
      <c r="G187" s="227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4"/>
      <c r="U187" s="233"/>
      <c r="V187" s="221"/>
      <c r="Y187" s="228"/>
    </row>
    <row r="188" spans="1:25" s="161" customFormat="1" ht="14.1" customHeight="1" x14ac:dyDescent="0.3">
      <c r="A188" s="221"/>
      <c r="B188" s="221"/>
      <c r="C188" s="229"/>
      <c r="D188" s="229"/>
      <c r="E188" s="222"/>
      <c r="F188" s="229"/>
      <c r="G188" s="227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4"/>
      <c r="U188" s="233"/>
      <c r="V188" s="221"/>
      <c r="Y188" s="228"/>
    </row>
    <row r="189" spans="1:25" s="161" customFormat="1" ht="14.1" customHeight="1" x14ac:dyDescent="0.3">
      <c r="A189" s="221"/>
      <c r="B189" s="221"/>
      <c r="C189" s="229"/>
      <c r="D189" s="229"/>
      <c r="E189" s="222"/>
      <c r="F189" s="229"/>
      <c r="G189" s="227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4"/>
      <c r="U189" s="233"/>
      <c r="V189" s="221"/>
      <c r="Y189" s="228"/>
    </row>
    <row r="190" spans="1:25" s="161" customFormat="1" ht="14.1" customHeight="1" x14ac:dyDescent="0.3">
      <c r="A190" s="221"/>
      <c r="B190" s="221"/>
      <c r="C190" s="229"/>
      <c r="D190" s="229"/>
      <c r="E190" s="222"/>
      <c r="F190" s="229"/>
      <c r="G190" s="227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4"/>
      <c r="U190" s="233"/>
      <c r="V190" s="221"/>
      <c r="Y190" s="228"/>
    </row>
    <row r="191" spans="1:25" s="161" customFormat="1" ht="14.1" customHeight="1" x14ac:dyDescent="0.3">
      <c r="A191" s="221"/>
      <c r="B191" s="221"/>
      <c r="C191" s="229"/>
      <c r="D191" s="229"/>
      <c r="E191" s="222"/>
      <c r="F191" s="229"/>
      <c r="G191" s="227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4"/>
      <c r="U191" s="233"/>
      <c r="V191" s="221"/>
      <c r="Y191" s="228"/>
    </row>
    <row r="192" spans="1:25" s="161" customFormat="1" ht="14.1" customHeight="1" x14ac:dyDescent="0.3">
      <c r="A192" s="221"/>
      <c r="B192" s="221"/>
      <c r="C192" s="229"/>
      <c r="D192" s="229"/>
      <c r="E192" s="222"/>
      <c r="F192" s="229"/>
      <c r="G192" s="227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4"/>
      <c r="U192" s="233"/>
      <c r="V192" s="221"/>
      <c r="Y192" s="228"/>
    </row>
    <row r="193" spans="1:25" s="161" customFormat="1" ht="14.1" customHeight="1" x14ac:dyDescent="0.3">
      <c r="A193" s="221"/>
      <c r="B193" s="221"/>
      <c r="C193" s="229"/>
      <c r="D193" s="229"/>
      <c r="E193" s="222"/>
      <c r="F193" s="229"/>
      <c r="G193" s="227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4"/>
      <c r="U193" s="233"/>
      <c r="V193" s="221"/>
      <c r="Y193" s="228"/>
    </row>
    <row r="194" spans="1:25" s="161" customFormat="1" ht="14.1" customHeight="1" x14ac:dyDescent="0.3">
      <c r="A194" s="221"/>
      <c r="B194" s="221"/>
      <c r="C194" s="229"/>
      <c r="D194" s="229"/>
      <c r="E194" s="222"/>
      <c r="F194" s="229"/>
      <c r="G194" s="227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4"/>
      <c r="U194" s="233"/>
      <c r="V194" s="221"/>
      <c r="Y194" s="228"/>
    </row>
    <row r="195" spans="1:25" s="161" customFormat="1" ht="14.1" customHeight="1" x14ac:dyDescent="0.3">
      <c r="A195" s="221"/>
      <c r="B195" s="221"/>
      <c r="C195" s="229"/>
      <c r="D195" s="229"/>
      <c r="E195" s="222"/>
      <c r="F195" s="229"/>
      <c r="G195" s="227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4"/>
      <c r="U195" s="233"/>
      <c r="V195" s="221"/>
      <c r="Y195" s="228"/>
    </row>
    <row r="196" spans="1:25" s="161" customFormat="1" ht="14.1" customHeight="1" x14ac:dyDescent="0.3">
      <c r="A196" s="221"/>
      <c r="B196" s="221"/>
      <c r="C196" s="229"/>
      <c r="D196" s="229"/>
      <c r="E196" s="222"/>
      <c r="F196" s="229"/>
      <c r="G196" s="227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4"/>
      <c r="U196" s="233"/>
      <c r="V196" s="221"/>
      <c r="Y196" s="228"/>
    </row>
    <row r="197" spans="1:25" s="161" customFormat="1" ht="14.1" customHeight="1" x14ac:dyDescent="0.3">
      <c r="A197" s="221"/>
      <c r="B197" s="221"/>
      <c r="C197" s="229"/>
      <c r="D197" s="229"/>
      <c r="E197" s="222"/>
      <c r="F197" s="229"/>
      <c r="G197" s="227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4"/>
      <c r="U197" s="233"/>
      <c r="V197" s="221"/>
      <c r="Y197" s="228"/>
    </row>
    <row r="198" spans="1:25" s="161" customFormat="1" ht="14.1" customHeight="1" x14ac:dyDescent="0.3">
      <c r="A198" s="221"/>
      <c r="B198" s="221"/>
      <c r="C198" s="229"/>
      <c r="D198" s="229"/>
      <c r="E198" s="222"/>
      <c r="F198" s="229"/>
      <c r="G198" s="227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4"/>
      <c r="U198" s="233"/>
      <c r="V198" s="221"/>
      <c r="Y198" s="228"/>
    </row>
    <row r="199" spans="1:25" s="161" customFormat="1" ht="14.1" customHeight="1" x14ac:dyDescent="0.3">
      <c r="A199" s="221"/>
      <c r="B199" s="221"/>
      <c r="C199" s="229"/>
      <c r="D199" s="229"/>
      <c r="E199" s="222"/>
      <c r="F199" s="229"/>
      <c r="G199" s="227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4"/>
      <c r="U199" s="233"/>
      <c r="V199" s="221"/>
      <c r="Y199" s="228"/>
    </row>
    <row r="200" spans="1:25" s="161" customFormat="1" ht="14.1" customHeight="1" x14ac:dyDescent="0.3">
      <c r="A200" s="221"/>
      <c r="B200" s="221"/>
      <c r="C200" s="229"/>
      <c r="D200" s="229"/>
      <c r="E200" s="222"/>
      <c r="F200" s="229"/>
      <c r="G200" s="227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4"/>
      <c r="U200" s="233"/>
      <c r="V200" s="221"/>
      <c r="Y200" s="228"/>
    </row>
    <row r="201" spans="1:25" s="161" customFormat="1" ht="14.1" customHeight="1" x14ac:dyDescent="0.3">
      <c r="A201" s="221"/>
      <c r="B201" s="221"/>
      <c r="C201" s="229"/>
      <c r="D201" s="229"/>
      <c r="E201" s="222"/>
      <c r="F201" s="229"/>
      <c r="G201" s="227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4"/>
      <c r="U201" s="233"/>
      <c r="V201" s="221"/>
      <c r="Y201" s="228"/>
    </row>
    <row r="202" spans="1:25" s="161" customFormat="1" ht="14.1" customHeight="1" x14ac:dyDescent="0.3">
      <c r="A202" s="221"/>
      <c r="B202" s="221"/>
      <c r="C202" s="226"/>
      <c r="D202" s="229"/>
      <c r="E202" s="222"/>
      <c r="F202" s="229"/>
      <c r="G202" s="227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4"/>
      <c r="T202" s="224"/>
      <c r="V202" s="234"/>
      <c r="W202" s="225"/>
      <c r="X202" s="235"/>
    </row>
    <row r="203" spans="1:25" s="161" customFormat="1" ht="14.1" customHeight="1" x14ac:dyDescent="0.3">
      <c r="A203" s="221"/>
      <c r="B203" s="221"/>
      <c r="C203" s="229"/>
      <c r="D203" s="229"/>
      <c r="E203" s="222"/>
      <c r="F203" s="229"/>
      <c r="G203" s="227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4"/>
      <c r="U203" s="233"/>
      <c r="V203" s="221"/>
      <c r="Y203" s="228"/>
    </row>
    <row r="204" spans="1:25" s="161" customFormat="1" ht="14.1" customHeight="1" x14ac:dyDescent="0.3">
      <c r="A204" s="221"/>
      <c r="B204" s="221"/>
      <c r="C204" s="229"/>
      <c r="D204" s="229"/>
      <c r="E204" s="222"/>
      <c r="F204" s="229"/>
      <c r="G204" s="227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4"/>
      <c r="U204" s="233"/>
      <c r="V204" s="221"/>
      <c r="Y204" s="228"/>
    </row>
    <row r="205" spans="1:25" s="161" customFormat="1" ht="14.1" customHeight="1" x14ac:dyDescent="0.3">
      <c r="A205" s="221"/>
      <c r="B205" s="221"/>
      <c r="C205" s="229"/>
      <c r="D205" s="229"/>
      <c r="E205" s="222"/>
      <c r="F205" s="229"/>
      <c r="G205" s="227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4"/>
      <c r="U205" s="233"/>
      <c r="V205" s="221"/>
      <c r="Y205" s="228"/>
    </row>
    <row r="206" spans="1:25" s="161" customFormat="1" ht="14.1" customHeight="1" x14ac:dyDescent="0.3">
      <c r="A206" s="221"/>
      <c r="B206" s="221"/>
      <c r="C206" s="229"/>
      <c r="D206" s="229"/>
      <c r="E206" s="222"/>
      <c r="F206" s="229"/>
      <c r="G206" s="227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4"/>
      <c r="U206" s="233"/>
      <c r="V206" s="221"/>
      <c r="Y206" s="228"/>
    </row>
    <row r="207" spans="1:25" s="161" customFormat="1" ht="14.1" customHeight="1" x14ac:dyDescent="0.3">
      <c r="A207" s="221"/>
      <c r="B207" s="221"/>
      <c r="C207" s="229"/>
      <c r="D207" s="229"/>
      <c r="E207" s="222"/>
      <c r="F207" s="229"/>
      <c r="G207" s="227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4"/>
      <c r="U207" s="233"/>
      <c r="V207" s="221"/>
      <c r="Y207" s="228"/>
    </row>
    <row r="208" spans="1:25" s="161" customFormat="1" ht="14.1" customHeight="1" x14ac:dyDescent="0.3">
      <c r="A208" s="221"/>
      <c r="B208" s="221"/>
      <c r="C208" s="229"/>
      <c r="D208" s="229"/>
      <c r="E208" s="222"/>
      <c r="F208" s="229"/>
      <c r="G208" s="227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4"/>
      <c r="U208" s="233"/>
      <c r="V208" s="221"/>
      <c r="Y208" s="228"/>
    </row>
    <row r="209" spans="1:25" s="161" customFormat="1" ht="14.1" customHeight="1" x14ac:dyDescent="0.3">
      <c r="A209" s="221"/>
      <c r="B209" s="221"/>
      <c r="C209" s="229"/>
      <c r="D209" s="229"/>
      <c r="E209" s="222"/>
      <c r="F209" s="229"/>
      <c r="G209" s="227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4"/>
      <c r="U209" s="233"/>
      <c r="V209" s="221"/>
      <c r="Y209" s="228"/>
    </row>
    <row r="210" spans="1:25" s="161" customFormat="1" ht="14.1" customHeight="1" x14ac:dyDescent="0.3">
      <c r="A210" s="221"/>
      <c r="B210" s="221"/>
      <c r="C210" s="229"/>
      <c r="D210" s="229"/>
      <c r="E210" s="222"/>
      <c r="F210" s="229"/>
      <c r="G210" s="227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4"/>
      <c r="U210" s="233"/>
      <c r="V210" s="221"/>
      <c r="Y210" s="228"/>
    </row>
    <row r="211" spans="1:25" s="161" customFormat="1" ht="14.1" customHeight="1" x14ac:dyDescent="0.3">
      <c r="A211" s="221"/>
      <c r="B211" s="221"/>
      <c r="C211" s="229"/>
      <c r="D211" s="229"/>
      <c r="E211" s="222"/>
      <c r="F211" s="229"/>
      <c r="G211" s="227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4"/>
      <c r="U211" s="233"/>
      <c r="V211" s="221"/>
      <c r="Y211" s="228"/>
    </row>
    <row r="212" spans="1:25" s="161" customFormat="1" ht="14.1" customHeight="1" x14ac:dyDescent="0.3">
      <c r="A212" s="221"/>
      <c r="B212" s="221"/>
      <c r="C212" s="229"/>
      <c r="D212" s="229"/>
      <c r="E212" s="222"/>
      <c r="F212" s="229"/>
      <c r="G212" s="227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4"/>
      <c r="U212" s="233"/>
      <c r="V212" s="221"/>
      <c r="Y212" s="228"/>
    </row>
    <row r="213" spans="1:25" s="161" customFormat="1" ht="14.1" customHeight="1" x14ac:dyDescent="0.3">
      <c r="A213" s="221"/>
      <c r="B213" s="221"/>
      <c r="C213" s="229"/>
      <c r="D213" s="229"/>
      <c r="E213" s="222"/>
      <c r="F213" s="229"/>
      <c r="G213" s="227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4"/>
      <c r="U213" s="233"/>
      <c r="V213" s="221"/>
      <c r="Y213" s="228"/>
    </row>
    <row r="214" spans="1:25" s="161" customFormat="1" ht="14.1" customHeight="1" x14ac:dyDescent="0.3">
      <c r="A214" s="221"/>
      <c r="B214" s="221"/>
      <c r="C214" s="229"/>
      <c r="D214" s="229"/>
      <c r="E214" s="222"/>
      <c r="F214" s="229"/>
      <c r="G214" s="227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4"/>
      <c r="U214" s="233"/>
      <c r="V214" s="221"/>
      <c r="Y214" s="228"/>
    </row>
    <row r="215" spans="1:25" s="161" customFormat="1" ht="14.1" customHeight="1" x14ac:dyDescent="0.3">
      <c r="A215" s="221"/>
      <c r="B215" s="221"/>
      <c r="C215" s="229"/>
      <c r="D215" s="229"/>
      <c r="E215" s="222"/>
      <c r="F215" s="229"/>
      <c r="G215" s="227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4"/>
      <c r="U215" s="233"/>
      <c r="V215" s="221"/>
      <c r="Y215" s="228"/>
    </row>
    <row r="216" spans="1:25" s="161" customFormat="1" ht="14.1" customHeight="1" x14ac:dyDescent="0.3">
      <c r="A216" s="221"/>
      <c r="B216" s="221"/>
      <c r="C216" s="229"/>
      <c r="D216" s="229"/>
      <c r="E216" s="222"/>
      <c r="F216" s="229"/>
      <c r="G216" s="227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4"/>
      <c r="U216" s="233"/>
      <c r="V216" s="221"/>
      <c r="Y216" s="228"/>
    </row>
    <row r="217" spans="1:25" s="161" customFormat="1" ht="14.1" customHeight="1" x14ac:dyDescent="0.3">
      <c r="A217" s="221"/>
      <c r="B217" s="221"/>
      <c r="C217" s="229"/>
      <c r="D217" s="229"/>
      <c r="E217" s="222"/>
      <c r="F217" s="229"/>
      <c r="G217" s="227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4"/>
      <c r="U217" s="233"/>
      <c r="V217" s="221"/>
      <c r="Y217" s="228"/>
    </row>
    <row r="218" spans="1:25" s="161" customFormat="1" ht="14.1" customHeight="1" x14ac:dyDescent="0.3">
      <c r="A218" s="221"/>
      <c r="B218" s="221"/>
      <c r="C218" s="229"/>
      <c r="D218" s="229"/>
      <c r="E218" s="222"/>
      <c r="F218" s="229"/>
      <c r="G218" s="227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4"/>
      <c r="U218" s="233"/>
      <c r="V218" s="221"/>
      <c r="Y218" s="228"/>
    </row>
    <row r="219" spans="1:25" s="161" customFormat="1" ht="14.1" customHeight="1" x14ac:dyDescent="0.3">
      <c r="A219" s="221"/>
      <c r="B219" s="221"/>
      <c r="C219" s="229"/>
      <c r="D219" s="229"/>
      <c r="E219" s="222"/>
      <c r="F219" s="229"/>
      <c r="G219" s="227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4"/>
      <c r="U219" s="233"/>
      <c r="V219" s="221"/>
      <c r="Y219" s="228"/>
    </row>
    <row r="220" spans="1:25" s="161" customFormat="1" ht="14.1" customHeight="1" x14ac:dyDescent="0.3">
      <c r="A220" s="221"/>
      <c r="B220" s="221"/>
      <c r="C220" s="229"/>
      <c r="D220" s="229"/>
      <c r="E220" s="222"/>
      <c r="F220" s="229"/>
      <c r="G220" s="227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4"/>
      <c r="U220" s="233"/>
      <c r="V220" s="221"/>
      <c r="Y220" s="228"/>
    </row>
    <row r="221" spans="1:25" s="161" customFormat="1" ht="14.1" customHeight="1" x14ac:dyDescent="0.3">
      <c r="A221" s="221"/>
      <c r="B221" s="221"/>
      <c r="C221" s="229"/>
      <c r="D221" s="229"/>
      <c r="E221" s="222"/>
      <c r="F221" s="229"/>
      <c r="G221" s="227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4"/>
      <c r="U221" s="233"/>
      <c r="V221" s="221"/>
      <c r="Y221" s="228"/>
    </row>
    <row r="222" spans="1:25" s="161" customFormat="1" ht="14.1" customHeight="1" x14ac:dyDescent="0.3">
      <c r="A222" s="221"/>
      <c r="B222" s="221"/>
      <c r="C222" s="229"/>
      <c r="D222" s="229"/>
      <c r="E222" s="222"/>
      <c r="F222" s="229"/>
      <c r="G222" s="227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4"/>
      <c r="U222" s="233"/>
      <c r="V222" s="221"/>
      <c r="Y222" s="228"/>
    </row>
    <row r="223" spans="1:25" s="161" customFormat="1" ht="14.1" customHeight="1" x14ac:dyDescent="0.3">
      <c r="A223" s="221"/>
      <c r="B223" s="221"/>
      <c r="C223" s="229"/>
      <c r="D223" s="229"/>
      <c r="E223" s="222"/>
      <c r="F223" s="229"/>
      <c r="G223" s="227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4"/>
      <c r="U223" s="233"/>
      <c r="V223" s="221"/>
      <c r="Y223" s="228"/>
    </row>
    <row r="224" spans="1:25" s="161" customFormat="1" ht="14.1" customHeight="1" x14ac:dyDescent="0.3">
      <c r="A224" s="221"/>
      <c r="B224" s="221"/>
      <c r="C224" s="229"/>
      <c r="D224" s="229"/>
      <c r="E224" s="222"/>
      <c r="F224" s="229"/>
      <c r="G224" s="227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4"/>
      <c r="U224" s="233"/>
      <c r="V224" s="221"/>
      <c r="Y224" s="228"/>
    </row>
    <row r="225" spans="1:25" s="161" customFormat="1" ht="14.1" customHeight="1" x14ac:dyDescent="0.3">
      <c r="A225" s="221"/>
      <c r="B225" s="221"/>
      <c r="C225" s="229"/>
      <c r="D225" s="229"/>
      <c r="E225" s="222"/>
      <c r="F225" s="229"/>
      <c r="G225" s="227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4"/>
      <c r="U225" s="233"/>
      <c r="V225" s="221"/>
      <c r="Y225" s="228"/>
    </row>
    <row r="226" spans="1:25" s="161" customFormat="1" ht="14.1" customHeight="1" x14ac:dyDescent="0.3">
      <c r="A226" s="221"/>
      <c r="B226" s="221"/>
      <c r="C226" s="229"/>
      <c r="D226" s="229"/>
      <c r="E226" s="222"/>
      <c r="F226" s="229"/>
      <c r="G226" s="227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4"/>
      <c r="U226" s="233"/>
      <c r="V226" s="221"/>
      <c r="Y226" s="228"/>
    </row>
    <row r="227" spans="1:25" s="161" customFormat="1" ht="14.1" customHeight="1" x14ac:dyDescent="0.3">
      <c r="A227" s="221"/>
      <c r="B227" s="221"/>
      <c r="C227" s="229"/>
      <c r="D227" s="229"/>
      <c r="E227" s="222"/>
      <c r="F227" s="229"/>
      <c r="G227" s="227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4"/>
      <c r="U227" s="233"/>
      <c r="V227" s="221"/>
      <c r="Y227" s="228"/>
    </row>
    <row r="228" spans="1:25" s="161" customFormat="1" ht="14.1" customHeight="1" x14ac:dyDescent="0.3">
      <c r="A228" s="221"/>
      <c r="B228" s="221"/>
      <c r="C228" s="229"/>
      <c r="D228" s="229"/>
      <c r="E228" s="222"/>
      <c r="F228" s="229"/>
      <c r="G228" s="227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4"/>
      <c r="U228" s="233"/>
      <c r="V228" s="221"/>
      <c r="Y228" s="228"/>
    </row>
    <row r="229" spans="1:25" s="161" customFormat="1" ht="14.1" customHeight="1" x14ac:dyDescent="0.3">
      <c r="A229" s="221"/>
      <c r="B229" s="221"/>
      <c r="C229" s="229"/>
      <c r="D229" s="229"/>
      <c r="E229" s="222"/>
      <c r="F229" s="229"/>
      <c r="G229" s="227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4"/>
      <c r="U229" s="233"/>
      <c r="V229" s="221"/>
      <c r="Y229" s="228"/>
    </row>
    <row r="230" spans="1:25" s="161" customFormat="1" ht="14.1" customHeight="1" x14ac:dyDescent="0.3">
      <c r="A230" s="221"/>
      <c r="B230" s="221"/>
      <c r="C230" s="229"/>
      <c r="D230" s="229"/>
      <c r="E230" s="222"/>
      <c r="F230" s="229"/>
      <c r="G230" s="227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4"/>
      <c r="U230" s="233"/>
      <c r="V230" s="221"/>
      <c r="Y230" s="228"/>
    </row>
    <row r="231" spans="1:25" s="161" customFormat="1" ht="14.1" customHeight="1" x14ac:dyDescent="0.3">
      <c r="A231" s="221"/>
      <c r="B231" s="221"/>
      <c r="C231" s="229"/>
      <c r="D231" s="229"/>
      <c r="E231" s="222"/>
      <c r="F231" s="229"/>
      <c r="G231" s="227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4"/>
      <c r="U231" s="233"/>
      <c r="V231" s="221"/>
      <c r="Y231" s="228"/>
    </row>
    <row r="232" spans="1:25" s="161" customFormat="1" ht="14.1" customHeight="1" x14ac:dyDescent="0.3">
      <c r="A232" s="221"/>
      <c r="B232" s="221"/>
      <c r="C232" s="229"/>
      <c r="D232" s="229"/>
      <c r="E232" s="222"/>
      <c r="F232" s="229"/>
      <c r="G232" s="227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4"/>
      <c r="U232" s="233"/>
      <c r="V232" s="221"/>
      <c r="Y232" s="228"/>
    </row>
    <row r="233" spans="1:25" s="161" customFormat="1" ht="14.1" customHeight="1" x14ac:dyDescent="0.3">
      <c r="A233" s="221"/>
      <c r="B233" s="221"/>
      <c r="C233" s="229"/>
      <c r="D233" s="229"/>
      <c r="E233" s="222"/>
      <c r="F233" s="229"/>
      <c r="G233" s="227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4"/>
      <c r="U233" s="233"/>
      <c r="V233" s="221"/>
      <c r="Y233" s="228"/>
    </row>
    <row r="234" spans="1:25" s="161" customFormat="1" ht="14.1" customHeight="1" x14ac:dyDescent="0.3">
      <c r="A234" s="221"/>
      <c r="B234" s="221"/>
      <c r="C234" s="229"/>
      <c r="D234" s="229"/>
      <c r="E234" s="222"/>
      <c r="F234" s="229"/>
      <c r="G234" s="227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4"/>
      <c r="U234" s="233"/>
      <c r="V234" s="221"/>
      <c r="Y234" s="228"/>
    </row>
    <row r="235" spans="1:25" s="161" customFormat="1" ht="14.1" customHeight="1" x14ac:dyDescent="0.3">
      <c r="A235" s="221"/>
      <c r="B235" s="221"/>
      <c r="C235" s="229"/>
      <c r="D235" s="229"/>
      <c r="E235" s="222"/>
      <c r="F235" s="229"/>
      <c r="G235" s="227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4"/>
      <c r="U235" s="233"/>
      <c r="V235" s="221"/>
      <c r="Y235" s="228"/>
    </row>
    <row r="236" spans="1:25" s="161" customFormat="1" ht="14.1" customHeight="1" x14ac:dyDescent="0.3">
      <c r="A236" s="221"/>
      <c r="B236" s="221"/>
      <c r="C236" s="229"/>
      <c r="D236" s="229"/>
      <c r="E236" s="222"/>
      <c r="F236" s="229"/>
      <c r="G236" s="227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4"/>
      <c r="U236" s="233"/>
      <c r="V236" s="221"/>
      <c r="Y236" s="228"/>
    </row>
    <row r="237" spans="1:25" s="161" customFormat="1" ht="14.1" customHeight="1" x14ac:dyDescent="0.3">
      <c r="A237" s="221"/>
      <c r="B237" s="221"/>
      <c r="C237" s="229"/>
      <c r="D237" s="229"/>
      <c r="E237" s="222"/>
      <c r="F237" s="229"/>
      <c r="G237" s="227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4"/>
      <c r="U237" s="233"/>
      <c r="V237" s="221"/>
      <c r="Y237" s="228"/>
    </row>
    <row r="238" spans="1:25" s="161" customFormat="1" ht="14.1" customHeight="1" x14ac:dyDescent="0.3">
      <c r="A238" s="221"/>
      <c r="B238" s="221"/>
      <c r="C238" s="229"/>
      <c r="D238" s="229"/>
      <c r="E238" s="222"/>
      <c r="F238" s="229"/>
      <c r="G238" s="227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4"/>
      <c r="U238" s="233"/>
      <c r="V238" s="221"/>
      <c r="Y238" s="228"/>
    </row>
    <row r="239" spans="1:25" s="161" customFormat="1" ht="14.1" customHeight="1" x14ac:dyDescent="0.3">
      <c r="A239" s="221"/>
      <c r="B239" s="221"/>
      <c r="C239" s="229"/>
      <c r="D239" s="229"/>
      <c r="E239" s="222"/>
      <c r="F239" s="229"/>
      <c r="G239" s="227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4"/>
      <c r="U239" s="233"/>
      <c r="V239" s="221"/>
      <c r="Y239" s="228"/>
    </row>
    <row r="240" spans="1:25" s="161" customFormat="1" ht="14.1" customHeight="1" x14ac:dyDescent="0.3">
      <c r="A240" s="221"/>
      <c r="B240" s="221"/>
      <c r="C240" s="229"/>
      <c r="D240" s="229"/>
      <c r="E240" s="222"/>
      <c r="F240" s="229"/>
      <c r="G240" s="227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4"/>
      <c r="U240" s="233"/>
      <c r="V240" s="221"/>
      <c r="Y240" s="228"/>
    </row>
    <row r="241" spans="1:25" s="161" customFormat="1" ht="14.1" customHeight="1" x14ac:dyDescent="0.3">
      <c r="A241" s="221"/>
      <c r="B241" s="221"/>
      <c r="C241" s="229"/>
      <c r="D241" s="229"/>
      <c r="E241" s="222"/>
      <c r="F241" s="229"/>
      <c r="G241" s="227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4"/>
      <c r="U241" s="233"/>
      <c r="V241" s="221"/>
      <c r="Y241" s="228"/>
    </row>
    <row r="242" spans="1:25" s="161" customFormat="1" ht="14.1" customHeight="1" x14ac:dyDescent="0.3">
      <c r="A242" s="221"/>
      <c r="B242" s="221"/>
      <c r="C242" s="229"/>
      <c r="D242" s="229"/>
      <c r="E242" s="222"/>
      <c r="F242" s="229"/>
      <c r="G242" s="227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4"/>
      <c r="U242" s="233"/>
      <c r="V242" s="221"/>
      <c r="Y242" s="228"/>
    </row>
    <row r="243" spans="1:25" s="161" customFormat="1" ht="14.1" customHeight="1" x14ac:dyDescent="0.3">
      <c r="A243" s="221"/>
      <c r="B243" s="221"/>
      <c r="C243" s="229"/>
      <c r="D243" s="229"/>
      <c r="E243" s="222"/>
      <c r="F243" s="229"/>
      <c r="G243" s="227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4"/>
      <c r="U243" s="233"/>
      <c r="V243" s="221"/>
      <c r="Y243" s="228"/>
    </row>
    <row r="244" spans="1:25" s="161" customFormat="1" ht="14.1" customHeight="1" x14ac:dyDescent="0.3">
      <c r="A244" s="221"/>
      <c r="B244" s="221"/>
      <c r="C244" s="229"/>
      <c r="D244" s="229"/>
      <c r="E244" s="222"/>
      <c r="F244" s="229"/>
      <c r="G244" s="227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4"/>
      <c r="U244" s="233"/>
      <c r="V244" s="221"/>
      <c r="Y244" s="228"/>
    </row>
    <row r="245" spans="1:25" s="161" customFormat="1" ht="14.1" customHeight="1" x14ac:dyDescent="0.3">
      <c r="A245" s="221"/>
      <c r="B245" s="221"/>
      <c r="C245" s="229"/>
      <c r="D245" s="229"/>
      <c r="E245" s="222"/>
      <c r="F245" s="229"/>
      <c r="G245" s="227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4"/>
      <c r="U245" s="233"/>
      <c r="V245" s="221"/>
      <c r="Y245" s="228"/>
    </row>
    <row r="246" spans="1:25" s="161" customFormat="1" ht="14.1" customHeight="1" x14ac:dyDescent="0.3">
      <c r="A246" s="221"/>
      <c r="B246" s="221"/>
      <c r="C246" s="229"/>
      <c r="D246" s="229"/>
      <c r="E246" s="222"/>
      <c r="F246" s="229"/>
      <c r="G246" s="227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4"/>
      <c r="U246" s="233"/>
      <c r="V246" s="221"/>
      <c r="Y246" s="228"/>
    </row>
    <row r="247" spans="1:25" s="161" customFormat="1" ht="14.1" customHeight="1" x14ac:dyDescent="0.3">
      <c r="A247" s="221"/>
      <c r="B247" s="221"/>
      <c r="C247" s="229"/>
      <c r="D247" s="229"/>
      <c r="E247" s="222"/>
      <c r="F247" s="229"/>
      <c r="G247" s="227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4"/>
      <c r="U247" s="233"/>
      <c r="V247" s="221"/>
      <c r="Y247" s="228"/>
    </row>
    <row r="248" spans="1:25" s="161" customFormat="1" ht="14.1" customHeight="1" x14ac:dyDescent="0.3">
      <c r="A248" s="221"/>
      <c r="B248" s="221"/>
      <c r="C248" s="229"/>
      <c r="D248" s="229"/>
      <c r="E248" s="222"/>
      <c r="F248" s="229"/>
      <c r="G248" s="227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4"/>
      <c r="U248" s="233"/>
      <c r="V248" s="221"/>
      <c r="Y248" s="228"/>
    </row>
    <row r="249" spans="1:25" s="161" customFormat="1" ht="14.1" customHeight="1" x14ac:dyDescent="0.3">
      <c r="A249" s="221"/>
      <c r="B249" s="221"/>
      <c r="C249" s="229"/>
      <c r="D249" s="229"/>
      <c r="E249" s="222"/>
      <c r="F249" s="229"/>
      <c r="G249" s="227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4"/>
      <c r="U249" s="233"/>
      <c r="V249" s="221"/>
      <c r="Y249" s="228"/>
    </row>
    <row r="250" spans="1:25" s="161" customFormat="1" ht="14.1" customHeight="1" x14ac:dyDescent="0.3">
      <c r="A250" s="221"/>
      <c r="B250" s="221"/>
      <c r="C250" s="229"/>
      <c r="D250" s="229"/>
      <c r="E250" s="222"/>
      <c r="F250" s="229"/>
      <c r="G250" s="227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4"/>
      <c r="U250" s="233"/>
      <c r="V250" s="221"/>
      <c r="Y250" s="228"/>
    </row>
    <row r="251" spans="1:25" s="161" customFormat="1" ht="14.1" customHeight="1" x14ac:dyDescent="0.3">
      <c r="A251" s="221"/>
      <c r="B251" s="221"/>
      <c r="C251" s="229"/>
      <c r="D251" s="229"/>
      <c r="E251" s="222"/>
      <c r="F251" s="229"/>
      <c r="G251" s="227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4"/>
      <c r="U251" s="233"/>
      <c r="V251" s="221"/>
      <c r="Y251" s="228"/>
    </row>
    <row r="252" spans="1:25" s="161" customFormat="1" ht="14.1" customHeight="1" x14ac:dyDescent="0.3">
      <c r="A252" s="221"/>
      <c r="B252" s="221"/>
      <c r="C252" s="229"/>
      <c r="D252" s="229"/>
      <c r="E252" s="222"/>
      <c r="F252" s="229"/>
      <c r="G252" s="227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4"/>
      <c r="U252" s="233"/>
      <c r="V252" s="221"/>
      <c r="Y252" s="228"/>
    </row>
    <row r="253" spans="1:25" s="161" customFormat="1" ht="14.1" customHeight="1" x14ac:dyDescent="0.3">
      <c r="A253" s="221"/>
      <c r="B253" s="221"/>
      <c r="C253" s="229"/>
      <c r="D253" s="229"/>
      <c r="E253" s="222"/>
      <c r="F253" s="229"/>
      <c r="G253" s="227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4"/>
      <c r="U253" s="233"/>
      <c r="V253" s="221"/>
      <c r="Y253" s="228"/>
    </row>
    <row r="254" spans="1:25" s="161" customFormat="1" ht="14.1" customHeight="1" x14ac:dyDescent="0.3">
      <c r="A254" s="221"/>
      <c r="B254" s="221"/>
      <c r="C254" s="229"/>
      <c r="D254" s="229"/>
      <c r="E254" s="222"/>
      <c r="F254" s="229"/>
      <c r="G254" s="227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4"/>
      <c r="U254" s="233"/>
      <c r="V254" s="221"/>
      <c r="Y254" s="228"/>
    </row>
    <row r="255" spans="1:25" s="161" customFormat="1" ht="14.1" customHeight="1" x14ac:dyDescent="0.3">
      <c r="A255" s="221"/>
      <c r="B255" s="221"/>
      <c r="C255" s="229"/>
      <c r="D255" s="229"/>
      <c r="E255" s="222"/>
      <c r="F255" s="229"/>
      <c r="G255" s="227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4"/>
      <c r="U255" s="233"/>
      <c r="V255" s="221"/>
      <c r="Y255" s="228"/>
    </row>
    <row r="256" spans="1:25" s="161" customFormat="1" ht="14.1" customHeight="1" x14ac:dyDescent="0.3">
      <c r="A256" s="221"/>
      <c r="B256" s="221"/>
      <c r="C256" s="229"/>
      <c r="D256" s="229"/>
      <c r="E256" s="222"/>
      <c r="F256" s="229"/>
      <c r="G256" s="227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4"/>
      <c r="U256" s="233"/>
      <c r="V256" s="221"/>
      <c r="Y256" s="228"/>
    </row>
    <row r="257" spans="1:25" s="161" customFormat="1" ht="14.1" customHeight="1" x14ac:dyDescent="0.3">
      <c r="A257" s="221"/>
      <c r="B257" s="221"/>
      <c r="C257" s="229"/>
      <c r="D257" s="229"/>
      <c r="E257" s="222"/>
      <c r="F257" s="229"/>
      <c r="G257" s="227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4"/>
      <c r="U257" s="233"/>
      <c r="V257" s="221"/>
      <c r="Y257" s="228"/>
    </row>
    <row r="258" spans="1:25" s="161" customFormat="1" ht="14.1" customHeight="1" x14ac:dyDescent="0.3">
      <c r="A258" s="221"/>
      <c r="B258" s="221"/>
      <c r="C258" s="229"/>
      <c r="D258" s="229"/>
      <c r="E258" s="222"/>
      <c r="F258" s="229"/>
      <c r="G258" s="227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4"/>
      <c r="U258" s="233"/>
      <c r="V258" s="221"/>
      <c r="Y258" s="228"/>
    </row>
    <row r="259" spans="1:25" s="161" customFormat="1" ht="14.1" customHeight="1" x14ac:dyDescent="0.3">
      <c r="A259" s="221"/>
      <c r="B259" s="221"/>
      <c r="C259" s="229"/>
      <c r="D259" s="229"/>
      <c r="E259" s="222"/>
      <c r="F259" s="229"/>
      <c r="G259" s="227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4"/>
      <c r="U259" s="233"/>
      <c r="V259" s="221"/>
      <c r="Y259" s="228"/>
    </row>
    <row r="260" spans="1:25" s="161" customFormat="1" ht="14.1" customHeight="1" x14ac:dyDescent="0.3">
      <c r="A260" s="221"/>
      <c r="B260" s="221"/>
      <c r="C260" s="229"/>
      <c r="D260" s="229"/>
      <c r="E260" s="222"/>
      <c r="F260" s="229"/>
      <c r="G260" s="227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4"/>
      <c r="U260" s="233"/>
      <c r="V260" s="221"/>
      <c r="Y260" s="228"/>
    </row>
    <row r="261" spans="1:25" s="161" customFormat="1" ht="14.1" customHeight="1" x14ac:dyDescent="0.3">
      <c r="A261" s="221"/>
      <c r="B261" s="221"/>
      <c r="C261" s="229"/>
      <c r="D261" s="229"/>
      <c r="E261" s="222"/>
      <c r="F261" s="229"/>
      <c r="G261" s="227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4"/>
      <c r="U261" s="233"/>
      <c r="V261" s="221"/>
      <c r="Y261" s="228"/>
    </row>
    <row r="262" spans="1:25" s="161" customFormat="1" ht="14.1" customHeight="1" x14ac:dyDescent="0.3">
      <c r="A262" s="221"/>
      <c r="B262" s="221"/>
      <c r="C262" s="229"/>
      <c r="D262" s="229"/>
      <c r="E262" s="222"/>
      <c r="F262" s="229"/>
      <c r="G262" s="227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4"/>
      <c r="U262" s="233"/>
      <c r="V262" s="221"/>
      <c r="Y262" s="228"/>
    </row>
    <row r="263" spans="1:25" s="161" customFormat="1" ht="14.1" customHeight="1" x14ac:dyDescent="0.3">
      <c r="A263" s="221"/>
      <c r="B263" s="221"/>
      <c r="C263" s="229"/>
      <c r="D263" s="229"/>
      <c r="E263" s="222"/>
      <c r="F263" s="229"/>
      <c r="G263" s="227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4"/>
      <c r="U263" s="233"/>
      <c r="V263" s="221"/>
      <c r="Y263" s="228"/>
    </row>
    <row r="264" spans="1:25" s="161" customFormat="1" ht="14.1" customHeight="1" x14ac:dyDescent="0.3">
      <c r="A264" s="221"/>
      <c r="B264" s="221"/>
      <c r="C264" s="229"/>
      <c r="D264" s="229"/>
      <c r="E264" s="222"/>
      <c r="F264" s="229"/>
      <c r="G264" s="227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4"/>
      <c r="U264" s="233"/>
      <c r="V264" s="221"/>
      <c r="Y264" s="228"/>
    </row>
    <row r="265" spans="1:25" s="161" customFormat="1" ht="14.1" customHeight="1" x14ac:dyDescent="0.3">
      <c r="A265" s="221"/>
      <c r="B265" s="221"/>
      <c r="C265" s="229"/>
      <c r="D265" s="229"/>
      <c r="E265" s="222"/>
      <c r="F265" s="229"/>
      <c r="G265" s="227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4"/>
      <c r="U265" s="233"/>
      <c r="V265" s="221"/>
      <c r="Y265" s="228"/>
    </row>
    <row r="266" spans="1:25" s="161" customFormat="1" ht="14.1" customHeight="1" x14ac:dyDescent="0.3">
      <c r="A266" s="221"/>
      <c r="B266" s="221"/>
      <c r="C266" s="229"/>
      <c r="D266" s="229"/>
      <c r="E266" s="222"/>
      <c r="F266" s="229"/>
      <c r="G266" s="227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4"/>
      <c r="U266" s="233"/>
      <c r="V266" s="221"/>
      <c r="Y266" s="228"/>
    </row>
    <row r="267" spans="1:25" s="161" customFormat="1" ht="14.1" customHeight="1" x14ac:dyDescent="0.3">
      <c r="A267" s="221"/>
      <c r="B267" s="221"/>
      <c r="C267" s="229"/>
      <c r="D267" s="229"/>
      <c r="E267" s="222"/>
      <c r="F267" s="229"/>
      <c r="G267" s="227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4"/>
      <c r="U267" s="233"/>
      <c r="V267" s="221"/>
      <c r="Y267" s="228"/>
    </row>
    <row r="268" spans="1:25" s="161" customFormat="1" ht="14.1" customHeight="1" x14ac:dyDescent="0.3">
      <c r="A268" s="221"/>
      <c r="B268" s="221"/>
      <c r="C268" s="229"/>
      <c r="D268" s="229"/>
      <c r="E268" s="222"/>
      <c r="F268" s="229"/>
      <c r="G268" s="227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4"/>
      <c r="U268" s="233"/>
      <c r="V268" s="221"/>
      <c r="Y268" s="228"/>
    </row>
    <row r="269" spans="1:25" s="161" customFormat="1" ht="14.1" customHeight="1" x14ac:dyDescent="0.3">
      <c r="A269" s="221"/>
      <c r="B269" s="221"/>
      <c r="C269" s="229"/>
      <c r="D269" s="229"/>
      <c r="E269" s="222"/>
      <c r="F269" s="229"/>
      <c r="G269" s="227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4"/>
      <c r="U269" s="233"/>
      <c r="V269" s="221"/>
      <c r="Y269" s="228"/>
    </row>
    <row r="270" spans="1:25" s="161" customFormat="1" ht="14.1" customHeight="1" x14ac:dyDescent="0.3">
      <c r="A270" s="221"/>
      <c r="B270" s="221"/>
      <c r="C270" s="229"/>
      <c r="D270" s="229"/>
      <c r="E270" s="222"/>
      <c r="F270" s="229"/>
      <c r="G270" s="227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4"/>
      <c r="U270" s="233"/>
      <c r="V270" s="221"/>
      <c r="Y270" s="228"/>
    </row>
    <row r="271" spans="1:25" s="161" customFormat="1" ht="14.1" customHeight="1" x14ac:dyDescent="0.3">
      <c r="A271" s="221"/>
      <c r="B271" s="221"/>
      <c r="C271" s="229"/>
      <c r="D271" s="229"/>
      <c r="E271" s="222"/>
      <c r="F271" s="229"/>
      <c r="G271" s="227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4"/>
      <c r="U271" s="233"/>
      <c r="V271" s="221"/>
      <c r="Y271" s="228"/>
    </row>
    <row r="272" spans="1:25" s="161" customFormat="1" ht="14.1" customHeight="1" x14ac:dyDescent="0.3">
      <c r="A272" s="221"/>
      <c r="B272" s="221"/>
      <c r="C272" s="229"/>
      <c r="D272" s="229"/>
      <c r="E272" s="222"/>
      <c r="F272" s="229"/>
      <c r="G272" s="227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4"/>
      <c r="U272" s="233"/>
      <c r="V272" s="221"/>
      <c r="Y272" s="228"/>
    </row>
    <row r="273" spans="1:25" s="161" customFormat="1" ht="14.1" customHeight="1" x14ac:dyDescent="0.3">
      <c r="A273" s="221"/>
      <c r="B273" s="221"/>
      <c r="C273" s="229"/>
      <c r="D273" s="229"/>
      <c r="E273" s="222"/>
      <c r="F273" s="229"/>
      <c r="G273" s="227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4"/>
      <c r="U273" s="233"/>
      <c r="V273" s="221"/>
      <c r="Y273" s="228"/>
    </row>
    <row r="274" spans="1:25" s="161" customFormat="1" ht="14.1" customHeight="1" x14ac:dyDescent="0.3">
      <c r="A274" s="221"/>
      <c r="B274" s="221"/>
      <c r="C274" s="229"/>
      <c r="D274" s="229"/>
      <c r="E274" s="222"/>
      <c r="F274" s="229"/>
      <c r="G274" s="227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4"/>
      <c r="U274" s="233"/>
      <c r="V274" s="221"/>
      <c r="Y274" s="228"/>
    </row>
    <row r="275" spans="1:25" s="161" customFormat="1" ht="14.1" customHeight="1" x14ac:dyDescent="0.3">
      <c r="A275" s="221"/>
      <c r="B275" s="221"/>
      <c r="C275" s="229"/>
      <c r="D275" s="229"/>
      <c r="E275" s="222"/>
      <c r="F275" s="229"/>
      <c r="G275" s="227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4"/>
      <c r="U275" s="233"/>
      <c r="V275" s="221"/>
      <c r="Y275" s="228"/>
    </row>
    <row r="276" spans="1:25" s="161" customFormat="1" ht="14.1" customHeight="1" x14ac:dyDescent="0.3">
      <c r="A276" s="221"/>
      <c r="B276" s="221"/>
      <c r="C276" s="229"/>
      <c r="D276" s="229"/>
      <c r="E276" s="222"/>
      <c r="F276" s="229"/>
      <c r="G276" s="227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4"/>
      <c r="U276" s="233"/>
      <c r="V276" s="221"/>
      <c r="Y276" s="228"/>
    </row>
    <row r="277" spans="1:25" s="161" customFormat="1" ht="14.1" customHeight="1" x14ac:dyDescent="0.3">
      <c r="A277" s="221"/>
      <c r="B277" s="221"/>
      <c r="C277" s="229"/>
      <c r="D277" s="229"/>
      <c r="E277" s="222"/>
      <c r="F277" s="229"/>
      <c r="G277" s="227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4"/>
      <c r="U277" s="233"/>
      <c r="V277" s="221"/>
      <c r="Y277" s="228"/>
    </row>
    <row r="278" spans="1:25" s="161" customFormat="1" ht="14.1" customHeight="1" x14ac:dyDescent="0.3">
      <c r="A278" s="221"/>
      <c r="B278" s="221"/>
      <c r="C278" s="229"/>
      <c r="D278" s="229"/>
      <c r="E278" s="222"/>
      <c r="F278" s="229"/>
      <c r="G278" s="227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4"/>
      <c r="U278" s="233"/>
      <c r="V278" s="221"/>
      <c r="Y278" s="228"/>
    </row>
    <row r="279" spans="1:25" s="161" customFormat="1" ht="14.1" customHeight="1" x14ac:dyDescent="0.3">
      <c r="A279" s="221"/>
      <c r="B279" s="221"/>
      <c r="C279" s="229"/>
      <c r="D279" s="229"/>
      <c r="E279" s="222"/>
      <c r="F279" s="229"/>
      <c r="G279" s="227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4"/>
      <c r="U279" s="233"/>
      <c r="V279" s="221"/>
      <c r="Y279" s="228"/>
    </row>
    <row r="280" spans="1:25" s="161" customFormat="1" ht="14.1" customHeight="1" x14ac:dyDescent="0.3">
      <c r="A280" s="221"/>
      <c r="B280" s="221"/>
      <c r="C280" s="229"/>
      <c r="D280" s="229"/>
      <c r="E280" s="222"/>
      <c r="F280" s="229"/>
      <c r="G280" s="227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4"/>
      <c r="U280" s="233"/>
      <c r="V280" s="221"/>
      <c r="Y280" s="228"/>
    </row>
    <row r="281" spans="1:25" s="161" customFormat="1" ht="14.1" customHeight="1" x14ac:dyDescent="0.3">
      <c r="A281" s="221"/>
      <c r="B281" s="221"/>
      <c r="C281" s="229"/>
      <c r="D281" s="229"/>
      <c r="E281" s="222"/>
      <c r="F281" s="229"/>
      <c r="G281" s="227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4"/>
      <c r="U281" s="233"/>
      <c r="V281" s="221"/>
      <c r="Y281" s="228"/>
    </row>
    <row r="282" spans="1:25" s="161" customFormat="1" ht="14.1" customHeight="1" x14ac:dyDescent="0.3">
      <c r="A282" s="221"/>
      <c r="B282" s="221"/>
      <c r="C282" s="229"/>
      <c r="D282" s="229"/>
      <c r="E282" s="222"/>
      <c r="F282" s="229"/>
      <c r="G282" s="227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4"/>
      <c r="U282" s="233"/>
      <c r="V282" s="221"/>
      <c r="Y282" s="228"/>
    </row>
    <row r="283" spans="1:25" s="161" customFormat="1" ht="14.1" customHeight="1" x14ac:dyDescent="0.3">
      <c r="A283" s="221"/>
      <c r="B283" s="221"/>
      <c r="C283" s="229"/>
      <c r="D283" s="229"/>
      <c r="E283" s="222"/>
      <c r="F283" s="229"/>
      <c r="G283" s="227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4"/>
      <c r="U283" s="233"/>
      <c r="V283" s="221"/>
      <c r="Y283" s="228"/>
    </row>
    <row r="284" spans="1:25" s="161" customFormat="1" ht="14.1" customHeight="1" x14ac:dyDescent="0.3">
      <c r="A284" s="221"/>
      <c r="B284" s="221"/>
      <c r="C284" s="229"/>
      <c r="D284" s="229"/>
      <c r="E284" s="222"/>
      <c r="F284" s="229"/>
      <c r="G284" s="227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4"/>
      <c r="U284" s="233"/>
      <c r="V284" s="221"/>
      <c r="Y284" s="228"/>
    </row>
    <row r="285" spans="1:25" s="161" customFormat="1" ht="14.1" customHeight="1" x14ac:dyDescent="0.3">
      <c r="A285" s="221"/>
      <c r="B285" s="221"/>
      <c r="C285" s="229"/>
      <c r="D285" s="229"/>
      <c r="E285" s="222"/>
      <c r="F285" s="229"/>
      <c r="G285" s="227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4"/>
      <c r="U285" s="233"/>
      <c r="V285" s="221"/>
      <c r="Y285" s="228"/>
    </row>
    <row r="286" spans="1:25" s="161" customFormat="1" ht="14.1" customHeight="1" x14ac:dyDescent="0.3">
      <c r="A286" s="221"/>
      <c r="B286" s="221"/>
      <c r="C286" s="229"/>
      <c r="D286" s="229"/>
      <c r="E286" s="222"/>
      <c r="F286" s="229"/>
      <c r="G286" s="227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4"/>
      <c r="U286" s="233"/>
      <c r="V286" s="221"/>
      <c r="Y286" s="228"/>
    </row>
    <row r="287" spans="1:25" s="161" customFormat="1" ht="14.1" customHeight="1" x14ac:dyDescent="0.3">
      <c r="A287" s="221"/>
      <c r="B287" s="221"/>
      <c r="C287" s="229"/>
      <c r="D287" s="229"/>
      <c r="E287" s="222"/>
      <c r="F287" s="229"/>
      <c r="G287" s="227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4"/>
      <c r="U287" s="233"/>
      <c r="V287" s="221"/>
      <c r="Y287" s="228"/>
    </row>
    <row r="288" spans="1:25" s="161" customFormat="1" ht="14.1" customHeight="1" x14ac:dyDescent="0.3">
      <c r="A288" s="221"/>
      <c r="B288" s="221"/>
      <c r="C288" s="229"/>
      <c r="D288" s="229"/>
      <c r="E288" s="222"/>
      <c r="F288" s="229"/>
      <c r="G288" s="227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4"/>
      <c r="U288" s="233"/>
      <c r="V288" s="221"/>
      <c r="Y288" s="228"/>
    </row>
    <row r="289" spans="1:25" s="161" customFormat="1" ht="14.1" customHeight="1" x14ac:dyDescent="0.3">
      <c r="A289" s="221"/>
      <c r="B289" s="221"/>
      <c r="C289" s="229"/>
      <c r="D289" s="229"/>
      <c r="E289" s="222"/>
      <c r="F289" s="229"/>
      <c r="G289" s="227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4"/>
      <c r="U289" s="233"/>
      <c r="V289" s="221"/>
      <c r="Y289" s="228"/>
    </row>
    <row r="290" spans="1:25" s="161" customFormat="1" ht="14.1" customHeight="1" x14ac:dyDescent="0.3">
      <c r="A290" s="221"/>
      <c r="B290" s="221"/>
      <c r="C290" s="229"/>
      <c r="D290" s="229"/>
      <c r="E290" s="222"/>
      <c r="F290" s="229"/>
      <c r="G290" s="227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4"/>
      <c r="U290" s="233"/>
      <c r="V290" s="221"/>
      <c r="Y290" s="228"/>
    </row>
    <row r="291" spans="1:25" s="161" customFormat="1" ht="14.1" customHeight="1" x14ac:dyDescent="0.3">
      <c r="A291" s="221"/>
      <c r="B291" s="221"/>
      <c r="C291" s="229"/>
      <c r="D291" s="229"/>
      <c r="E291" s="222"/>
      <c r="F291" s="229"/>
      <c r="G291" s="227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4"/>
      <c r="U291" s="233"/>
      <c r="V291" s="221"/>
      <c r="Y291" s="228"/>
    </row>
    <row r="292" spans="1:25" s="161" customFormat="1" ht="14.1" customHeight="1" x14ac:dyDescent="0.3">
      <c r="A292" s="221"/>
      <c r="B292" s="221"/>
      <c r="C292" s="229"/>
      <c r="D292" s="229"/>
      <c r="E292" s="222"/>
      <c r="F292" s="229"/>
      <c r="G292" s="227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4"/>
      <c r="U292" s="233"/>
      <c r="V292" s="221"/>
      <c r="Y292" s="228"/>
    </row>
    <row r="293" spans="1:25" s="161" customFormat="1" ht="14.1" customHeight="1" x14ac:dyDescent="0.3">
      <c r="A293" s="221"/>
      <c r="B293" s="221"/>
      <c r="C293" s="229"/>
      <c r="D293" s="229"/>
      <c r="E293" s="222"/>
      <c r="F293" s="229"/>
      <c r="G293" s="227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4"/>
      <c r="U293" s="233"/>
      <c r="V293" s="221"/>
      <c r="Y293" s="228"/>
    </row>
    <row r="294" spans="1:25" s="161" customFormat="1" ht="14.1" customHeight="1" x14ac:dyDescent="0.3">
      <c r="A294" s="221"/>
      <c r="B294" s="221"/>
      <c r="C294" s="229"/>
      <c r="D294" s="229"/>
      <c r="E294" s="222"/>
      <c r="F294" s="229"/>
      <c r="G294" s="227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4"/>
      <c r="U294" s="233"/>
      <c r="V294" s="221"/>
      <c r="Y294" s="228"/>
    </row>
    <row r="295" spans="1:25" s="161" customFormat="1" ht="14.1" customHeight="1" x14ac:dyDescent="0.3">
      <c r="A295" s="221"/>
      <c r="B295" s="221"/>
      <c r="C295" s="229"/>
      <c r="D295" s="229"/>
      <c r="E295" s="222"/>
      <c r="F295" s="229"/>
      <c r="G295" s="227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4"/>
      <c r="U295" s="233"/>
      <c r="V295" s="221"/>
      <c r="Y295" s="228"/>
    </row>
    <row r="296" spans="1:25" s="161" customFormat="1" ht="14.1" customHeight="1" x14ac:dyDescent="0.3">
      <c r="A296" s="221"/>
      <c r="B296" s="221"/>
      <c r="C296" s="229"/>
      <c r="D296" s="229"/>
      <c r="E296" s="222"/>
      <c r="F296" s="229"/>
      <c r="G296" s="227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4"/>
      <c r="U296" s="233"/>
      <c r="V296" s="221"/>
      <c r="Y296" s="228"/>
    </row>
    <row r="297" spans="1:25" s="161" customFormat="1" ht="14.1" customHeight="1" x14ac:dyDescent="0.3">
      <c r="A297" s="221"/>
      <c r="B297" s="221"/>
      <c r="C297" s="229"/>
      <c r="D297" s="229"/>
      <c r="E297" s="222"/>
      <c r="F297" s="229"/>
      <c r="G297" s="227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4"/>
      <c r="U297" s="233"/>
      <c r="V297" s="221"/>
      <c r="Y297" s="228"/>
    </row>
    <row r="298" spans="1:25" s="161" customFormat="1" ht="14.1" customHeight="1" x14ac:dyDescent="0.3">
      <c r="A298" s="221"/>
      <c r="B298" s="221"/>
      <c r="C298" s="229"/>
      <c r="D298" s="229"/>
      <c r="E298" s="222"/>
      <c r="F298" s="229"/>
      <c r="G298" s="227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4"/>
      <c r="U298" s="233"/>
      <c r="V298" s="221"/>
      <c r="Y298" s="228"/>
    </row>
    <row r="299" spans="1:25" s="161" customFormat="1" ht="14.1" customHeight="1" x14ac:dyDescent="0.3">
      <c r="A299" s="221"/>
      <c r="B299" s="221"/>
      <c r="C299" s="229"/>
      <c r="D299" s="229"/>
      <c r="E299" s="222"/>
      <c r="F299" s="229"/>
      <c r="G299" s="227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4"/>
      <c r="U299" s="233"/>
      <c r="V299" s="221"/>
      <c r="Y299" s="228"/>
    </row>
    <row r="300" spans="1:25" s="161" customFormat="1" ht="14.1" customHeight="1" x14ac:dyDescent="0.3">
      <c r="A300" s="221"/>
      <c r="B300" s="221"/>
      <c r="C300" s="229"/>
      <c r="D300" s="229"/>
      <c r="E300" s="222"/>
      <c r="F300" s="229"/>
      <c r="G300" s="227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4"/>
      <c r="U300" s="233"/>
      <c r="V300" s="221"/>
      <c r="Y300" s="228"/>
    </row>
    <row r="301" spans="1:25" s="161" customFormat="1" ht="14.1" customHeight="1" x14ac:dyDescent="0.3">
      <c r="A301" s="221"/>
      <c r="B301" s="221"/>
      <c r="C301" s="229"/>
      <c r="D301" s="229"/>
      <c r="E301" s="222"/>
      <c r="F301" s="229"/>
      <c r="G301" s="227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4"/>
      <c r="U301" s="233"/>
      <c r="V301" s="221"/>
      <c r="Y301" s="228"/>
    </row>
    <row r="302" spans="1:25" s="161" customFormat="1" ht="14.1" customHeight="1" x14ac:dyDescent="0.3">
      <c r="A302" s="221"/>
      <c r="B302" s="221"/>
      <c r="C302" s="229"/>
      <c r="D302" s="229"/>
      <c r="E302" s="222"/>
      <c r="F302" s="229"/>
      <c r="G302" s="227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4"/>
      <c r="U302" s="233"/>
      <c r="V302" s="221"/>
      <c r="Y302" s="228"/>
    </row>
    <row r="303" spans="1:25" s="161" customFormat="1" ht="14.1" customHeight="1" x14ac:dyDescent="0.3">
      <c r="A303" s="221"/>
      <c r="B303" s="221"/>
      <c r="C303" s="229"/>
      <c r="D303" s="229"/>
      <c r="E303" s="222"/>
      <c r="F303" s="229"/>
      <c r="G303" s="227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4"/>
      <c r="U303" s="233"/>
      <c r="V303" s="221"/>
      <c r="Y303" s="228"/>
    </row>
    <row r="304" spans="1:25" s="161" customFormat="1" ht="14.1" customHeight="1" x14ac:dyDescent="0.3">
      <c r="A304" s="221"/>
      <c r="B304" s="221"/>
      <c r="C304" s="229"/>
      <c r="D304" s="229"/>
      <c r="E304" s="222"/>
      <c r="F304" s="229"/>
      <c r="G304" s="227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4"/>
      <c r="U304" s="233"/>
      <c r="V304" s="221"/>
      <c r="Y304" s="228"/>
    </row>
    <row r="305" spans="1:25" s="161" customFormat="1" ht="14.1" customHeight="1" x14ac:dyDescent="0.3">
      <c r="A305" s="221"/>
      <c r="B305" s="221"/>
      <c r="C305" s="229"/>
      <c r="D305" s="229"/>
      <c r="E305" s="222"/>
      <c r="F305" s="229"/>
      <c r="G305" s="227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4"/>
      <c r="U305" s="233"/>
      <c r="V305" s="221"/>
      <c r="Y305" s="228"/>
    </row>
    <row r="306" spans="1:25" s="161" customFormat="1" ht="14.1" customHeight="1" x14ac:dyDescent="0.3">
      <c r="A306" s="221"/>
      <c r="B306" s="221"/>
      <c r="C306" s="229"/>
      <c r="D306" s="229"/>
      <c r="E306" s="222"/>
      <c r="F306" s="229"/>
      <c r="G306" s="227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4"/>
      <c r="U306" s="233"/>
      <c r="V306" s="221"/>
      <c r="Y306" s="228"/>
    </row>
    <row r="307" spans="1:25" s="161" customFormat="1" ht="14.1" customHeight="1" x14ac:dyDescent="0.3">
      <c r="A307" s="221"/>
      <c r="B307" s="221"/>
      <c r="C307" s="229"/>
      <c r="D307" s="229"/>
      <c r="E307" s="222"/>
      <c r="F307" s="229"/>
      <c r="G307" s="227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4"/>
      <c r="U307" s="233"/>
      <c r="V307" s="221"/>
      <c r="Y307" s="228"/>
    </row>
    <row r="308" spans="1:25" s="161" customFormat="1" ht="14.1" customHeight="1" x14ac:dyDescent="0.3">
      <c r="A308" s="221"/>
      <c r="B308" s="221"/>
      <c r="C308" s="229"/>
      <c r="D308" s="229"/>
      <c r="E308" s="222"/>
      <c r="F308" s="229"/>
      <c r="G308" s="227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4"/>
      <c r="U308" s="233"/>
      <c r="V308" s="221"/>
      <c r="Y308" s="228"/>
    </row>
    <row r="309" spans="1:25" s="161" customFormat="1" ht="14.1" customHeight="1" x14ac:dyDescent="0.3">
      <c r="A309" s="221"/>
      <c r="B309" s="221"/>
      <c r="C309" s="229"/>
      <c r="D309" s="229"/>
      <c r="E309" s="222"/>
      <c r="F309" s="229"/>
      <c r="G309" s="227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4"/>
      <c r="U309" s="233"/>
      <c r="V309" s="221"/>
      <c r="Y309" s="228"/>
    </row>
    <row r="310" spans="1:25" s="161" customFormat="1" ht="14.1" customHeight="1" x14ac:dyDescent="0.3">
      <c r="A310" s="221"/>
      <c r="B310" s="221"/>
      <c r="C310" s="229"/>
      <c r="D310" s="229"/>
      <c r="E310" s="222"/>
      <c r="F310" s="229"/>
      <c r="G310" s="227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4"/>
      <c r="U310" s="233"/>
      <c r="V310" s="221"/>
      <c r="Y310" s="228"/>
    </row>
    <row r="311" spans="1:25" s="161" customFormat="1" ht="14.1" customHeight="1" x14ac:dyDescent="0.3">
      <c r="A311" s="221"/>
      <c r="B311" s="221"/>
      <c r="C311" s="229"/>
      <c r="D311" s="229"/>
      <c r="E311" s="222"/>
      <c r="F311" s="229"/>
      <c r="G311" s="227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4"/>
      <c r="U311" s="233"/>
      <c r="V311" s="221"/>
      <c r="Y311" s="228"/>
    </row>
    <row r="312" spans="1:25" s="161" customFormat="1" ht="14.1" customHeight="1" x14ac:dyDescent="0.3">
      <c r="A312" s="221"/>
      <c r="B312" s="221"/>
      <c r="C312" s="229"/>
      <c r="D312" s="229"/>
      <c r="E312" s="222"/>
      <c r="F312" s="229"/>
      <c r="G312" s="227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4"/>
      <c r="U312" s="233"/>
      <c r="V312" s="221"/>
      <c r="Y312" s="228"/>
    </row>
    <row r="313" spans="1:25" s="161" customFormat="1" ht="14.1" customHeight="1" x14ac:dyDescent="0.3">
      <c r="A313" s="221"/>
      <c r="B313" s="221"/>
      <c r="C313" s="229"/>
      <c r="D313" s="229"/>
      <c r="E313" s="222"/>
      <c r="F313" s="229"/>
      <c r="G313" s="227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4"/>
      <c r="U313" s="233"/>
      <c r="V313" s="221"/>
      <c r="Y313" s="228"/>
    </row>
    <row r="314" spans="1:25" s="161" customFormat="1" ht="14.1" customHeight="1" x14ac:dyDescent="0.3">
      <c r="A314" s="221"/>
      <c r="B314" s="221"/>
      <c r="C314" s="229"/>
      <c r="D314" s="229"/>
      <c r="E314" s="222"/>
      <c r="F314" s="229"/>
      <c r="G314" s="227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4"/>
      <c r="U314" s="233"/>
      <c r="V314" s="221"/>
      <c r="Y314" s="228"/>
    </row>
    <row r="315" spans="1:25" s="161" customFormat="1" ht="14.1" customHeight="1" x14ac:dyDescent="0.3">
      <c r="A315" s="221"/>
      <c r="B315" s="221"/>
      <c r="C315" s="229"/>
      <c r="D315" s="229"/>
      <c r="E315" s="222"/>
      <c r="F315" s="229"/>
      <c r="G315" s="227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4"/>
      <c r="U315" s="233"/>
      <c r="V315" s="221"/>
      <c r="Y315" s="228"/>
    </row>
    <row r="316" spans="1:25" s="161" customFormat="1" ht="14.1" customHeight="1" x14ac:dyDescent="0.3">
      <c r="A316" s="221"/>
      <c r="B316" s="221"/>
      <c r="C316" s="229"/>
      <c r="D316" s="229"/>
      <c r="E316" s="222"/>
      <c r="F316" s="229"/>
      <c r="G316" s="227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4"/>
      <c r="U316" s="233"/>
      <c r="V316" s="221"/>
      <c r="Y316" s="228"/>
    </row>
    <row r="317" spans="1:25" s="161" customFormat="1" ht="14.1" customHeight="1" x14ac:dyDescent="0.3">
      <c r="A317" s="221"/>
      <c r="B317" s="221"/>
      <c r="C317" s="229"/>
      <c r="D317" s="229"/>
      <c r="E317" s="222"/>
      <c r="F317" s="229"/>
      <c r="G317" s="227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4"/>
      <c r="U317" s="233"/>
      <c r="V317" s="221"/>
      <c r="Y317" s="228"/>
    </row>
    <row r="318" spans="1:25" s="161" customFormat="1" ht="14.1" customHeight="1" x14ac:dyDescent="0.3">
      <c r="A318" s="221"/>
      <c r="B318" s="221"/>
      <c r="C318" s="229"/>
      <c r="D318" s="229"/>
      <c r="E318" s="222"/>
      <c r="F318" s="229"/>
      <c r="G318" s="227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4"/>
      <c r="U318" s="233"/>
      <c r="V318" s="221"/>
      <c r="Y318" s="228"/>
    </row>
    <row r="319" spans="1:25" s="161" customFormat="1" ht="14.1" customHeight="1" x14ac:dyDescent="0.3">
      <c r="A319" s="221"/>
      <c r="B319" s="221"/>
      <c r="C319" s="229"/>
      <c r="D319" s="229"/>
      <c r="E319" s="222"/>
      <c r="F319" s="229"/>
      <c r="G319" s="227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4"/>
      <c r="U319" s="233"/>
      <c r="V319" s="221"/>
      <c r="Y319" s="228"/>
    </row>
    <row r="320" spans="1:25" s="161" customFormat="1" ht="14.1" customHeight="1" x14ac:dyDescent="0.3">
      <c r="A320" s="221"/>
      <c r="B320" s="221"/>
      <c r="C320" s="229"/>
      <c r="D320" s="229"/>
      <c r="E320" s="222"/>
      <c r="F320" s="229"/>
      <c r="G320" s="227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4"/>
      <c r="U320" s="233"/>
      <c r="V320" s="221"/>
      <c r="Y320" s="228"/>
    </row>
    <row r="321" spans="1:25" s="161" customFormat="1" ht="14.1" customHeight="1" x14ac:dyDescent="0.3">
      <c r="A321" s="221"/>
      <c r="B321" s="221"/>
      <c r="C321" s="229"/>
      <c r="D321" s="229"/>
      <c r="E321" s="222"/>
      <c r="F321" s="229"/>
      <c r="G321" s="227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4"/>
      <c r="U321" s="233"/>
      <c r="V321" s="221"/>
      <c r="Y321" s="228"/>
    </row>
    <row r="322" spans="1:25" s="161" customFormat="1" ht="14.1" customHeight="1" x14ac:dyDescent="0.3">
      <c r="A322" s="221"/>
      <c r="B322" s="221"/>
      <c r="C322" s="229"/>
      <c r="D322" s="229"/>
      <c r="E322" s="222"/>
      <c r="F322" s="229"/>
      <c r="G322" s="227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4"/>
      <c r="U322" s="233"/>
      <c r="V322" s="221"/>
      <c r="Y322" s="228"/>
    </row>
    <row r="323" spans="1:25" s="161" customFormat="1" ht="14.1" customHeight="1" x14ac:dyDescent="0.3">
      <c r="A323" s="221"/>
      <c r="B323" s="221"/>
      <c r="C323" s="229"/>
      <c r="D323" s="229"/>
      <c r="E323" s="222"/>
      <c r="F323" s="229"/>
      <c r="G323" s="227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4"/>
      <c r="U323" s="233"/>
      <c r="V323" s="221"/>
      <c r="Y323" s="228"/>
    </row>
    <row r="324" spans="1:25" s="161" customFormat="1" ht="14.1" customHeight="1" x14ac:dyDescent="0.3">
      <c r="A324" s="221"/>
      <c r="B324" s="221"/>
      <c r="C324" s="229"/>
      <c r="D324" s="229"/>
      <c r="E324" s="222"/>
      <c r="F324" s="229"/>
      <c r="G324" s="227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4"/>
      <c r="U324" s="233"/>
      <c r="V324" s="221"/>
      <c r="Y324" s="228"/>
    </row>
    <row r="325" spans="1:25" s="161" customFormat="1" ht="14.1" customHeight="1" x14ac:dyDescent="0.3">
      <c r="A325" s="221"/>
      <c r="B325" s="221"/>
      <c r="C325" s="229"/>
      <c r="D325" s="229"/>
      <c r="E325" s="222"/>
      <c r="F325" s="229"/>
      <c r="G325" s="227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4"/>
      <c r="U325" s="233"/>
      <c r="V325" s="221"/>
      <c r="Y325" s="228"/>
    </row>
    <row r="326" spans="1:25" s="161" customFormat="1" ht="14.1" customHeight="1" x14ac:dyDescent="0.3">
      <c r="A326" s="221"/>
      <c r="B326" s="221"/>
      <c r="C326" s="229"/>
      <c r="D326" s="229"/>
      <c r="E326" s="222"/>
      <c r="F326" s="229"/>
      <c r="G326" s="227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4"/>
      <c r="U326" s="233"/>
      <c r="V326" s="221"/>
      <c r="Y326" s="228"/>
    </row>
    <row r="327" spans="1:25" s="161" customFormat="1" ht="14.1" customHeight="1" x14ac:dyDescent="0.3">
      <c r="A327" s="221"/>
      <c r="B327" s="221"/>
      <c r="C327" s="229"/>
      <c r="D327" s="229"/>
      <c r="E327" s="222"/>
      <c r="F327" s="229"/>
      <c r="G327" s="227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4"/>
      <c r="U327" s="233"/>
      <c r="V327" s="221"/>
      <c r="Y327" s="228"/>
    </row>
    <row r="328" spans="1:25" s="161" customFormat="1" ht="14.1" customHeight="1" x14ac:dyDescent="0.3">
      <c r="A328" s="221"/>
      <c r="B328" s="221"/>
      <c r="C328" s="229"/>
      <c r="D328" s="229"/>
      <c r="E328" s="222"/>
      <c r="F328" s="229"/>
      <c r="G328" s="227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4"/>
      <c r="U328" s="233"/>
      <c r="V328" s="221"/>
      <c r="Y328" s="228"/>
    </row>
    <row r="329" spans="1:25" s="161" customFormat="1" ht="14.1" customHeight="1" x14ac:dyDescent="0.3">
      <c r="A329" s="221"/>
      <c r="B329" s="221"/>
      <c r="C329" s="229"/>
      <c r="D329" s="229"/>
      <c r="E329" s="222"/>
      <c r="F329" s="229"/>
      <c r="G329" s="227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4"/>
      <c r="U329" s="233"/>
      <c r="V329" s="221"/>
      <c r="Y329" s="228"/>
    </row>
    <row r="330" spans="1:25" s="161" customFormat="1" ht="14.1" customHeight="1" x14ac:dyDescent="0.3">
      <c r="A330" s="221"/>
      <c r="B330" s="221"/>
      <c r="C330" s="229"/>
      <c r="D330" s="229"/>
      <c r="E330" s="222"/>
      <c r="F330" s="229"/>
      <c r="G330" s="227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4"/>
      <c r="U330" s="233"/>
      <c r="V330" s="221"/>
      <c r="Y330" s="228"/>
    </row>
    <row r="331" spans="1:25" s="161" customFormat="1" ht="14.1" customHeight="1" x14ac:dyDescent="0.3">
      <c r="A331" s="221"/>
      <c r="B331" s="221"/>
      <c r="C331" s="229"/>
      <c r="D331" s="229"/>
      <c r="E331" s="222"/>
      <c r="F331" s="229"/>
      <c r="G331" s="227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4"/>
      <c r="U331" s="233"/>
      <c r="V331" s="221"/>
      <c r="Y331" s="228"/>
    </row>
    <row r="332" spans="1:25" s="161" customFormat="1" ht="14.1" customHeight="1" x14ac:dyDescent="0.3">
      <c r="A332" s="221"/>
      <c r="B332" s="221"/>
      <c r="C332" s="229"/>
      <c r="D332" s="229"/>
      <c r="E332" s="222"/>
      <c r="F332" s="229"/>
      <c r="G332" s="227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4"/>
      <c r="U332" s="233"/>
      <c r="V332" s="221"/>
      <c r="Y332" s="228"/>
    </row>
    <row r="333" spans="1:25" s="161" customFormat="1" ht="14.1" customHeight="1" x14ac:dyDescent="0.3">
      <c r="A333" s="221"/>
      <c r="B333" s="221"/>
      <c r="C333" s="229"/>
      <c r="D333" s="229"/>
      <c r="E333" s="222"/>
      <c r="F333" s="229"/>
      <c r="G333" s="227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4"/>
      <c r="U333" s="233"/>
      <c r="V333" s="221"/>
      <c r="Y333" s="228"/>
    </row>
    <row r="334" spans="1:25" s="161" customFormat="1" ht="14.1" customHeight="1" x14ac:dyDescent="0.3">
      <c r="A334" s="221"/>
      <c r="B334" s="221"/>
      <c r="C334" s="229"/>
      <c r="D334" s="229"/>
      <c r="E334" s="222"/>
      <c r="F334" s="229"/>
      <c r="G334" s="227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4"/>
      <c r="U334" s="233"/>
      <c r="V334" s="221"/>
      <c r="Y334" s="228"/>
    </row>
    <row r="335" spans="1:25" s="161" customFormat="1" ht="14.1" customHeight="1" x14ac:dyDescent="0.3">
      <c r="A335" s="221"/>
      <c r="B335" s="221"/>
      <c r="C335" s="229"/>
      <c r="D335" s="229"/>
      <c r="E335" s="222"/>
      <c r="F335" s="229"/>
      <c r="G335" s="227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4"/>
      <c r="U335" s="233"/>
      <c r="V335" s="221"/>
      <c r="Y335" s="228"/>
    </row>
    <row r="336" spans="1:25" s="161" customFormat="1" ht="14.1" customHeight="1" x14ac:dyDescent="0.3">
      <c r="A336" s="221"/>
      <c r="B336" s="221"/>
      <c r="C336" s="229"/>
      <c r="D336" s="229"/>
      <c r="E336" s="222"/>
      <c r="F336" s="229"/>
      <c r="G336" s="227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4"/>
      <c r="U336" s="233"/>
      <c r="V336" s="221"/>
      <c r="Y336" s="228"/>
    </row>
    <row r="337" spans="1:25" s="161" customFormat="1" ht="14.1" customHeight="1" x14ac:dyDescent="0.3">
      <c r="A337" s="221"/>
      <c r="B337" s="221"/>
      <c r="C337" s="229"/>
      <c r="D337" s="229"/>
      <c r="E337" s="222"/>
      <c r="F337" s="229"/>
      <c r="G337" s="227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4"/>
      <c r="U337" s="233"/>
      <c r="V337" s="221"/>
      <c r="Y337" s="228"/>
    </row>
    <row r="338" spans="1:25" s="161" customFormat="1" ht="14.1" customHeight="1" x14ac:dyDescent="0.3">
      <c r="A338" s="221"/>
      <c r="B338" s="221"/>
      <c r="C338" s="229"/>
      <c r="D338" s="229"/>
      <c r="E338" s="222"/>
      <c r="F338" s="229"/>
      <c r="G338" s="227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4"/>
      <c r="U338" s="233"/>
      <c r="V338" s="221"/>
      <c r="Y338" s="228"/>
    </row>
    <row r="339" spans="1:25" s="161" customFormat="1" ht="14.1" customHeight="1" x14ac:dyDescent="0.3">
      <c r="A339" s="221"/>
      <c r="B339" s="221"/>
      <c r="C339" s="229"/>
      <c r="D339" s="229"/>
      <c r="E339" s="222"/>
      <c r="F339" s="229"/>
      <c r="G339" s="227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4"/>
      <c r="U339" s="233"/>
      <c r="V339" s="221"/>
      <c r="Y339" s="228"/>
    </row>
    <row r="340" spans="1:25" s="161" customFormat="1" ht="14.1" customHeight="1" x14ac:dyDescent="0.3">
      <c r="A340" s="221"/>
      <c r="B340" s="221"/>
      <c r="C340" s="229"/>
      <c r="D340" s="229"/>
      <c r="E340" s="222"/>
      <c r="F340" s="229"/>
      <c r="G340" s="227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4"/>
      <c r="U340" s="233"/>
      <c r="V340" s="221"/>
      <c r="Y340" s="228"/>
    </row>
    <row r="341" spans="1:25" s="161" customFormat="1" ht="14.1" customHeight="1" x14ac:dyDescent="0.3">
      <c r="A341" s="221"/>
      <c r="B341" s="221"/>
      <c r="C341" s="229"/>
      <c r="D341" s="229"/>
      <c r="E341" s="222"/>
      <c r="F341" s="229"/>
      <c r="G341" s="227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4"/>
      <c r="U341" s="233"/>
      <c r="V341" s="221"/>
      <c r="Y341" s="228"/>
    </row>
    <row r="342" spans="1:25" s="161" customFormat="1" ht="14.1" customHeight="1" x14ac:dyDescent="0.3">
      <c r="A342" s="221"/>
      <c r="B342" s="221"/>
      <c r="C342" s="229"/>
      <c r="D342" s="229"/>
      <c r="E342" s="222"/>
      <c r="F342" s="229"/>
      <c r="G342" s="227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4"/>
      <c r="U342" s="233"/>
      <c r="V342" s="221"/>
      <c r="Y342" s="228"/>
    </row>
    <row r="343" spans="1:25" s="161" customFormat="1" ht="14.1" customHeight="1" x14ac:dyDescent="0.3">
      <c r="A343" s="221"/>
      <c r="B343" s="221"/>
      <c r="C343" s="229"/>
      <c r="D343" s="229"/>
      <c r="E343" s="222"/>
      <c r="F343" s="229"/>
      <c r="G343" s="227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4"/>
      <c r="U343" s="233"/>
      <c r="V343" s="221"/>
      <c r="Y343" s="228"/>
    </row>
    <row r="344" spans="1:25" s="161" customFormat="1" ht="14.1" customHeight="1" x14ac:dyDescent="0.3">
      <c r="A344" s="221"/>
      <c r="B344" s="221"/>
      <c r="C344" s="229"/>
      <c r="D344" s="229"/>
      <c r="E344" s="222"/>
      <c r="F344" s="229"/>
      <c r="G344" s="227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4"/>
      <c r="U344" s="233"/>
      <c r="V344" s="221"/>
      <c r="Y344" s="228"/>
    </row>
    <row r="345" spans="1:25" s="161" customFormat="1" ht="14.1" customHeight="1" x14ac:dyDescent="0.3">
      <c r="A345" s="221"/>
      <c r="B345" s="221"/>
      <c r="C345" s="229"/>
      <c r="D345" s="229"/>
      <c r="E345" s="222"/>
      <c r="F345" s="229"/>
      <c r="G345" s="227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4"/>
      <c r="U345" s="233"/>
      <c r="V345" s="221"/>
      <c r="Y345" s="228"/>
    </row>
    <row r="346" spans="1:25" s="161" customFormat="1" ht="14.1" customHeight="1" x14ac:dyDescent="0.3">
      <c r="A346" s="221"/>
      <c r="B346" s="221"/>
      <c r="C346" s="229"/>
      <c r="D346" s="229"/>
      <c r="E346" s="222"/>
      <c r="F346" s="229"/>
      <c r="G346" s="227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4"/>
      <c r="U346" s="233"/>
      <c r="V346" s="221"/>
      <c r="Y346" s="228"/>
    </row>
    <row r="347" spans="1:25" s="161" customFormat="1" ht="14.1" customHeight="1" x14ac:dyDescent="0.3">
      <c r="A347" s="221"/>
      <c r="B347" s="221"/>
      <c r="C347" s="229"/>
      <c r="D347" s="229"/>
      <c r="E347" s="222"/>
      <c r="F347" s="229"/>
      <c r="G347" s="227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4"/>
      <c r="U347" s="233"/>
      <c r="V347" s="221"/>
      <c r="Y347" s="228"/>
    </row>
    <row r="348" spans="1:25" s="161" customFormat="1" ht="14.1" customHeight="1" x14ac:dyDescent="0.3">
      <c r="A348" s="221"/>
      <c r="B348" s="221"/>
      <c r="C348" s="229"/>
      <c r="D348" s="229"/>
      <c r="E348" s="222"/>
      <c r="F348" s="229"/>
      <c r="G348" s="227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4"/>
      <c r="U348" s="233"/>
      <c r="V348" s="221"/>
      <c r="Y348" s="228"/>
    </row>
    <row r="349" spans="1:25" s="161" customFormat="1" ht="14.1" customHeight="1" x14ac:dyDescent="0.3">
      <c r="A349" s="221"/>
      <c r="B349" s="221"/>
      <c r="C349" s="229"/>
      <c r="D349" s="229"/>
      <c r="E349" s="222"/>
      <c r="F349" s="229"/>
      <c r="G349" s="227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4"/>
      <c r="U349" s="233"/>
      <c r="V349" s="221"/>
      <c r="Y349" s="228"/>
    </row>
    <row r="350" spans="1:25" s="161" customFormat="1" ht="14.1" customHeight="1" x14ac:dyDescent="0.3">
      <c r="A350" s="221"/>
      <c r="B350" s="221"/>
      <c r="C350" s="229"/>
      <c r="D350" s="229"/>
      <c r="E350" s="222"/>
      <c r="F350" s="229"/>
      <c r="G350" s="227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4"/>
      <c r="U350" s="233"/>
      <c r="V350" s="221"/>
      <c r="Y350" s="228"/>
    </row>
    <row r="351" spans="1:25" s="161" customFormat="1" ht="14.1" customHeight="1" x14ac:dyDescent="0.3">
      <c r="A351" s="221"/>
      <c r="B351" s="221"/>
      <c r="C351" s="229"/>
      <c r="D351" s="229"/>
      <c r="E351" s="222"/>
      <c r="F351" s="229"/>
      <c r="G351" s="227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4"/>
      <c r="U351" s="233"/>
      <c r="V351" s="221"/>
      <c r="Y351" s="228"/>
    </row>
    <row r="352" spans="1:25" s="161" customFormat="1" ht="14.1" customHeight="1" x14ac:dyDescent="0.3">
      <c r="A352" s="221"/>
      <c r="B352" s="221"/>
      <c r="C352" s="229"/>
      <c r="D352" s="229"/>
      <c r="E352" s="222"/>
      <c r="F352" s="229"/>
      <c r="G352" s="227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4"/>
      <c r="U352" s="233"/>
      <c r="V352" s="221"/>
      <c r="Y352" s="228"/>
    </row>
    <row r="353" spans="1:25" s="161" customFormat="1" ht="14.1" customHeight="1" x14ac:dyDescent="0.3">
      <c r="A353" s="221"/>
      <c r="B353" s="221"/>
      <c r="C353" s="229"/>
      <c r="D353" s="229"/>
      <c r="E353" s="222"/>
      <c r="F353" s="229"/>
      <c r="G353" s="227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4"/>
      <c r="U353" s="233"/>
      <c r="V353" s="221"/>
      <c r="Y353" s="228"/>
    </row>
    <row r="354" spans="1:25" s="161" customFormat="1" ht="14.1" customHeight="1" x14ac:dyDescent="0.3">
      <c r="A354" s="221"/>
      <c r="B354" s="221"/>
      <c r="C354" s="229"/>
      <c r="D354" s="229"/>
      <c r="E354" s="222"/>
      <c r="F354" s="229"/>
      <c r="G354" s="227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4"/>
      <c r="U354" s="233"/>
      <c r="V354" s="221"/>
      <c r="Y354" s="228"/>
    </row>
    <row r="355" spans="1:25" s="161" customFormat="1" ht="14.1" customHeight="1" x14ac:dyDescent="0.3">
      <c r="A355" s="221"/>
      <c r="B355" s="221"/>
      <c r="C355" s="229"/>
      <c r="D355" s="229"/>
      <c r="E355" s="222"/>
      <c r="F355" s="229"/>
      <c r="G355" s="227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4"/>
      <c r="U355" s="233"/>
      <c r="V355" s="221"/>
      <c r="Y355" s="228"/>
    </row>
    <row r="356" spans="1:25" s="161" customFormat="1" ht="14.1" customHeight="1" x14ac:dyDescent="0.3">
      <c r="A356" s="221"/>
      <c r="B356" s="221"/>
      <c r="C356" s="229"/>
      <c r="D356" s="229"/>
      <c r="E356" s="222"/>
      <c r="F356" s="229"/>
      <c r="G356" s="227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4"/>
      <c r="U356" s="233"/>
      <c r="V356" s="221"/>
      <c r="Y356" s="228"/>
    </row>
    <row r="357" spans="1:25" s="161" customFormat="1" ht="14.1" customHeight="1" x14ac:dyDescent="0.3">
      <c r="A357" s="221"/>
      <c r="B357" s="221"/>
      <c r="C357" s="229"/>
      <c r="D357" s="229"/>
      <c r="E357" s="222"/>
      <c r="F357" s="229"/>
      <c r="G357" s="227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4"/>
      <c r="U357" s="233"/>
      <c r="V357" s="221"/>
      <c r="Y357" s="228"/>
    </row>
    <row r="358" spans="1:25" s="161" customFormat="1" ht="14.1" customHeight="1" x14ac:dyDescent="0.3">
      <c r="A358" s="221"/>
      <c r="B358" s="221"/>
      <c r="C358" s="229"/>
      <c r="D358" s="229"/>
      <c r="E358" s="222"/>
      <c r="F358" s="229"/>
      <c r="G358" s="227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4"/>
      <c r="U358" s="233"/>
      <c r="V358" s="221"/>
      <c r="Y358" s="228"/>
    </row>
    <row r="359" spans="1:25" s="161" customFormat="1" ht="14.1" customHeight="1" x14ac:dyDescent="0.3">
      <c r="A359" s="221"/>
      <c r="B359" s="221"/>
      <c r="C359" s="229"/>
      <c r="D359" s="229"/>
      <c r="E359" s="222"/>
      <c r="F359" s="229"/>
      <c r="G359" s="227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4"/>
      <c r="U359" s="233"/>
      <c r="V359" s="221"/>
      <c r="Y359" s="228"/>
    </row>
    <row r="360" spans="1:25" s="161" customFormat="1" ht="14.1" customHeight="1" x14ac:dyDescent="0.3">
      <c r="A360" s="221"/>
      <c r="B360" s="221"/>
      <c r="C360" s="229"/>
      <c r="D360" s="229"/>
      <c r="E360" s="222"/>
      <c r="F360" s="229"/>
      <c r="G360" s="227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4"/>
      <c r="U360" s="233"/>
      <c r="V360" s="221"/>
      <c r="Y360" s="228"/>
    </row>
    <row r="361" spans="1:25" s="161" customFormat="1" ht="14.1" customHeight="1" x14ac:dyDescent="0.3">
      <c r="A361" s="221"/>
      <c r="B361" s="221"/>
      <c r="C361" s="229"/>
      <c r="D361" s="229"/>
      <c r="E361" s="222"/>
      <c r="F361" s="229"/>
      <c r="G361" s="227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4"/>
      <c r="U361" s="233"/>
      <c r="V361" s="221"/>
      <c r="Y361" s="228"/>
    </row>
    <row r="362" spans="1:25" s="161" customFormat="1" ht="14.1" customHeight="1" x14ac:dyDescent="0.3">
      <c r="A362" s="221"/>
      <c r="B362" s="221"/>
      <c r="C362" s="229"/>
      <c r="D362" s="229"/>
      <c r="E362" s="222"/>
      <c r="F362" s="229"/>
      <c r="G362" s="227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4"/>
      <c r="U362" s="233"/>
      <c r="V362" s="221"/>
      <c r="Y362" s="228"/>
    </row>
    <row r="363" spans="1:25" s="161" customFormat="1" ht="14.1" customHeight="1" x14ac:dyDescent="0.3">
      <c r="A363" s="221"/>
      <c r="B363" s="221"/>
      <c r="C363" s="229"/>
      <c r="D363" s="229"/>
      <c r="E363" s="222"/>
      <c r="F363" s="229"/>
      <c r="G363" s="227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4"/>
      <c r="U363" s="233"/>
      <c r="V363" s="221"/>
      <c r="Y363" s="228"/>
    </row>
    <row r="364" spans="1:25" s="161" customFormat="1" ht="14.1" customHeight="1" x14ac:dyDescent="0.3">
      <c r="A364" s="221"/>
      <c r="B364" s="221"/>
      <c r="C364" s="229"/>
      <c r="D364" s="229"/>
      <c r="E364" s="222"/>
      <c r="F364" s="229"/>
      <c r="G364" s="227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4"/>
      <c r="U364" s="233"/>
      <c r="V364" s="221"/>
      <c r="Y364" s="228"/>
    </row>
    <row r="365" spans="1:25" s="161" customFormat="1" ht="14.1" customHeight="1" x14ac:dyDescent="0.3">
      <c r="A365" s="221"/>
      <c r="B365" s="221"/>
      <c r="C365" s="229"/>
      <c r="D365" s="229"/>
      <c r="E365" s="222"/>
      <c r="F365" s="229"/>
      <c r="G365" s="227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4"/>
      <c r="U365" s="233"/>
      <c r="V365" s="221"/>
      <c r="Y365" s="228"/>
    </row>
    <row r="366" spans="1:25" s="161" customFormat="1" ht="14.1" customHeight="1" x14ac:dyDescent="0.3">
      <c r="A366" s="221"/>
      <c r="B366" s="221"/>
      <c r="C366" s="229"/>
      <c r="D366" s="229"/>
      <c r="E366" s="222"/>
      <c r="F366" s="229"/>
      <c r="G366" s="227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4"/>
      <c r="U366" s="233"/>
      <c r="V366" s="221"/>
      <c r="Y366" s="228"/>
    </row>
    <row r="367" spans="1:25" s="161" customFormat="1" ht="14.1" customHeight="1" x14ac:dyDescent="0.3">
      <c r="A367" s="221"/>
      <c r="B367" s="221"/>
      <c r="C367" s="229"/>
      <c r="D367" s="229"/>
      <c r="E367" s="222"/>
      <c r="F367" s="229"/>
      <c r="G367" s="227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4"/>
      <c r="U367" s="233"/>
      <c r="V367" s="221"/>
      <c r="Y367" s="228"/>
    </row>
    <row r="368" spans="1:25" s="161" customFormat="1" ht="14.1" customHeight="1" x14ac:dyDescent="0.3">
      <c r="A368" s="221"/>
      <c r="B368" s="221"/>
      <c r="C368" s="229"/>
      <c r="D368" s="229"/>
      <c r="E368" s="222"/>
      <c r="F368" s="229"/>
      <c r="G368" s="227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4"/>
      <c r="U368" s="233"/>
      <c r="V368" s="221"/>
      <c r="Y368" s="228"/>
    </row>
    <row r="369" spans="1:25" s="161" customFormat="1" ht="14.1" customHeight="1" x14ac:dyDescent="0.3">
      <c r="A369" s="221"/>
      <c r="B369" s="221"/>
      <c r="C369" s="229"/>
      <c r="D369" s="229"/>
      <c r="E369" s="222"/>
      <c r="F369" s="229"/>
      <c r="G369" s="227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4"/>
      <c r="U369" s="233"/>
      <c r="V369" s="221"/>
      <c r="Y369" s="228"/>
    </row>
    <row r="370" spans="1:25" s="161" customFormat="1" ht="14.1" customHeight="1" x14ac:dyDescent="0.3">
      <c r="A370" s="221"/>
      <c r="B370" s="221"/>
      <c r="C370" s="229"/>
      <c r="D370" s="229"/>
      <c r="E370" s="222"/>
      <c r="F370" s="229"/>
      <c r="G370" s="227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4"/>
      <c r="U370" s="233"/>
      <c r="V370" s="221"/>
      <c r="Y370" s="228"/>
    </row>
    <row r="371" spans="1:25" s="161" customFormat="1" ht="14.1" customHeight="1" x14ac:dyDescent="0.3">
      <c r="A371" s="221"/>
      <c r="B371" s="221"/>
      <c r="C371" s="229"/>
      <c r="D371" s="229"/>
      <c r="E371" s="222"/>
      <c r="F371" s="229"/>
      <c r="G371" s="227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4"/>
      <c r="U371" s="233"/>
      <c r="V371" s="221"/>
      <c r="Y371" s="228"/>
    </row>
    <row r="372" spans="1:25" s="161" customFormat="1" ht="14.1" customHeight="1" x14ac:dyDescent="0.3">
      <c r="A372" s="221"/>
      <c r="B372" s="221"/>
      <c r="C372" s="229"/>
      <c r="D372" s="229"/>
      <c r="E372" s="222"/>
      <c r="F372" s="229"/>
      <c r="G372" s="227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4"/>
      <c r="U372" s="233"/>
      <c r="V372" s="221"/>
      <c r="Y372" s="228"/>
    </row>
    <row r="373" spans="1:25" s="161" customFormat="1" ht="14.1" customHeight="1" x14ac:dyDescent="0.3">
      <c r="A373" s="221"/>
      <c r="B373" s="221"/>
      <c r="C373" s="229"/>
      <c r="D373" s="229"/>
      <c r="E373" s="222"/>
      <c r="F373" s="229"/>
      <c r="G373" s="227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4"/>
      <c r="U373" s="233"/>
      <c r="V373" s="221"/>
      <c r="Y373" s="228"/>
    </row>
    <row r="374" spans="1:25" s="161" customFormat="1" ht="14.1" customHeight="1" x14ac:dyDescent="0.3">
      <c r="A374" s="221"/>
      <c r="B374" s="221"/>
      <c r="C374" s="229"/>
      <c r="D374" s="229"/>
      <c r="E374" s="222"/>
      <c r="F374" s="229"/>
      <c r="G374" s="227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4"/>
      <c r="U374" s="233"/>
      <c r="V374" s="221"/>
      <c r="Y374" s="228"/>
    </row>
    <row r="375" spans="1:25" s="161" customFormat="1" ht="14.1" customHeight="1" x14ac:dyDescent="0.3">
      <c r="A375" s="221"/>
      <c r="B375" s="221"/>
      <c r="C375" s="229"/>
      <c r="D375" s="229"/>
      <c r="E375" s="222"/>
      <c r="F375" s="229"/>
      <c r="G375" s="227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4"/>
      <c r="U375" s="233"/>
      <c r="V375" s="221"/>
      <c r="Y375" s="228"/>
    </row>
    <row r="376" spans="1:25" s="161" customFormat="1" ht="14.1" customHeight="1" x14ac:dyDescent="0.3">
      <c r="A376" s="221"/>
      <c r="B376" s="221"/>
      <c r="C376" s="229"/>
      <c r="D376" s="229"/>
      <c r="E376" s="222"/>
      <c r="F376" s="229"/>
      <c r="G376" s="227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4"/>
      <c r="U376" s="233"/>
      <c r="V376" s="221"/>
      <c r="Y376" s="228"/>
    </row>
    <row r="377" spans="1:25" s="161" customFormat="1" ht="14.1" customHeight="1" x14ac:dyDescent="0.3">
      <c r="A377" s="221"/>
      <c r="B377" s="221"/>
      <c r="C377" s="229"/>
      <c r="D377" s="229"/>
      <c r="E377" s="222"/>
      <c r="F377" s="229"/>
      <c r="G377" s="227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4"/>
      <c r="U377" s="233"/>
      <c r="V377" s="221"/>
      <c r="Y377" s="228"/>
    </row>
    <row r="378" spans="1:25" s="161" customFormat="1" ht="14.1" customHeight="1" x14ac:dyDescent="0.3">
      <c r="A378" s="221"/>
      <c r="B378" s="221"/>
      <c r="C378" s="229"/>
      <c r="D378" s="229"/>
      <c r="E378" s="222"/>
      <c r="F378" s="229"/>
      <c r="G378" s="227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4"/>
      <c r="U378" s="233"/>
      <c r="V378" s="221"/>
      <c r="Y378" s="228"/>
    </row>
    <row r="379" spans="1:25" s="161" customFormat="1" ht="14.1" customHeight="1" x14ac:dyDescent="0.3">
      <c r="A379" s="221"/>
      <c r="B379" s="221"/>
      <c r="C379" s="229"/>
      <c r="D379" s="229"/>
      <c r="E379" s="222"/>
      <c r="F379" s="229"/>
      <c r="G379" s="227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4"/>
      <c r="U379" s="233"/>
      <c r="V379" s="221"/>
      <c r="Y379" s="228"/>
    </row>
    <row r="380" spans="1:25" s="161" customFormat="1" ht="14.1" customHeight="1" x14ac:dyDescent="0.3">
      <c r="A380" s="221"/>
      <c r="B380" s="221"/>
      <c r="C380" s="229"/>
      <c r="D380" s="229"/>
      <c r="E380" s="222"/>
      <c r="F380" s="229"/>
      <c r="G380" s="227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4"/>
      <c r="U380" s="233"/>
      <c r="V380" s="221"/>
      <c r="Y380" s="228"/>
    </row>
    <row r="381" spans="1:25" s="161" customFormat="1" ht="14.1" customHeight="1" x14ac:dyDescent="0.3">
      <c r="A381" s="221"/>
      <c r="B381" s="221"/>
      <c r="C381" s="229"/>
      <c r="D381" s="229"/>
      <c r="E381" s="222"/>
      <c r="F381" s="229"/>
      <c r="G381" s="227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4"/>
      <c r="U381" s="233"/>
      <c r="V381" s="221"/>
      <c r="Y381" s="228"/>
    </row>
    <row r="382" spans="1:25" s="161" customFormat="1" ht="14.1" customHeight="1" x14ac:dyDescent="0.3">
      <c r="A382" s="221"/>
      <c r="B382" s="221"/>
      <c r="C382" s="229"/>
      <c r="D382" s="229"/>
      <c r="E382" s="222"/>
      <c r="F382" s="229"/>
      <c r="G382" s="227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4"/>
      <c r="U382" s="233"/>
      <c r="V382" s="221"/>
      <c r="Y382" s="228"/>
    </row>
    <row r="383" spans="1:25" s="161" customFormat="1" ht="14.1" customHeight="1" x14ac:dyDescent="0.3">
      <c r="A383" s="221"/>
      <c r="B383" s="221"/>
      <c r="C383" s="229"/>
      <c r="D383" s="229"/>
      <c r="E383" s="222"/>
      <c r="F383" s="229"/>
      <c r="G383" s="227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4"/>
      <c r="U383" s="233"/>
      <c r="V383" s="221"/>
      <c r="Y383" s="228"/>
    </row>
    <row r="384" spans="1:25" s="161" customFormat="1" ht="14.1" customHeight="1" x14ac:dyDescent="0.3">
      <c r="A384" s="221"/>
      <c r="B384" s="221"/>
      <c r="C384" s="229"/>
      <c r="D384" s="229"/>
      <c r="E384" s="222"/>
      <c r="F384" s="229"/>
      <c r="G384" s="227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4"/>
      <c r="U384" s="233"/>
      <c r="V384" s="221"/>
      <c r="Y384" s="228"/>
    </row>
    <row r="385" spans="1:25" s="161" customFormat="1" ht="14.1" customHeight="1" x14ac:dyDescent="0.3">
      <c r="A385" s="221"/>
      <c r="B385" s="221"/>
      <c r="C385" s="229"/>
      <c r="D385" s="229"/>
      <c r="E385" s="222"/>
      <c r="F385" s="229"/>
      <c r="G385" s="227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4"/>
      <c r="U385" s="233"/>
      <c r="V385" s="221"/>
      <c r="Y385" s="228"/>
    </row>
    <row r="386" spans="1:25" s="161" customFormat="1" ht="14.1" customHeight="1" x14ac:dyDescent="0.3">
      <c r="A386" s="221"/>
      <c r="B386" s="221"/>
      <c r="C386" s="229"/>
      <c r="D386" s="229"/>
      <c r="E386" s="222"/>
      <c r="F386" s="229"/>
      <c r="G386" s="227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4"/>
      <c r="U386" s="233"/>
      <c r="V386" s="221"/>
      <c r="Y386" s="228"/>
    </row>
    <row r="387" spans="1:25" s="161" customFormat="1" ht="14.1" customHeight="1" x14ac:dyDescent="0.3">
      <c r="A387" s="221"/>
      <c r="B387" s="221"/>
      <c r="C387" s="229"/>
      <c r="D387" s="229"/>
      <c r="E387" s="222"/>
      <c r="F387" s="229"/>
      <c r="G387" s="227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4"/>
      <c r="U387" s="233"/>
      <c r="V387" s="221"/>
      <c r="Y387" s="228"/>
    </row>
    <row r="388" spans="1:25" s="161" customFormat="1" ht="14.1" customHeight="1" x14ac:dyDescent="0.3">
      <c r="A388" s="221"/>
      <c r="B388" s="221"/>
      <c r="C388" s="229"/>
      <c r="D388" s="229"/>
      <c r="E388" s="222"/>
      <c r="F388" s="229"/>
      <c r="G388" s="227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4"/>
      <c r="U388" s="233"/>
      <c r="V388" s="221"/>
      <c r="Y388" s="228"/>
    </row>
    <row r="389" spans="1:25" s="161" customFormat="1" ht="14.1" customHeight="1" x14ac:dyDescent="0.3">
      <c r="A389" s="221"/>
      <c r="B389" s="221"/>
      <c r="C389" s="229"/>
      <c r="D389" s="229"/>
      <c r="E389" s="222"/>
      <c r="F389" s="229"/>
      <c r="G389" s="227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4"/>
      <c r="U389" s="233"/>
      <c r="V389" s="221"/>
      <c r="Y389" s="228"/>
    </row>
    <row r="390" spans="1:25" s="161" customFormat="1" ht="14.1" customHeight="1" x14ac:dyDescent="0.3">
      <c r="A390" s="221"/>
      <c r="B390" s="221"/>
      <c r="C390" s="229"/>
      <c r="D390" s="229"/>
      <c r="E390" s="222"/>
      <c r="F390" s="229"/>
      <c r="G390" s="227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4"/>
      <c r="U390" s="233"/>
      <c r="V390" s="221"/>
      <c r="Y390" s="228"/>
    </row>
    <row r="391" spans="1:25" s="161" customFormat="1" ht="14.1" customHeight="1" x14ac:dyDescent="0.3">
      <c r="A391" s="221"/>
      <c r="B391" s="221"/>
      <c r="C391" s="229"/>
      <c r="D391" s="229"/>
      <c r="E391" s="222"/>
      <c r="F391" s="229"/>
      <c r="G391" s="227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4"/>
      <c r="U391" s="233"/>
      <c r="V391" s="221"/>
      <c r="Y391" s="228"/>
    </row>
    <row r="392" spans="1:25" s="161" customFormat="1" ht="14.1" customHeight="1" x14ac:dyDescent="0.3">
      <c r="A392" s="221"/>
      <c r="B392" s="221"/>
      <c r="C392" s="226"/>
      <c r="D392" s="229"/>
      <c r="E392" s="222"/>
      <c r="F392" s="229"/>
      <c r="G392" s="227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4"/>
      <c r="T392" s="224"/>
      <c r="V392" s="234"/>
      <c r="W392" s="225"/>
      <c r="X392" s="235"/>
    </row>
    <row r="393" spans="1:25" s="239" customFormat="1" ht="26.25" customHeight="1" x14ac:dyDescent="0.35">
      <c r="A393" s="236"/>
      <c r="B393" s="237"/>
      <c r="C393" s="237"/>
      <c r="D393" s="161"/>
      <c r="E393" s="161"/>
      <c r="F393" s="359"/>
      <c r="G393" s="161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1"/>
      <c r="W393" s="232"/>
      <c r="X393" s="221"/>
    </row>
    <row r="394" spans="1:25" ht="15" customHeight="1" x14ac:dyDescent="0.3">
      <c r="V394" s="242"/>
      <c r="W394" s="221"/>
    </row>
    <row r="402" spans="6:6" ht="9.75" customHeight="1" x14ac:dyDescent="0.3">
      <c r="F402" s="229"/>
    </row>
    <row r="403" spans="6:6" ht="10.5" customHeight="1" x14ac:dyDescent="0.3"/>
    <row r="404" spans="6:6" ht="9.75" customHeight="1" x14ac:dyDescent="0.3">
      <c r="F404" s="229"/>
    </row>
    <row r="417" spans="10:10" ht="9.75" customHeight="1" x14ac:dyDescent="0.3">
      <c r="J417" s="222"/>
    </row>
  </sheetData>
  <sortState xmlns:xlrd2="http://schemas.microsoft.com/office/spreadsheetml/2017/richdata2" ref="A4:AB143">
    <sortCondition ref="A4:A143"/>
  </sortState>
  <mergeCells count="2">
    <mergeCell ref="A1:B1"/>
    <mergeCell ref="E1:G1"/>
  </mergeCells>
  <phoneticPr fontId="0" type="noConversion"/>
  <printOptions gridLines="1"/>
  <pageMargins left="0.25" right="0.25" top="1" bottom="1" header="0.5" footer="0.5"/>
  <pageSetup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8"/>
  <sheetViews>
    <sheetView zoomScale="120" zoomScaleNormal="120" workbookViewId="0">
      <pane ySplit="4" topLeftCell="A5" activePane="bottomLeft" state="frozen"/>
      <selection pane="bottomLeft" activeCell="A2" sqref="A2"/>
    </sheetView>
  </sheetViews>
  <sheetFormatPr defaultColWidth="6.7109375" defaultRowHeight="12" x14ac:dyDescent="0.15"/>
  <cols>
    <col min="1" max="1" width="9.42578125" style="19" customWidth="1"/>
    <col min="2" max="2" width="7" style="11" bestFit="1" customWidth="1"/>
    <col min="3" max="3" width="10" style="21" customWidth="1"/>
    <col min="4" max="4" width="3.42578125" style="11" customWidth="1"/>
    <col min="5" max="5" width="12.7109375" style="11" customWidth="1"/>
    <col min="6" max="6" width="15.28515625" style="13" customWidth="1"/>
    <col min="7" max="7" width="1.42578125" style="13" customWidth="1"/>
    <col min="8" max="8" width="26.28515625" style="64" customWidth="1"/>
    <col min="9" max="9" width="1.28515625" style="30" customWidth="1"/>
    <col min="10" max="10" width="1.28515625" style="11" customWidth="1"/>
    <col min="11" max="16384" width="6.7109375" style="11"/>
  </cols>
  <sheetData>
    <row r="1" spans="1:9" ht="21" customHeight="1" thickBot="1" x14ac:dyDescent="0.3">
      <c r="A1" s="29">
        <v>44089</v>
      </c>
      <c r="B1" s="11" t="s">
        <v>31</v>
      </c>
      <c r="C1" s="12" t="s">
        <v>22</v>
      </c>
      <c r="D1" s="12"/>
    </row>
    <row r="2" spans="1:9" ht="13.7" customHeight="1" x14ac:dyDescent="0.15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23</v>
      </c>
      <c r="H3" s="65" t="s">
        <v>38</v>
      </c>
      <c r="I3" s="31"/>
    </row>
    <row r="4" spans="1:9" s="17" customFormat="1" ht="12" customHeight="1" x14ac:dyDescent="0.15">
      <c r="C4" s="18"/>
      <c r="D4" s="18"/>
      <c r="E4" s="17" t="s">
        <v>24</v>
      </c>
      <c r="H4" s="64"/>
      <c r="I4" s="31"/>
    </row>
    <row r="7" spans="1:9" ht="14.25" x14ac:dyDescent="0.15">
      <c r="A7" s="24" t="s">
        <v>25</v>
      </c>
      <c r="B7" s="19" t="s">
        <v>26</v>
      </c>
      <c r="C7" s="20" t="s">
        <v>27</v>
      </c>
      <c r="E7" s="23" t="s">
        <v>54</v>
      </c>
      <c r="F7" s="23" t="s">
        <v>112</v>
      </c>
      <c r="H7" s="168"/>
      <c r="I7" s="11"/>
    </row>
    <row r="8" spans="1:9" ht="14.25" x14ac:dyDescent="0.15">
      <c r="A8" s="22"/>
      <c r="B8" s="23"/>
      <c r="C8" s="22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SEPT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ROB</cp:lastModifiedBy>
  <cp:lastPrinted>2020-09-01T22:43:19Z</cp:lastPrinted>
  <dcterms:created xsi:type="dcterms:W3CDTF">2002-09-03T16:34:09Z</dcterms:created>
  <dcterms:modified xsi:type="dcterms:W3CDTF">2020-09-16T16:14:10Z</dcterms:modified>
</cp:coreProperties>
</file>