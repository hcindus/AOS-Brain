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1f2e39bdb45401/"/>
    </mc:Choice>
  </mc:AlternateContent>
  <xr:revisionPtr revIDLastSave="0" documentId="8_{9E161895-5FF7-49BD-A447-A4FBEF345042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7" r:id="rId1"/>
    <sheet name="PANDA_KEY" sheetId="8" r:id="rId2"/>
    <sheet name="PANDA_TILL" sheetId="9" r:id="rId3"/>
    <sheet name="Sheet2" sheetId="10" r:id="rId4"/>
    <sheet name="PANDA CD" sheetId="6" r:id="rId5"/>
    <sheet name="DROP" sheetId="5" r:id="rId6"/>
    <sheet name="ITEM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1" i="6" l="1"/>
  <c r="F30" i="6"/>
  <c r="F22" i="5"/>
  <c r="F31" i="5" s="1"/>
  <c r="F125" i="3" l="1"/>
  <c r="F124" i="3"/>
  <c r="F21" i="7" l="1"/>
  <c r="F121" i="3"/>
  <c r="F120" i="3"/>
  <c r="F119" i="3"/>
  <c r="F118" i="3"/>
  <c r="F116" i="3" l="1"/>
  <c r="F114" i="3"/>
  <c r="F113" i="3" l="1"/>
  <c r="F21" i="9" l="1"/>
  <c r="F30" i="9" s="1"/>
  <c r="F21" i="8" l="1"/>
  <c r="F30" i="8" s="1"/>
  <c r="F110" i="3" l="1"/>
  <c r="F109" i="3"/>
  <c r="F107" i="3" l="1"/>
  <c r="F104" i="3" l="1"/>
  <c r="F99" i="3" l="1"/>
  <c r="F33" i="7" l="1"/>
  <c r="F103" i="3" l="1"/>
  <c r="F101" i="3" l="1"/>
  <c r="F97" i="3" l="1"/>
  <c r="F95" i="3" l="1"/>
  <c r="F94" i="3"/>
  <c r="F90" i="3"/>
  <c r="F88" i="3" l="1"/>
  <c r="F84" i="3"/>
  <c r="F87" i="3"/>
  <c r="F86" i="3"/>
  <c r="F85" i="3"/>
  <c r="F81" i="3"/>
  <c r="F79" i="3"/>
  <c r="F77" i="3"/>
  <c r="F76" i="3"/>
  <c r="F73" i="3"/>
  <c r="F72" i="3"/>
  <c r="F69" i="3"/>
  <c r="F67" i="3"/>
  <c r="F65" i="3"/>
  <c r="F60" i="3"/>
  <c r="F19" i="3"/>
  <c r="F20" i="3"/>
  <c r="F21" i="3"/>
  <c r="F22" i="3"/>
  <c r="F23" i="3"/>
  <c r="F24" i="3"/>
  <c r="F25" i="3"/>
  <c r="F26" i="3"/>
  <c r="F27" i="3"/>
  <c r="F28" i="3"/>
  <c r="F29" i="3"/>
  <c r="F30" i="3"/>
  <c r="F33" i="3"/>
  <c r="F34" i="3"/>
  <c r="F37" i="3"/>
  <c r="F40" i="3"/>
  <c r="F42" i="3"/>
  <c r="F44" i="3"/>
  <c r="F45" i="3"/>
  <c r="F46" i="3"/>
  <c r="F48" i="3"/>
  <c r="F49" i="3"/>
  <c r="F54" i="3"/>
  <c r="F56" i="3"/>
  <c r="F58" i="3"/>
</calcChain>
</file>

<file path=xl/sharedStrings.xml><?xml version="1.0" encoding="utf-8"?>
<sst xmlns="http://schemas.openxmlformats.org/spreadsheetml/2006/main" count="357" uniqueCount="146">
  <si>
    <t>P.O. #___________________</t>
  </si>
  <si>
    <t>PURCHASE ORDER</t>
  </si>
  <si>
    <t>TO:</t>
  </si>
  <si>
    <t>DATE:</t>
  </si>
  <si>
    <t>PHONE:</t>
  </si>
  <si>
    <t>DATE REQ:</t>
  </si>
  <si>
    <t>FAX:</t>
  </si>
  <si>
    <t>TERMS"</t>
  </si>
  <si>
    <t>CONTACT:</t>
  </si>
  <si>
    <t>SHIP VIA;</t>
  </si>
  <si>
    <t>GROUND</t>
  </si>
  <si>
    <t>ADDRESS;</t>
  </si>
  <si>
    <t>CITY/STATE</t>
  </si>
  <si>
    <t>QUANTITY</t>
  </si>
  <si>
    <t xml:space="preserve">  VENDOR #</t>
  </si>
  <si>
    <t>UNIT</t>
  </si>
  <si>
    <t>EXTENSION</t>
  </si>
  <si>
    <t xml:space="preserve"> </t>
  </si>
  <si>
    <t>TOTAL</t>
  </si>
  <si>
    <t>M.S. CASH DRAWER</t>
  </si>
  <si>
    <t>1-800-544-1749</t>
  </si>
  <si>
    <t>626-792-4033</t>
  </si>
  <si>
    <t>PRNT-HD-DP8901D</t>
  </si>
  <si>
    <t>STAR SP312</t>
  </si>
  <si>
    <t>PRINT HEAD</t>
  </si>
  <si>
    <t>ARM-LEFT</t>
  </si>
  <si>
    <t>ARM-RIGHT</t>
  </si>
  <si>
    <t>STAR DP8340</t>
  </si>
  <si>
    <t>ROLL PAPER HOLDER L 8340</t>
  </si>
  <si>
    <t>ROLL PAPER HOLDER R 8340</t>
  </si>
  <si>
    <t>SP-103-BLACK</t>
  </si>
  <si>
    <t>MS CASH DRAWER</t>
  </si>
  <si>
    <t>SMALL FOOTPRINT-/WEPSON 24V</t>
  </si>
  <si>
    <t>1051-5</t>
  </si>
  <si>
    <t>TILL FOR SP103</t>
  </si>
  <si>
    <t>1051-7(6/5+2)</t>
  </si>
  <si>
    <t>TILL FOR EP107</t>
  </si>
  <si>
    <t>EP-107-BLK-MED</t>
  </si>
  <si>
    <r>
      <t xml:space="preserve">C/D W/1051-7(6/5+2) 24V W </t>
    </r>
    <r>
      <rPr>
        <b/>
        <sz val="8"/>
        <rFont val="Arial"/>
        <family val="2"/>
      </rPr>
      <t>SHARP</t>
    </r>
    <r>
      <rPr>
        <sz val="8"/>
        <rFont val="Arial"/>
        <family val="2"/>
      </rPr>
      <t xml:space="preserve"> 3-POS $ M.S.</t>
    </r>
  </si>
  <si>
    <r>
      <t xml:space="preserve">CASH DRAWER WITH </t>
    </r>
    <r>
      <rPr>
        <b/>
        <sz val="10"/>
        <rFont val="Arial"/>
        <family val="2"/>
      </rPr>
      <t>EPSON INTERFACE</t>
    </r>
  </si>
  <si>
    <t>CF-460-M-B</t>
  </si>
  <si>
    <t>MEDIA SLOT, BLACK, SS FRONT, RJ FEMALE, #211</t>
  </si>
  <si>
    <t>K-18-TO-EPSON</t>
  </si>
  <si>
    <t>EP-125K-18 EPSON CABLE</t>
  </si>
  <si>
    <t>***  WITH SHARP CABLE  ***</t>
  </si>
  <si>
    <t>THANKS!</t>
  </si>
  <si>
    <t>SMALL FOOTPRINT, BLACK</t>
  </si>
  <si>
    <t>***  WITH EPSON CONNECTOR **</t>
  </si>
  <si>
    <t>EPSON-RJ-Y-CABL</t>
  </si>
  <si>
    <t>EPSON 2-DRAWER SPLITTER Y CABLE</t>
  </si>
  <si>
    <t>UNY-U09-T150SR-B</t>
  </si>
  <si>
    <t>UNYTOUCH 15" SERIAL BLACK RESISTIVE TOUCH LCD</t>
  </si>
  <si>
    <t>DIW-WMB-170</t>
  </si>
  <si>
    <t>WALL MOUNT BRACKET INSTALLED ON UNY TOUCH MONITOR</t>
  </si>
  <si>
    <t>EP-125NK-M-B</t>
  </si>
  <si>
    <t>EP-125K BLACK MEDIA SLOT</t>
  </si>
  <si>
    <t>CD9-EPSON-NCMS</t>
  </si>
  <si>
    <t>EPSON INTERFACE CABLE FOR ABOVE</t>
  </si>
  <si>
    <t>Avery Fx 50 w/ tower display</t>
  </si>
  <si>
    <t>Avery Fx 50, internal display</t>
  </si>
  <si>
    <t>asap</t>
  </si>
  <si>
    <t>Net 30</t>
  </si>
  <si>
    <t>010 KEY</t>
  </si>
  <si>
    <t>KEY FOR CF-460</t>
  </si>
  <si>
    <t>EP-102N-B</t>
  </si>
  <si>
    <t>13" CASH DRAWER</t>
  </si>
  <si>
    <t>CF-405-M-B</t>
  </si>
  <si>
    <t>15.9" CASH DRAWER</t>
  </si>
  <si>
    <t>ACROBAT/NCC</t>
  </si>
  <si>
    <t>TOUCHDYNAMIC ACROBAT WORKSTATION</t>
  </si>
  <si>
    <t>INC MSR &amp; NCC POS SOFTWARE,EMBEDDED</t>
  </si>
  <si>
    <t>Attn:  Somesh</t>
  </si>
  <si>
    <t>Special pricing thru 12/31/14</t>
  </si>
  <si>
    <t>acrobat rear disp</t>
  </si>
  <si>
    <t>2 x 20  Internal Rear Customer Display for Acrobat</t>
  </si>
  <si>
    <t>CRS-130250</t>
  </si>
  <si>
    <t>LM-048 BLUETOOTH ADAPTOR</t>
  </si>
  <si>
    <t>CF CASH DRAWER- BLACK-MEDIA</t>
  </si>
  <si>
    <t>K-18-CASIO-QT6600</t>
  </si>
  <si>
    <t>CABLE SPEC- CASIO QT6600</t>
  </si>
  <si>
    <t>Pete</t>
  </si>
  <si>
    <t>CAS-DL-3616</t>
  </si>
  <si>
    <t>CASH DRAWER FOR TE7000</t>
  </si>
  <si>
    <t>EPS-C31C514653</t>
  </si>
  <si>
    <t>EPSON TM-U220B    SERIAL</t>
  </si>
  <si>
    <t>EPS-C31C514A7881</t>
  </si>
  <si>
    <t>EPSON TM-U220B    ETHERNET</t>
  </si>
  <si>
    <t>EPS-C31CE94061</t>
  </si>
  <si>
    <t>EPSON TMT88VI     SERIAL/USB/ETHERNET</t>
  </si>
  <si>
    <t>Star SP742ME-Gry</t>
  </si>
  <si>
    <t>Autocut, ethernet, grey</t>
  </si>
  <si>
    <t>EPSON INTERFACE CABLE FOR CF460</t>
  </si>
  <si>
    <t>key-dimple 108</t>
  </si>
  <si>
    <t>key for EP125- lock 108</t>
  </si>
  <si>
    <t>Yvonne</t>
  </si>
  <si>
    <t>BILL TO:</t>
  </si>
  <si>
    <t>SHIP TO:</t>
  </si>
  <si>
    <t>PANDA RESTAURANT GROUP INC</t>
  </si>
  <si>
    <t>1683 WALNUT GROVE AVE</t>
  </si>
  <si>
    <t>ROSEMEAD, CA  91770</t>
  </si>
  <si>
    <t>Attn: Staging Dept</t>
  </si>
  <si>
    <t>THIS IS A BLIND DROP SHIPMENT</t>
  </si>
  <si>
    <t>PLEASE SHIP Asap</t>
  </si>
  <si>
    <t>Spot On/ Performance POS</t>
  </si>
  <si>
    <t>San Rafael, Ca  94901</t>
  </si>
  <si>
    <t>attn:  Rob</t>
  </si>
  <si>
    <t>M.S. CASH DRAWER CORP</t>
  </si>
  <si>
    <t>Pete/Tanya</t>
  </si>
  <si>
    <t>" 010 '  key</t>
  </si>
  <si>
    <t>Key for JS-750 cash drawer</t>
  </si>
  <si>
    <t>Till for JS-750 cash drawer</t>
  </si>
  <si>
    <t>JS750TILL</t>
  </si>
  <si>
    <t>101 Glacier Point, Suite B</t>
  </si>
  <si>
    <t>EPS-C31CH51001</t>
  </si>
  <si>
    <t>Epson T20 thermal printer  Serial/USB</t>
  </si>
  <si>
    <t>SPOT ON Transact LLC    Acct#  SPO300</t>
  </si>
  <si>
    <t>100 California Street,  Suite 900</t>
  </si>
  <si>
    <t>San Francisco, Ca  94111</t>
  </si>
  <si>
    <t>JS-750-PER336</t>
  </si>
  <si>
    <t>Cash Drawer for NCR HW</t>
  </si>
  <si>
    <t>100 California Street, # 900</t>
  </si>
  <si>
    <t>816965005895</t>
  </si>
  <si>
    <t>Avery # 6720 POS scales- 30#</t>
  </si>
  <si>
    <t>AWT05-507974</t>
  </si>
  <si>
    <t>Avery USB interface cables</t>
  </si>
  <si>
    <t>SPECIFICATION JS-750 FOR PER336 for PRG Group project</t>
  </si>
  <si>
    <t>CRS-ER-945</t>
  </si>
  <si>
    <t>Sam4S cash register- Raised, dual Ptr</t>
  </si>
  <si>
    <t>CRS-ER-940</t>
  </si>
  <si>
    <t>Sam4S cash register- FLAT KB, dual Ptr</t>
  </si>
  <si>
    <t>STA-39336532</t>
  </si>
  <si>
    <t>CRS-ER-260EJ</t>
  </si>
  <si>
    <t>Sam4S cash register- raised- sgl prt</t>
  </si>
  <si>
    <t>Sam4S cash register- flat- sgl prt</t>
  </si>
  <si>
    <t>CRS-ER-265EJ</t>
  </si>
  <si>
    <t>+frt</t>
  </si>
  <si>
    <t>Telaid TSC</t>
  </si>
  <si>
    <t>Attn:  PRG- DTO PGM0011909</t>
  </si>
  <si>
    <t>2925 Courtyard Drive</t>
  </si>
  <si>
    <t>Norcross, GA  30071</t>
  </si>
  <si>
    <t>(c/o Panda Express)</t>
  </si>
  <si>
    <t>( can sub 88Vii if no 88vi)</t>
  </si>
  <si>
    <t>STA-39654510</t>
  </si>
  <si>
    <t>STAR BLUETOOTH THERMAL PRINTER</t>
  </si>
  <si>
    <t>(for Open Table Int)</t>
  </si>
  <si>
    <t>**  THIS ORDER IS FOR DELIVERY AT PANDA ON June 28, 2024 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</si>
</sst>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4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b/>
      <sz val="12"/>
      <color rgb="FF1D2228"/>
      <name val="Segoe UI"/>
      <family val="2"/>
    </font>
    <font>
      <sz val="11"/>
      <color rgb="FF1F497D"/>
      <name val="Times New Roman"/>
      <family val="1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2" fontId="10" fillId="0" borderId="0" xfId="0" applyNumberFormat="1" applyFont="1"/>
    <xf numFmtId="0" fontId="11" fillId="0" borderId="0" xfId="0" applyFont="1"/>
    <xf numFmtId="16" fontId="0" fillId="0" borderId="0" xfId="0" quotePrefix="1" applyNumberFormat="1"/>
    <xf numFmtId="0" fontId="9" fillId="0" borderId="0" xfId="0" quotePrefix="1" applyFont="1"/>
    <xf numFmtId="0" fontId="12" fillId="0" borderId="0" xfId="0" applyFont="1"/>
    <xf numFmtId="0" fontId="2" fillId="0" borderId="0" xfId="0" applyFont="1"/>
    <xf numFmtId="164" fontId="0" fillId="0" borderId="0" xfId="0" applyNumberFormat="1"/>
    <xf numFmtId="16" fontId="0" fillId="0" borderId="0" xfId="0" applyNumberFormat="1"/>
    <xf numFmtId="2" fontId="12" fillId="0" borderId="0" xfId="0" applyNumberFormat="1" applyFont="1"/>
    <xf numFmtId="0" fontId="10" fillId="0" borderId="0" xfId="0" applyFont="1" applyAlignment="1">
      <alignment horizontal="center"/>
    </xf>
    <xf numFmtId="0" fontId="15" fillId="0" borderId="0" xfId="0" applyFont="1"/>
    <xf numFmtId="0" fontId="10" fillId="0" borderId="0" xfId="0" applyFont="1" applyAlignment="1">
      <alignment horizontal="centerContinuous"/>
    </xf>
    <xf numFmtId="164" fontId="10" fillId="0" borderId="0" xfId="0" quotePrefix="1" applyNumberFormat="1" applyFont="1"/>
    <xf numFmtId="0" fontId="16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2" borderId="0" xfId="0" applyFont="1" applyFill="1"/>
    <xf numFmtId="16" fontId="2" fillId="0" borderId="0" xfId="0" quotePrefix="1" applyNumberFormat="1" applyFont="1"/>
    <xf numFmtId="16" fontId="1" fillId="0" borderId="0" xfId="0" quotePrefix="1" applyNumberFormat="1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1" fillId="0" borderId="6" xfId="0" applyFont="1" applyBorder="1"/>
    <xf numFmtId="0" fontId="18" fillId="0" borderId="0" xfId="0" applyFont="1"/>
    <xf numFmtId="0" fontId="5" fillId="0" borderId="7" xfId="0" applyFont="1" applyBorder="1"/>
    <xf numFmtId="0" fontId="0" fillId="0" borderId="2" xfId="0" applyBorder="1"/>
    <xf numFmtId="0" fontId="5" fillId="0" borderId="0" xfId="0" applyFont="1" applyBorder="1"/>
    <xf numFmtId="0" fontId="0" fillId="0" borderId="4" xfId="0" applyBorder="1"/>
    <xf numFmtId="0" fontId="1" fillId="0" borderId="5" xfId="0" applyFont="1" applyBorder="1"/>
    <xf numFmtId="0" fontId="1" fillId="0" borderId="8" xfId="0" applyFont="1" applyBorder="1"/>
    <xf numFmtId="0" fontId="0" fillId="0" borderId="6" xfId="0" applyBorder="1"/>
    <xf numFmtId="0" fontId="17" fillId="0" borderId="0" xfId="0" quotePrefix="1" applyFont="1"/>
    <xf numFmtId="0" fontId="6" fillId="0" borderId="0" xfId="0" quotePrefix="1" applyFont="1"/>
    <xf numFmtId="0" fontId="10" fillId="0" borderId="0" xfId="0" applyFont="1" applyFill="1"/>
    <xf numFmtId="0" fontId="0" fillId="0" borderId="0" xfId="0" quotePrefix="1"/>
    <xf numFmtId="0" fontId="19" fillId="0" borderId="0" xfId="0" applyFont="1"/>
    <xf numFmtId="0" fontId="2" fillId="0" borderId="0" xfId="0" quotePrefix="1" applyFon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Fill="1"/>
    <xf numFmtId="0" fontId="20" fillId="0" borderId="0" xfId="0" quotePrefix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C063-B673-4CF9-B9DA-0687FC5F37BC}">
  <dimension ref="A1:G36"/>
  <sheetViews>
    <sheetView workbookViewId="0">
      <selection activeCell="F4" sqref="F4"/>
    </sheetView>
  </sheetViews>
  <sheetFormatPr defaultRowHeight="12.75" x14ac:dyDescent="0.2"/>
  <cols>
    <col min="1" max="1" width="4.7109375" customWidth="1"/>
    <col min="2" max="2" width="20.140625" customWidth="1"/>
    <col min="3" max="3" width="18" customWidth="1"/>
    <col min="4" max="4" width="26.42578125" customWidth="1"/>
    <col min="5" max="5" width="8.7109375" customWidth="1"/>
    <col min="6" max="6" width="13.28515625" customWidth="1"/>
  </cols>
  <sheetData>
    <row r="1" spans="1:6" ht="30" x14ac:dyDescent="0.4">
      <c r="B1" s="1"/>
      <c r="C1" s="1"/>
      <c r="E1" t="s">
        <v>0</v>
      </c>
      <c r="F1" s="48">
        <v>4022603</v>
      </c>
    </row>
    <row r="2" spans="1:6" ht="30" x14ac:dyDescent="0.4">
      <c r="A2" s="5"/>
      <c r="B2" s="6" t="s">
        <v>1</v>
      </c>
      <c r="C2" s="6"/>
      <c r="D2" s="5"/>
      <c r="E2" s="5"/>
    </row>
    <row r="3" spans="1:6" ht="23.25" x14ac:dyDescent="0.35">
      <c r="A3" t="s">
        <v>2</v>
      </c>
      <c r="B3" s="3" t="s">
        <v>19</v>
      </c>
      <c r="C3" s="3"/>
      <c r="D3" s="3"/>
      <c r="E3" t="s">
        <v>3</v>
      </c>
      <c r="F3" s="18">
        <v>45348</v>
      </c>
    </row>
    <row r="4" spans="1:6" x14ac:dyDescent="0.2">
      <c r="A4" t="s">
        <v>4</v>
      </c>
      <c r="C4" t="s">
        <v>20</v>
      </c>
      <c r="E4" t="s">
        <v>5</v>
      </c>
      <c r="F4" s="18" t="s">
        <v>60</v>
      </c>
    </row>
    <row r="5" spans="1:6" x14ac:dyDescent="0.2">
      <c r="A5" t="s">
        <v>6</v>
      </c>
      <c r="C5" t="s">
        <v>21</v>
      </c>
      <c r="E5" t="s">
        <v>7</v>
      </c>
      <c r="F5" t="s">
        <v>61</v>
      </c>
    </row>
    <row r="6" spans="1:6" x14ac:dyDescent="0.2">
      <c r="A6" t="s">
        <v>8</v>
      </c>
      <c r="C6" s="2" t="s">
        <v>107</v>
      </c>
      <c r="E6" t="s">
        <v>9</v>
      </c>
      <c r="F6" s="2" t="s">
        <v>10</v>
      </c>
    </row>
    <row r="8" spans="1:6" ht="15.75" x14ac:dyDescent="0.25">
      <c r="A8" s="22" t="s">
        <v>95</v>
      </c>
      <c r="B8" s="2"/>
      <c r="C8" s="4" t="s">
        <v>115</v>
      </c>
      <c r="D8" s="4"/>
    </row>
    <row r="9" spans="1:6" ht="15" x14ac:dyDescent="0.2">
      <c r="A9" t="s">
        <v>11</v>
      </c>
      <c r="B9" s="2"/>
      <c r="C9" s="13" t="s">
        <v>116</v>
      </c>
      <c r="D9" s="13"/>
    </row>
    <row r="10" spans="1:6" ht="15.75" x14ac:dyDescent="0.25">
      <c r="A10" t="s">
        <v>12</v>
      </c>
      <c r="B10" s="2"/>
      <c r="C10" s="13" t="s">
        <v>117</v>
      </c>
      <c r="D10" s="13"/>
      <c r="E10" s="16"/>
      <c r="F10" s="16"/>
    </row>
    <row r="11" spans="1:6" x14ac:dyDescent="0.2">
      <c r="A11" t="s">
        <v>8</v>
      </c>
      <c r="C11" s="17" t="s">
        <v>94</v>
      </c>
      <c r="D11" s="10"/>
    </row>
    <row r="13" spans="1:6" ht="13.5" thickBot="1" x14ac:dyDescent="0.25"/>
    <row r="14" spans="1:6" ht="15.75" x14ac:dyDescent="0.25">
      <c r="A14" s="22" t="s">
        <v>96</v>
      </c>
      <c r="B14" s="2"/>
      <c r="C14" s="33" t="s">
        <v>103</v>
      </c>
      <c r="D14" s="34"/>
    </row>
    <row r="15" spans="1:6" ht="15.75" x14ac:dyDescent="0.25">
      <c r="A15" t="s">
        <v>11</v>
      </c>
      <c r="B15" s="2"/>
      <c r="C15" s="35" t="s">
        <v>112</v>
      </c>
      <c r="D15" s="36"/>
    </row>
    <row r="16" spans="1:6" ht="15.75" x14ac:dyDescent="0.25">
      <c r="A16" t="s">
        <v>12</v>
      </c>
      <c r="B16" s="2"/>
      <c r="C16" s="35" t="s">
        <v>104</v>
      </c>
      <c r="D16" s="36"/>
      <c r="E16" s="16"/>
      <c r="F16" s="16"/>
    </row>
    <row r="17" spans="1:7" ht="16.5" thickBot="1" x14ac:dyDescent="0.3">
      <c r="A17" t="s">
        <v>8</v>
      </c>
      <c r="C17" s="37" t="s">
        <v>105</v>
      </c>
      <c r="D17" s="38"/>
    </row>
    <row r="18" spans="1:7" ht="15.75" x14ac:dyDescent="0.25">
      <c r="A18" s="11"/>
      <c r="B18" s="11"/>
      <c r="C18" s="16"/>
      <c r="D18" s="11"/>
    </row>
    <row r="19" spans="1:7" s="8" customFormat="1" ht="25.5" customHeight="1" x14ac:dyDescent="0.2">
      <c r="A19" s="9" t="s">
        <v>13</v>
      </c>
      <c r="B19" s="9" t="s">
        <v>14</v>
      </c>
      <c r="C19" s="9"/>
      <c r="D19" s="9"/>
      <c r="E19" s="9" t="s">
        <v>15</v>
      </c>
      <c r="F19" s="9" t="s">
        <v>16</v>
      </c>
      <c r="G19" s="9"/>
    </row>
    <row r="20" spans="1:7" ht="15.75" x14ac:dyDescent="0.25">
      <c r="A20" s="16"/>
      <c r="B20" s="11"/>
      <c r="C20" s="8"/>
      <c r="D20" s="8"/>
      <c r="E20" s="13"/>
      <c r="F20" s="13"/>
    </row>
    <row r="21" spans="1:7" x14ac:dyDescent="0.2">
      <c r="A21">
        <v>1</v>
      </c>
      <c r="B21" s="17" t="s">
        <v>142</v>
      </c>
      <c r="C21" s="17" t="s">
        <v>143</v>
      </c>
      <c r="E21" s="49">
        <v>377.91</v>
      </c>
      <c r="F21" s="11">
        <f>E21*A21</f>
        <v>377.91</v>
      </c>
    </row>
    <row r="22" spans="1:7" x14ac:dyDescent="0.2">
      <c r="C22" s="17" t="s">
        <v>144</v>
      </c>
      <c r="E22" s="11"/>
      <c r="F22" s="11"/>
    </row>
    <row r="23" spans="1:7" x14ac:dyDescent="0.2">
      <c r="A23" s="17"/>
      <c r="B23" s="27"/>
      <c r="C23" s="17"/>
      <c r="D23" s="17"/>
      <c r="E23" s="11"/>
      <c r="F23" s="11"/>
    </row>
    <row r="24" spans="1:7" x14ac:dyDescent="0.2">
      <c r="A24" s="17"/>
      <c r="B24" s="27"/>
      <c r="C24" s="17"/>
      <c r="D24" s="17"/>
      <c r="E24" s="11"/>
      <c r="F24" s="11"/>
    </row>
    <row r="25" spans="1:7" s="17" customFormat="1" x14ac:dyDescent="0.2">
      <c r="B25" s="27"/>
      <c r="E25" s="55"/>
    </row>
    <row r="26" spans="1:7" s="17" customFormat="1" x14ac:dyDescent="0.2">
      <c r="B26" s="27"/>
    </row>
    <row r="27" spans="1:7" s="17" customFormat="1" x14ac:dyDescent="0.2"/>
    <row r="28" spans="1:7" x14ac:dyDescent="0.2">
      <c r="E28" s="11"/>
      <c r="F28" s="11"/>
    </row>
    <row r="29" spans="1:7" x14ac:dyDescent="0.2">
      <c r="B29" s="17"/>
      <c r="C29" s="17"/>
      <c r="E29" s="11"/>
      <c r="F29" s="11"/>
    </row>
    <row r="30" spans="1:7" x14ac:dyDescent="0.2">
      <c r="B30" s="27"/>
      <c r="C30" s="17"/>
      <c r="E30" s="11"/>
      <c r="F30" s="11"/>
    </row>
    <row r="31" spans="1:7" s="8" customFormat="1" x14ac:dyDescent="0.2">
      <c r="A31" s="11"/>
      <c r="B31" s="27"/>
      <c r="E31" s="17"/>
      <c r="F31" s="11"/>
    </row>
    <row r="32" spans="1:7" s="8" customFormat="1" x14ac:dyDescent="0.2">
      <c r="A32" s="11"/>
      <c r="B32" s="27"/>
      <c r="E32" s="17"/>
      <c r="F32" s="11"/>
    </row>
    <row r="33" spans="2:7" s="10" customFormat="1" ht="15.75" x14ac:dyDescent="0.25">
      <c r="B33" s="10" t="s">
        <v>17</v>
      </c>
      <c r="D33" s="11" t="s">
        <v>18</v>
      </c>
      <c r="E33" s="10" t="s">
        <v>17</v>
      </c>
      <c r="F33" s="20">
        <f>SUM(F21:F30)</f>
        <v>377.91</v>
      </c>
      <c r="G33" s="15"/>
    </row>
    <row r="34" spans="2:7" x14ac:dyDescent="0.2">
      <c r="D34" s="17"/>
      <c r="F34" s="52"/>
    </row>
    <row r="35" spans="2:7" ht="18" x14ac:dyDescent="0.25">
      <c r="B35" s="7"/>
      <c r="C35" s="7"/>
      <c r="D35" s="56" t="s">
        <v>135</v>
      </c>
    </row>
    <row r="36" spans="2:7" ht="18" x14ac:dyDescent="0.25">
      <c r="B36" s="7"/>
      <c r="C36" s="7"/>
      <c r="D36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E499-0A3A-4954-B835-2BE2E101B09A}">
  <dimension ref="A1:G33"/>
  <sheetViews>
    <sheetView workbookViewId="0">
      <selection activeCell="F4" sqref="F4"/>
    </sheetView>
  </sheetViews>
  <sheetFormatPr defaultRowHeight="12.75" x14ac:dyDescent="0.2"/>
  <cols>
    <col min="1" max="1" width="7.85546875" customWidth="1"/>
    <col min="2" max="2" width="18.28515625" customWidth="1"/>
    <col min="3" max="3" width="18" customWidth="1"/>
    <col min="4" max="4" width="20.85546875" customWidth="1"/>
    <col min="5" max="5" width="8.7109375" customWidth="1"/>
    <col min="6" max="6" width="13.7109375" customWidth="1"/>
  </cols>
  <sheetData>
    <row r="1" spans="1:6" ht="30" x14ac:dyDescent="0.4">
      <c r="B1" s="1"/>
      <c r="C1" s="1"/>
      <c r="E1" t="s">
        <v>0</v>
      </c>
      <c r="F1" s="47">
        <v>4022602</v>
      </c>
    </row>
    <row r="2" spans="1:6" ht="30" x14ac:dyDescent="0.4">
      <c r="A2" s="5"/>
      <c r="B2" s="6" t="s">
        <v>1</v>
      </c>
      <c r="C2" s="6"/>
      <c r="D2" s="5"/>
      <c r="E2" s="5"/>
    </row>
    <row r="3" spans="1:6" ht="23.25" x14ac:dyDescent="0.35">
      <c r="A3" t="s">
        <v>2</v>
      </c>
      <c r="B3" s="3" t="s">
        <v>106</v>
      </c>
      <c r="C3" s="3"/>
      <c r="D3" s="3"/>
      <c r="E3" t="s">
        <v>3</v>
      </c>
      <c r="F3" s="53">
        <v>45348</v>
      </c>
    </row>
    <row r="4" spans="1:6" x14ac:dyDescent="0.2">
      <c r="A4" t="s">
        <v>4</v>
      </c>
      <c r="C4" t="s">
        <v>20</v>
      </c>
      <c r="E4" t="s">
        <v>5</v>
      </c>
      <c r="F4" s="53" t="s">
        <v>60</v>
      </c>
    </row>
    <row r="5" spans="1:6" x14ac:dyDescent="0.2">
      <c r="A5" t="s">
        <v>6</v>
      </c>
      <c r="C5" t="s">
        <v>21</v>
      </c>
      <c r="E5" t="s">
        <v>7</v>
      </c>
      <c r="F5" s="29" t="s">
        <v>61</v>
      </c>
    </row>
    <row r="6" spans="1:6" x14ac:dyDescent="0.2">
      <c r="A6" t="s">
        <v>8</v>
      </c>
      <c r="C6" s="11" t="s">
        <v>80</v>
      </c>
      <c r="E6" t="s">
        <v>9</v>
      </c>
      <c r="F6" s="26" t="s">
        <v>10</v>
      </c>
    </row>
    <row r="8" spans="1:6" ht="15.75" x14ac:dyDescent="0.25">
      <c r="A8" s="22" t="s">
        <v>95</v>
      </c>
      <c r="B8" s="2"/>
      <c r="C8" s="4" t="s">
        <v>115</v>
      </c>
      <c r="D8" s="4"/>
    </row>
    <row r="9" spans="1:6" ht="15" x14ac:dyDescent="0.2">
      <c r="A9" t="s">
        <v>11</v>
      </c>
      <c r="B9" s="2"/>
      <c r="C9" s="13" t="s">
        <v>120</v>
      </c>
      <c r="D9" s="13"/>
    </row>
    <row r="10" spans="1:6" ht="15.75" x14ac:dyDescent="0.25">
      <c r="A10" t="s">
        <v>12</v>
      </c>
      <c r="B10" s="2"/>
      <c r="C10" s="13" t="s">
        <v>117</v>
      </c>
      <c r="D10" s="13"/>
      <c r="E10" s="16"/>
      <c r="F10" s="16"/>
    </row>
    <row r="11" spans="1:6" x14ac:dyDescent="0.2">
      <c r="A11" t="s">
        <v>8</v>
      </c>
      <c r="C11" s="17" t="s">
        <v>94</v>
      </c>
      <c r="D11" s="10"/>
    </row>
    <row r="13" spans="1:6" ht="13.5" thickBot="1" x14ac:dyDescent="0.25"/>
    <row r="14" spans="1:6" ht="15.75" x14ac:dyDescent="0.25">
      <c r="A14" s="4" t="s">
        <v>96</v>
      </c>
      <c r="B14" s="2"/>
      <c r="C14" s="33" t="s">
        <v>97</v>
      </c>
      <c r="D14" s="40"/>
      <c r="E14" s="41"/>
    </row>
    <row r="15" spans="1:6" ht="15.75" x14ac:dyDescent="0.25">
      <c r="A15" t="s">
        <v>11</v>
      </c>
      <c r="B15" s="2"/>
      <c r="C15" s="35" t="s">
        <v>98</v>
      </c>
      <c r="D15" s="42"/>
      <c r="E15" s="43"/>
    </row>
    <row r="16" spans="1:6" ht="15.75" x14ac:dyDescent="0.25">
      <c r="A16" t="s">
        <v>12</v>
      </c>
      <c r="B16" s="2"/>
      <c r="C16" s="35" t="s">
        <v>99</v>
      </c>
      <c r="D16" s="42"/>
      <c r="E16" s="43"/>
    </row>
    <row r="17" spans="1:7" ht="13.5" thickBot="1" x14ac:dyDescent="0.25">
      <c r="A17" t="s">
        <v>8</v>
      </c>
      <c r="C17" s="44" t="s">
        <v>100</v>
      </c>
      <c r="D17" s="45"/>
      <c r="E17" s="46"/>
    </row>
    <row r="18" spans="1:7" s="8" customFormat="1" ht="25.5" customHeight="1" x14ac:dyDescent="0.2">
      <c r="A18" s="9" t="s">
        <v>13</v>
      </c>
      <c r="B18" s="9" t="s">
        <v>14</v>
      </c>
      <c r="C18" s="9"/>
      <c r="D18" s="9"/>
      <c r="E18" s="9" t="s">
        <v>15</v>
      </c>
      <c r="F18" s="9" t="s">
        <v>16</v>
      </c>
      <c r="G18" s="9"/>
    </row>
    <row r="20" spans="1:7" s="8" customFormat="1" ht="15.75" x14ac:dyDescent="0.25">
      <c r="A20" s="4"/>
      <c r="B20" s="2"/>
      <c r="E20" s="13"/>
      <c r="F20" s="13"/>
      <c r="G20" s="13"/>
    </row>
    <row r="21" spans="1:7" ht="15.75" x14ac:dyDescent="0.25">
      <c r="A21" s="4">
        <v>300</v>
      </c>
      <c r="B21" s="2" t="s">
        <v>108</v>
      </c>
      <c r="C21" s="8" t="s">
        <v>109</v>
      </c>
      <c r="E21" s="13">
        <v>2.2000000000000002</v>
      </c>
      <c r="F21" s="13">
        <f>E21*A21</f>
        <v>660</v>
      </c>
    </row>
    <row r="22" spans="1:7" s="8" customFormat="1" ht="15.75" x14ac:dyDescent="0.25">
      <c r="A22" s="4"/>
      <c r="B22" s="2"/>
      <c r="C22" s="51"/>
      <c r="D22" s="14"/>
      <c r="E22" s="13"/>
      <c r="F22" s="13"/>
    </row>
    <row r="23" spans="1:7" ht="15.75" x14ac:dyDescent="0.25">
      <c r="A23" s="4"/>
      <c r="B23" s="2"/>
      <c r="C23" s="8"/>
      <c r="D23" s="14"/>
      <c r="E23" s="13"/>
      <c r="F23" s="13"/>
    </row>
    <row r="24" spans="1:7" s="2" customFormat="1" ht="15.75" x14ac:dyDescent="0.25">
      <c r="A24" s="4"/>
      <c r="C24" s="8"/>
      <c r="D24"/>
      <c r="E24" s="13"/>
      <c r="F24" s="13"/>
      <c r="G24" s="4"/>
    </row>
    <row r="25" spans="1:7" ht="15.75" x14ac:dyDescent="0.25">
      <c r="A25" s="4"/>
      <c r="B25" s="2"/>
      <c r="C25" s="2" t="s">
        <v>101</v>
      </c>
      <c r="D25" s="32"/>
      <c r="E25" s="13"/>
      <c r="F25" s="13"/>
    </row>
    <row r="26" spans="1:7" ht="15.75" x14ac:dyDescent="0.25">
      <c r="A26" s="4"/>
      <c r="B26" s="2"/>
      <c r="C26" s="2"/>
      <c r="D26" s="32"/>
      <c r="E26" s="13"/>
      <c r="F26" s="13"/>
    </row>
    <row r="27" spans="1:7" s="8" customFormat="1" ht="15.75" x14ac:dyDescent="0.25">
      <c r="A27" s="4"/>
      <c r="B27" s="2"/>
      <c r="C27" s="2" t="s">
        <v>102</v>
      </c>
      <c r="D27" s="2"/>
      <c r="E27" s="13"/>
      <c r="F27" s="13"/>
    </row>
    <row r="28" spans="1:7" s="8" customFormat="1" ht="15.75" x14ac:dyDescent="0.25">
      <c r="A28" s="4"/>
      <c r="B28" s="2"/>
      <c r="C28" s="2"/>
      <c r="D28" s="2"/>
      <c r="E28" s="13"/>
      <c r="F28" s="13"/>
    </row>
    <row r="29" spans="1:7" ht="18" x14ac:dyDescent="0.25">
      <c r="A29" s="4"/>
      <c r="B29" s="2"/>
      <c r="C29" s="7" t="s">
        <v>45</v>
      </c>
      <c r="D29" s="32"/>
      <c r="E29" s="13"/>
      <c r="F29" s="13"/>
    </row>
    <row r="30" spans="1:7" s="10" customFormat="1" ht="15.75" x14ac:dyDescent="0.25">
      <c r="B30" s="10" t="s">
        <v>17</v>
      </c>
      <c r="D30" s="11" t="s">
        <v>18</v>
      </c>
      <c r="E30" s="10" t="s">
        <v>17</v>
      </c>
      <c r="F30" s="20">
        <f>SUM(F21:F29)</f>
        <v>660</v>
      </c>
      <c r="G30" s="15"/>
    </row>
    <row r="32" spans="1:7" ht="18" x14ac:dyDescent="0.25">
      <c r="B32" s="7"/>
      <c r="C32" s="7"/>
      <c r="D32" s="7"/>
    </row>
    <row r="33" spans="2:4" ht="18" x14ac:dyDescent="0.25">
      <c r="B33" s="7"/>
      <c r="C33" s="7"/>
      <c r="D33" s="7"/>
    </row>
  </sheetData>
  <pageMargins left="0.2" right="0.2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4F11-ED5E-4085-84FF-1931537FBB36}">
  <dimension ref="A1:G33"/>
  <sheetViews>
    <sheetView tabSelected="1" workbookViewId="0">
      <selection activeCell="F4" sqref="F4"/>
    </sheetView>
  </sheetViews>
  <sheetFormatPr defaultRowHeight="12.75" x14ac:dyDescent="0.2"/>
  <cols>
    <col min="1" max="1" width="7.85546875" customWidth="1"/>
    <col min="2" max="2" width="18.28515625" customWidth="1"/>
    <col min="3" max="3" width="18" customWidth="1"/>
    <col min="4" max="4" width="20.85546875" customWidth="1"/>
    <col min="5" max="5" width="8.7109375" customWidth="1"/>
    <col min="6" max="6" width="13.7109375" customWidth="1"/>
  </cols>
  <sheetData>
    <row r="1" spans="1:6" ht="30" x14ac:dyDescent="0.4">
      <c r="B1" s="1"/>
      <c r="C1" s="1"/>
      <c r="E1" t="s">
        <v>0</v>
      </c>
      <c r="F1" s="47">
        <v>4041203</v>
      </c>
    </row>
    <row r="2" spans="1:6" ht="30" x14ac:dyDescent="0.4">
      <c r="A2" s="5"/>
      <c r="B2" s="6" t="s">
        <v>1</v>
      </c>
      <c r="C2" s="6"/>
      <c r="D2" s="5"/>
      <c r="E2" s="5"/>
    </row>
    <row r="3" spans="1:6" ht="23.25" x14ac:dyDescent="0.35">
      <c r="A3" t="s">
        <v>2</v>
      </c>
      <c r="B3" s="3" t="s">
        <v>106</v>
      </c>
      <c r="C3" s="3"/>
      <c r="D3" s="3"/>
      <c r="E3" t="s">
        <v>3</v>
      </c>
      <c r="F3" s="18">
        <v>45394</v>
      </c>
    </row>
    <row r="4" spans="1:6" x14ac:dyDescent="0.2">
      <c r="A4" t="s">
        <v>4</v>
      </c>
      <c r="C4" t="s">
        <v>20</v>
      </c>
      <c r="E4" t="s">
        <v>5</v>
      </c>
      <c r="F4" s="18" t="s">
        <v>60</v>
      </c>
    </row>
    <row r="5" spans="1:6" x14ac:dyDescent="0.2">
      <c r="A5" t="s">
        <v>6</v>
      </c>
      <c r="C5" t="s">
        <v>21</v>
      </c>
      <c r="E5" t="s">
        <v>7</v>
      </c>
      <c r="F5" t="s">
        <v>61</v>
      </c>
    </row>
    <row r="6" spans="1:6" x14ac:dyDescent="0.2">
      <c r="A6" t="s">
        <v>8</v>
      </c>
      <c r="C6" s="11" t="s">
        <v>80</v>
      </c>
      <c r="E6" t="s">
        <v>9</v>
      </c>
      <c r="F6" s="2" t="s">
        <v>10</v>
      </c>
    </row>
    <row r="8" spans="1:6" ht="15.75" x14ac:dyDescent="0.25">
      <c r="A8" s="22" t="s">
        <v>95</v>
      </c>
      <c r="B8" s="2"/>
      <c r="C8" s="4" t="s">
        <v>115</v>
      </c>
      <c r="D8" s="4"/>
    </row>
    <row r="9" spans="1:6" ht="15" x14ac:dyDescent="0.2">
      <c r="A9" t="s">
        <v>11</v>
      </c>
      <c r="B9" s="2"/>
      <c r="C9" s="13" t="s">
        <v>120</v>
      </c>
      <c r="D9" s="13"/>
    </row>
    <row r="10" spans="1:6" ht="15.75" x14ac:dyDescent="0.25">
      <c r="A10" t="s">
        <v>12</v>
      </c>
      <c r="B10" s="2"/>
      <c r="C10" s="13" t="s">
        <v>117</v>
      </c>
      <c r="D10" s="13"/>
      <c r="E10" s="16"/>
      <c r="F10" s="16"/>
    </row>
    <row r="11" spans="1:6" x14ac:dyDescent="0.2">
      <c r="A11" t="s">
        <v>8</v>
      </c>
      <c r="C11" s="17" t="s">
        <v>94</v>
      </c>
      <c r="D11" s="10"/>
    </row>
    <row r="13" spans="1:6" ht="13.5" thickBot="1" x14ac:dyDescent="0.25"/>
    <row r="14" spans="1:6" ht="15.75" x14ac:dyDescent="0.25">
      <c r="A14" s="4" t="s">
        <v>96</v>
      </c>
      <c r="B14" s="2"/>
      <c r="C14" s="33" t="s">
        <v>97</v>
      </c>
      <c r="D14" s="40"/>
      <c r="E14" s="41"/>
    </row>
    <row r="15" spans="1:6" ht="15.75" x14ac:dyDescent="0.25">
      <c r="A15" t="s">
        <v>11</v>
      </c>
      <c r="B15" s="2"/>
      <c r="C15" s="35" t="s">
        <v>98</v>
      </c>
      <c r="D15" s="42"/>
      <c r="E15" s="43"/>
    </row>
    <row r="16" spans="1:6" ht="15.75" x14ac:dyDescent="0.25">
      <c r="A16" t="s">
        <v>12</v>
      </c>
      <c r="B16" s="2"/>
      <c r="C16" s="35" t="s">
        <v>99</v>
      </c>
      <c r="D16" s="42"/>
      <c r="E16" s="43"/>
    </row>
    <row r="17" spans="1:7" ht="13.5" thickBot="1" x14ac:dyDescent="0.25">
      <c r="A17" t="s">
        <v>8</v>
      </c>
      <c r="C17" s="44" t="s">
        <v>100</v>
      </c>
      <c r="D17" s="45"/>
      <c r="E17" s="46"/>
    </row>
    <row r="18" spans="1:7" s="8" customFormat="1" ht="25.5" customHeight="1" x14ac:dyDescent="0.2">
      <c r="A18" s="9" t="s">
        <v>13</v>
      </c>
      <c r="B18" s="9" t="s">
        <v>14</v>
      </c>
      <c r="C18" s="9"/>
      <c r="D18" s="9"/>
      <c r="E18" s="9" t="s">
        <v>15</v>
      </c>
      <c r="F18" s="9" t="s">
        <v>16</v>
      </c>
      <c r="G18" s="9"/>
    </row>
    <row r="20" spans="1:7" s="8" customFormat="1" ht="15.75" x14ac:dyDescent="0.25">
      <c r="A20" s="4"/>
      <c r="B20" s="2"/>
      <c r="E20" s="13"/>
      <c r="F20" s="13"/>
      <c r="G20" s="13"/>
    </row>
    <row r="21" spans="1:7" ht="15.75" x14ac:dyDescent="0.25">
      <c r="A21" s="4">
        <v>100</v>
      </c>
      <c r="B21" s="26" t="s">
        <v>111</v>
      </c>
      <c r="C21" s="8" t="s">
        <v>110</v>
      </c>
      <c r="E21" s="13">
        <v>26</v>
      </c>
      <c r="F21" s="13">
        <f>E21*A21</f>
        <v>2600</v>
      </c>
    </row>
    <row r="22" spans="1:7" s="8" customFormat="1" ht="15.75" x14ac:dyDescent="0.25">
      <c r="A22" s="4"/>
      <c r="B22" s="2"/>
      <c r="C22" s="51"/>
      <c r="D22" s="14"/>
      <c r="E22" s="13"/>
      <c r="F22" s="13"/>
    </row>
    <row r="23" spans="1:7" ht="15.75" x14ac:dyDescent="0.25">
      <c r="A23" s="4"/>
      <c r="B23" s="2"/>
      <c r="C23" s="8"/>
      <c r="D23" s="14"/>
      <c r="E23" s="13"/>
      <c r="F23" s="13"/>
    </row>
    <row r="24" spans="1:7" s="2" customFormat="1" ht="15.75" x14ac:dyDescent="0.25">
      <c r="A24" s="4"/>
      <c r="C24" s="8"/>
      <c r="D24"/>
      <c r="E24" s="13"/>
      <c r="F24" s="13"/>
      <c r="G24" s="4"/>
    </row>
    <row r="25" spans="1:7" ht="15.75" x14ac:dyDescent="0.25">
      <c r="A25" s="4"/>
      <c r="B25" s="2"/>
      <c r="C25" s="2" t="s">
        <v>101</v>
      </c>
      <c r="D25" s="32"/>
      <c r="E25" s="13"/>
      <c r="F25" s="13"/>
    </row>
    <row r="26" spans="1:7" ht="15.75" x14ac:dyDescent="0.25">
      <c r="A26" s="4"/>
      <c r="B26" s="2"/>
      <c r="C26" s="2"/>
      <c r="D26" s="32"/>
      <c r="E26" s="13"/>
      <c r="F26" s="13"/>
    </row>
    <row r="27" spans="1:7" s="8" customFormat="1" ht="15.75" x14ac:dyDescent="0.25">
      <c r="A27" s="4"/>
      <c r="B27" s="2"/>
      <c r="C27" s="2" t="s">
        <v>102</v>
      </c>
      <c r="D27" s="2"/>
      <c r="E27" s="13"/>
      <c r="F27" s="13"/>
    </row>
    <row r="28" spans="1:7" s="8" customFormat="1" ht="15.75" x14ac:dyDescent="0.25">
      <c r="A28" s="4"/>
      <c r="B28" s="2"/>
      <c r="C28" s="2"/>
      <c r="D28" s="2"/>
      <c r="E28" s="13"/>
      <c r="F28" s="13"/>
    </row>
    <row r="29" spans="1:7" ht="18" x14ac:dyDescent="0.25">
      <c r="A29" s="4"/>
      <c r="B29" s="2"/>
      <c r="C29" s="7" t="s">
        <v>45</v>
      </c>
      <c r="D29" s="32"/>
      <c r="E29" s="13"/>
      <c r="F29" s="13"/>
    </row>
    <row r="30" spans="1:7" s="10" customFormat="1" ht="15.75" x14ac:dyDescent="0.25">
      <c r="B30" s="10" t="s">
        <v>17</v>
      </c>
      <c r="D30" s="11" t="s">
        <v>18</v>
      </c>
      <c r="E30" s="10" t="s">
        <v>17</v>
      </c>
      <c r="F30" s="20">
        <f>SUM(F21:F29)</f>
        <v>2600</v>
      </c>
      <c r="G30" s="15"/>
    </row>
    <row r="32" spans="1:7" ht="18" x14ac:dyDescent="0.25">
      <c r="B32" s="7"/>
      <c r="C32" s="7"/>
      <c r="D32" s="7"/>
    </row>
    <row r="33" spans="2:4" ht="18" x14ac:dyDescent="0.25">
      <c r="B33" s="7"/>
      <c r="C33" s="7"/>
      <c r="D33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E7C0-F401-4D8A-BC21-ABD928ADCBC9}">
  <dimension ref="A1"/>
  <sheetViews>
    <sheetView workbookViewId="0">
      <selection sqref="A1:XFD1048576"/>
    </sheetView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H27" sqref="H27"/>
    </sheetView>
  </sheetViews>
  <sheetFormatPr defaultRowHeight="12.75" x14ac:dyDescent="0.2"/>
  <cols>
    <col min="1" max="1" width="7.85546875" customWidth="1"/>
    <col min="2" max="2" width="18.28515625" customWidth="1"/>
    <col min="3" max="3" width="18" customWidth="1"/>
    <col min="4" max="4" width="20.85546875" customWidth="1"/>
    <col min="5" max="5" width="8.7109375" customWidth="1"/>
    <col min="6" max="6" width="13.7109375" customWidth="1"/>
  </cols>
  <sheetData>
    <row r="1" spans="1:6" ht="30" x14ac:dyDescent="0.4">
      <c r="B1" s="1"/>
      <c r="C1" s="1"/>
      <c r="E1" t="s">
        <v>0</v>
      </c>
      <c r="F1" s="47">
        <v>4032601</v>
      </c>
    </row>
    <row r="2" spans="1:6" ht="30" x14ac:dyDescent="0.4">
      <c r="A2" s="5"/>
      <c r="B2" s="6" t="s">
        <v>1</v>
      </c>
      <c r="C2" s="6"/>
      <c r="D2" s="5"/>
      <c r="E2" s="5"/>
    </row>
    <row r="3" spans="1:6" ht="23.25" x14ac:dyDescent="0.35">
      <c r="A3" t="s">
        <v>2</v>
      </c>
      <c r="B3" s="3" t="s">
        <v>106</v>
      </c>
      <c r="C3" s="3"/>
      <c r="D3" s="3"/>
      <c r="E3" t="s">
        <v>3</v>
      </c>
      <c r="F3" s="18">
        <v>45377</v>
      </c>
    </row>
    <row r="4" spans="1:6" ht="15.75" x14ac:dyDescent="0.25">
      <c r="A4" t="s">
        <v>4</v>
      </c>
      <c r="C4" t="s">
        <v>20</v>
      </c>
      <c r="E4" t="s">
        <v>5</v>
      </c>
      <c r="F4" s="57">
        <v>45471</v>
      </c>
    </row>
    <row r="5" spans="1:6" x14ac:dyDescent="0.2">
      <c r="A5" t="s">
        <v>6</v>
      </c>
      <c r="C5" t="s">
        <v>21</v>
      </c>
      <c r="E5" t="s">
        <v>7</v>
      </c>
      <c r="F5" t="s">
        <v>61</v>
      </c>
    </row>
    <row r="6" spans="1:6" x14ac:dyDescent="0.2">
      <c r="A6" t="s">
        <v>8</v>
      </c>
      <c r="C6" s="11" t="s">
        <v>80</v>
      </c>
      <c r="E6" t="s">
        <v>9</v>
      </c>
      <c r="F6" s="2" t="s">
        <v>10</v>
      </c>
    </row>
    <row r="8" spans="1:6" ht="15.75" x14ac:dyDescent="0.25">
      <c r="A8" s="22" t="s">
        <v>95</v>
      </c>
      <c r="B8" s="2"/>
      <c r="C8" s="4" t="s">
        <v>115</v>
      </c>
      <c r="D8" s="4"/>
    </row>
    <row r="9" spans="1:6" ht="15" x14ac:dyDescent="0.2">
      <c r="A9" t="s">
        <v>11</v>
      </c>
      <c r="B9" s="2"/>
      <c r="C9" s="13" t="s">
        <v>120</v>
      </c>
      <c r="D9" s="13"/>
    </row>
    <row r="10" spans="1:6" ht="15.75" x14ac:dyDescent="0.25">
      <c r="A10" t="s">
        <v>12</v>
      </c>
      <c r="B10" s="2"/>
      <c r="C10" s="13" t="s">
        <v>117</v>
      </c>
      <c r="D10" s="13"/>
      <c r="E10" s="16"/>
      <c r="F10" s="16"/>
    </row>
    <row r="11" spans="1:6" x14ac:dyDescent="0.2">
      <c r="A11" t="s">
        <v>8</v>
      </c>
      <c r="C11" s="17" t="s">
        <v>94</v>
      </c>
      <c r="D11" s="10"/>
    </row>
    <row r="13" spans="1:6" ht="13.5" thickBot="1" x14ac:dyDescent="0.25"/>
    <row r="14" spans="1:6" ht="15.75" x14ac:dyDescent="0.25">
      <c r="A14" s="4" t="s">
        <v>96</v>
      </c>
      <c r="B14" s="2"/>
      <c r="C14" s="33" t="s">
        <v>97</v>
      </c>
      <c r="D14" s="40"/>
      <c r="E14" s="41"/>
    </row>
    <row r="15" spans="1:6" ht="15.75" x14ac:dyDescent="0.25">
      <c r="A15" t="s">
        <v>11</v>
      </c>
      <c r="B15" s="2"/>
      <c r="C15" s="35" t="s">
        <v>98</v>
      </c>
      <c r="D15" s="42"/>
      <c r="E15" s="43"/>
    </row>
    <row r="16" spans="1:6" ht="15.75" x14ac:dyDescent="0.25">
      <c r="A16" t="s">
        <v>12</v>
      </c>
      <c r="B16" s="2"/>
      <c r="C16" s="35" t="s">
        <v>99</v>
      </c>
      <c r="D16" s="42"/>
      <c r="E16" s="43"/>
    </row>
    <row r="17" spans="1:7" ht="13.5" thickBot="1" x14ac:dyDescent="0.25">
      <c r="A17" t="s">
        <v>8</v>
      </c>
      <c r="C17" s="44" t="s">
        <v>100</v>
      </c>
      <c r="D17" s="45"/>
      <c r="E17" s="46"/>
    </row>
    <row r="18" spans="1:7" s="8" customFormat="1" ht="25.5" customHeight="1" x14ac:dyDescent="0.2">
      <c r="A18" s="9" t="s">
        <v>13</v>
      </c>
      <c r="B18" s="9" t="s">
        <v>14</v>
      </c>
      <c r="C18" s="9"/>
      <c r="D18" s="9"/>
      <c r="E18" s="9" t="s">
        <v>15</v>
      </c>
      <c r="F18" s="9" t="s">
        <v>16</v>
      </c>
      <c r="G18" s="9"/>
    </row>
    <row r="20" spans="1:7" s="8" customFormat="1" ht="15.75" x14ac:dyDescent="0.25">
      <c r="A20" s="4"/>
      <c r="B20" s="2"/>
      <c r="E20" s="13"/>
      <c r="F20" s="13"/>
      <c r="G20" s="13"/>
    </row>
    <row r="21" spans="1:7" ht="15.75" x14ac:dyDescent="0.25">
      <c r="A21" s="4">
        <v>200</v>
      </c>
      <c r="B21" s="2" t="s">
        <v>118</v>
      </c>
      <c r="C21" s="8" t="s">
        <v>119</v>
      </c>
      <c r="E21" s="13">
        <v>156.52000000000001</v>
      </c>
      <c r="F21" s="13">
        <f>E21*A21</f>
        <v>31304.000000000004</v>
      </c>
    </row>
    <row r="22" spans="1:7" s="8" customFormat="1" ht="15.75" x14ac:dyDescent="0.25">
      <c r="A22" s="4"/>
      <c r="B22" s="2"/>
      <c r="C22" s="51" t="s">
        <v>125</v>
      </c>
      <c r="D22" s="14"/>
      <c r="E22" s="13"/>
      <c r="F22" s="13"/>
    </row>
    <row r="23" spans="1:7" ht="15.75" x14ac:dyDescent="0.25">
      <c r="A23" s="4"/>
      <c r="B23" s="2"/>
      <c r="C23" s="8"/>
      <c r="D23" s="14"/>
      <c r="E23" s="13"/>
      <c r="F23" s="13"/>
    </row>
    <row r="24" spans="1:7" s="2" customFormat="1" ht="15.75" x14ac:dyDescent="0.25">
      <c r="A24" s="4"/>
      <c r="C24" s="8"/>
      <c r="D24"/>
      <c r="E24" s="13"/>
      <c r="F24" s="13"/>
      <c r="G24" s="4"/>
    </row>
    <row r="25" spans="1:7" ht="15.75" x14ac:dyDescent="0.25">
      <c r="A25" s="4"/>
      <c r="B25" s="2"/>
      <c r="C25" s="2" t="s">
        <v>101</v>
      </c>
      <c r="D25" s="32"/>
      <c r="E25" s="13"/>
      <c r="F25" s="13"/>
    </row>
    <row r="26" spans="1:7" ht="15.75" x14ac:dyDescent="0.25">
      <c r="A26" s="4"/>
      <c r="B26" s="2"/>
      <c r="C26" s="2"/>
      <c r="D26" s="32"/>
      <c r="E26" s="13"/>
      <c r="F26" s="13"/>
    </row>
    <row r="27" spans="1:7" s="8" customFormat="1" ht="15.75" x14ac:dyDescent="0.25">
      <c r="A27" s="4"/>
      <c r="B27" s="4" t="s">
        <v>145</v>
      </c>
      <c r="D27" s="4"/>
      <c r="E27" s="13"/>
      <c r="F27" s="13"/>
    </row>
    <row r="28" spans="1:7" s="8" customFormat="1" ht="15.75" x14ac:dyDescent="0.25">
      <c r="A28" s="4"/>
      <c r="B28" s="2"/>
      <c r="C28" s="2"/>
      <c r="D28" s="2"/>
      <c r="E28" s="13"/>
      <c r="F28" s="13"/>
    </row>
    <row r="29" spans="1:7" ht="18" x14ac:dyDescent="0.25">
      <c r="A29" s="4"/>
      <c r="B29" s="2"/>
      <c r="C29" s="7" t="s">
        <v>45</v>
      </c>
      <c r="D29" s="32"/>
      <c r="E29" s="13"/>
      <c r="F29" s="13"/>
    </row>
    <row r="30" spans="1:7" s="10" customFormat="1" ht="15.75" x14ac:dyDescent="0.25">
      <c r="B30" s="10" t="s">
        <v>17</v>
      </c>
      <c r="D30" s="11" t="s">
        <v>18</v>
      </c>
      <c r="E30" s="10" t="s">
        <v>17</v>
      </c>
      <c r="F30" s="20">
        <f>SUM(F21:F29)</f>
        <v>31304.000000000004</v>
      </c>
      <c r="G30" s="15"/>
    </row>
    <row r="32" spans="1:7" ht="18" x14ac:dyDescent="0.25">
      <c r="B32" s="7"/>
      <c r="C32" s="7"/>
      <c r="D32" s="7"/>
    </row>
    <row r="33" spans="2:4" ht="18" x14ac:dyDescent="0.25">
      <c r="B33" s="7"/>
      <c r="C33" s="7"/>
      <c r="D33" s="7"/>
    </row>
  </sheetData>
  <phoneticPr fontId="14" type="noConversion"/>
  <pageMargins left="0.25" right="0.4" top="0.46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A22" sqref="A22:XFD23"/>
    </sheetView>
  </sheetViews>
  <sheetFormatPr defaultRowHeight="12.75" x14ac:dyDescent="0.2"/>
  <cols>
    <col min="1" max="1" width="7.85546875" customWidth="1"/>
    <col min="2" max="2" width="18.28515625" customWidth="1"/>
    <col min="3" max="3" width="18" customWidth="1"/>
    <col min="4" max="4" width="26.42578125" customWidth="1"/>
    <col min="5" max="5" width="8.7109375" customWidth="1"/>
    <col min="6" max="6" width="13.7109375" customWidth="1"/>
  </cols>
  <sheetData>
    <row r="1" spans="1:6" ht="30" x14ac:dyDescent="0.4">
      <c r="B1" s="1"/>
      <c r="C1" s="1"/>
      <c r="E1" t="s">
        <v>0</v>
      </c>
      <c r="F1" s="47">
        <v>3121401</v>
      </c>
    </row>
    <row r="2" spans="1:6" ht="30" x14ac:dyDescent="0.4">
      <c r="A2" s="5"/>
      <c r="B2" s="6" t="s">
        <v>1</v>
      </c>
      <c r="C2" s="6"/>
      <c r="D2" s="5"/>
      <c r="E2" s="5"/>
    </row>
    <row r="3" spans="1:6" ht="23.25" x14ac:dyDescent="0.35">
      <c r="A3" t="s">
        <v>2</v>
      </c>
      <c r="B3" s="3" t="s">
        <v>106</v>
      </c>
      <c r="C3" s="3"/>
      <c r="D3" s="3"/>
      <c r="E3" t="s">
        <v>3</v>
      </c>
      <c r="F3" s="53">
        <v>45274</v>
      </c>
    </row>
    <row r="4" spans="1:6" x14ac:dyDescent="0.2">
      <c r="A4" t="s">
        <v>4</v>
      </c>
      <c r="C4" t="s">
        <v>20</v>
      </c>
      <c r="E4" t="s">
        <v>5</v>
      </c>
      <c r="F4" s="54" t="s">
        <v>60</v>
      </c>
    </row>
    <row r="5" spans="1:6" x14ac:dyDescent="0.2">
      <c r="A5" t="s">
        <v>6</v>
      </c>
      <c r="C5" t="s">
        <v>21</v>
      </c>
      <c r="E5" t="s">
        <v>7</v>
      </c>
      <c r="F5" s="29" t="s">
        <v>61</v>
      </c>
    </row>
    <row r="6" spans="1:6" x14ac:dyDescent="0.2">
      <c r="A6" t="s">
        <v>8</v>
      </c>
      <c r="C6" s="11" t="s">
        <v>80</v>
      </c>
      <c r="E6" t="s">
        <v>9</v>
      </c>
      <c r="F6" s="26" t="s">
        <v>10</v>
      </c>
    </row>
    <row r="8" spans="1:6" ht="15.75" x14ac:dyDescent="0.25">
      <c r="A8" s="22" t="s">
        <v>95</v>
      </c>
      <c r="B8" s="2"/>
      <c r="C8" s="4" t="s">
        <v>115</v>
      </c>
      <c r="D8" s="4"/>
    </row>
    <row r="9" spans="1:6" ht="15" x14ac:dyDescent="0.2">
      <c r="A9" t="s">
        <v>11</v>
      </c>
      <c r="B9" s="2"/>
      <c r="C9" s="13" t="s">
        <v>120</v>
      </c>
      <c r="D9" s="13"/>
    </row>
    <row r="10" spans="1:6" ht="15.75" x14ac:dyDescent="0.25">
      <c r="A10" t="s">
        <v>12</v>
      </c>
      <c r="B10" s="2"/>
      <c r="C10" s="13" t="s">
        <v>117</v>
      </c>
      <c r="D10" s="13"/>
      <c r="E10" s="16"/>
      <c r="F10" s="16"/>
    </row>
    <row r="11" spans="1:6" x14ac:dyDescent="0.2">
      <c r="A11" t="s">
        <v>8</v>
      </c>
      <c r="C11" s="17" t="s">
        <v>94</v>
      </c>
      <c r="D11" s="10"/>
    </row>
    <row r="13" spans="1:6" ht="13.5" thickBot="1" x14ac:dyDescent="0.25"/>
    <row r="14" spans="1:6" ht="15.75" x14ac:dyDescent="0.25">
      <c r="A14" s="4" t="s">
        <v>96</v>
      </c>
      <c r="B14" s="2"/>
      <c r="C14" s="33" t="s">
        <v>136</v>
      </c>
      <c r="D14" s="40" t="s">
        <v>140</v>
      </c>
      <c r="E14" s="41"/>
    </row>
    <row r="15" spans="1:6" ht="15.75" x14ac:dyDescent="0.25">
      <c r="A15" s="4"/>
      <c r="B15" s="2"/>
      <c r="C15" s="35" t="s">
        <v>137</v>
      </c>
      <c r="D15" s="42"/>
      <c r="E15" s="43"/>
    </row>
    <row r="16" spans="1:6" ht="15.75" x14ac:dyDescent="0.25">
      <c r="A16" t="s">
        <v>11</v>
      </c>
      <c r="B16" s="2"/>
      <c r="C16" s="35" t="s">
        <v>138</v>
      </c>
      <c r="D16" s="42"/>
      <c r="E16" s="43"/>
    </row>
    <row r="17" spans="1:7" ht="15.75" x14ac:dyDescent="0.25">
      <c r="A17" t="s">
        <v>12</v>
      </c>
      <c r="B17" s="2"/>
      <c r="C17" s="35" t="s">
        <v>139</v>
      </c>
      <c r="D17" s="42"/>
      <c r="E17" s="43"/>
    </row>
    <row r="18" spans="1:7" ht="13.5" thickBot="1" x14ac:dyDescent="0.25">
      <c r="A18" t="s">
        <v>8</v>
      </c>
      <c r="C18" s="44" t="s">
        <v>100</v>
      </c>
      <c r="D18" s="45"/>
      <c r="E18" s="46"/>
    </row>
    <row r="19" spans="1:7" s="8" customFormat="1" ht="25.5" customHeight="1" x14ac:dyDescent="0.2">
      <c r="A19" s="9" t="s">
        <v>13</v>
      </c>
      <c r="B19" s="9" t="s">
        <v>14</v>
      </c>
      <c r="C19" s="9"/>
      <c r="D19" s="9"/>
      <c r="E19" s="9" t="s">
        <v>15</v>
      </c>
      <c r="F19" s="9" t="s">
        <v>16</v>
      </c>
      <c r="G19" s="9"/>
    </row>
    <row r="21" spans="1:7" s="8" customFormat="1" ht="15.75" x14ac:dyDescent="0.25">
      <c r="A21" s="4"/>
      <c r="B21" s="2"/>
      <c r="E21" s="13"/>
      <c r="F21" s="13"/>
      <c r="G21" s="13"/>
    </row>
    <row r="22" spans="1:7" ht="15.75" x14ac:dyDescent="0.25">
      <c r="A22" s="4">
        <v>170</v>
      </c>
      <c r="B22" s="2" t="s">
        <v>118</v>
      </c>
      <c r="C22" s="8" t="s">
        <v>119</v>
      </c>
      <c r="E22" s="13">
        <v>156.52000000000001</v>
      </c>
      <c r="F22" s="13">
        <f>E22*A22</f>
        <v>26608.400000000001</v>
      </c>
    </row>
    <row r="23" spans="1:7" s="8" customFormat="1" ht="15.75" x14ac:dyDescent="0.25">
      <c r="A23" s="4"/>
      <c r="B23" s="2"/>
      <c r="C23" s="51" t="s">
        <v>125</v>
      </c>
      <c r="D23" s="14"/>
      <c r="E23" s="13"/>
      <c r="F23" s="13"/>
    </row>
    <row r="24" spans="1:7" ht="15.75" x14ac:dyDescent="0.25">
      <c r="A24" s="4"/>
      <c r="B24" s="2"/>
      <c r="C24" s="4"/>
      <c r="D24" s="14"/>
      <c r="E24" s="13"/>
      <c r="F24" s="13"/>
    </row>
    <row r="25" spans="1:7" s="2" customFormat="1" ht="15.75" x14ac:dyDescent="0.25">
      <c r="A25" s="4"/>
      <c r="C25" s="8"/>
      <c r="D25"/>
      <c r="E25" s="13"/>
      <c r="F25" s="13"/>
      <c r="G25" s="4"/>
    </row>
    <row r="26" spans="1:7" ht="15.75" x14ac:dyDescent="0.25">
      <c r="A26" s="4"/>
      <c r="B26" s="2"/>
      <c r="C26" s="2" t="s">
        <v>101</v>
      </c>
      <c r="D26" s="32"/>
      <c r="E26" s="13"/>
      <c r="F26" s="13"/>
    </row>
    <row r="27" spans="1:7" ht="15.75" x14ac:dyDescent="0.25">
      <c r="A27" s="4"/>
      <c r="B27" s="2"/>
      <c r="C27" s="2"/>
      <c r="D27" s="32"/>
      <c r="E27" s="13"/>
      <c r="F27" s="13"/>
    </row>
    <row r="28" spans="1:7" s="8" customFormat="1" ht="15.75" x14ac:dyDescent="0.25">
      <c r="A28" s="4"/>
      <c r="B28" s="2"/>
      <c r="C28" s="2"/>
      <c r="D28" s="2"/>
      <c r="E28" s="13"/>
      <c r="F28" s="13"/>
    </row>
    <row r="29" spans="1:7" s="8" customFormat="1" ht="15.75" x14ac:dyDescent="0.25">
      <c r="A29" s="4"/>
      <c r="B29" s="2"/>
      <c r="C29" s="2"/>
      <c r="D29" s="2"/>
      <c r="E29" s="13"/>
      <c r="F29" s="13"/>
    </row>
    <row r="30" spans="1:7" ht="18" x14ac:dyDescent="0.25">
      <c r="A30" s="4"/>
      <c r="B30" s="2"/>
      <c r="C30" s="7" t="s">
        <v>45</v>
      </c>
      <c r="D30" s="32"/>
      <c r="E30" s="13"/>
      <c r="F30" s="13"/>
    </row>
    <row r="31" spans="1:7" s="10" customFormat="1" ht="15.75" x14ac:dyDescent="0.25">
      <c r="B31" s="10" t="s">
        <v>17</v>
      </c>
      <c r="D31" s="11" t="s">
        <v>18</v>
      </c>
      <c r="E31" s="10" t="s">
        <v>17</v>
      </c>
      <c r="F31" s="20">
        <f>SUM(F22:F30)</f>
        <v>26608.400000000001</v>
      </c>
      <c r="G31" s="15"/>
    </row>
    <row r="33" spans="2:4" ht="18" x14ac:dyDescent="0.25">
      <c r="B33" s="7"/>
      <c r="C33" s="7"/>
      <c r="D33" s="7"/>
    </row>
    <row r="34" spans="2:4" ht="18" x14ac:dyDescent="0.25">
      <c r="B34" s="7"/>
      <c r="C34" s="7"/>
      <c r="D34" s="7"/>
    </row>
  </sheetData>
  <phoneticPr fontId="14" type="noConversion"/>
  <pageMargins left="0.41" right="0.75" top="0.7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6"/>
  <sheetViews>
    <sheetView topLeftCell="A88" workbookViewId="0">
      <selection activeCell="A104" sqref="A104:XFD104"/>
    </sheetView>
  </sheetViews>
  <sheetFormatPr defaultRowHeight="12.75" x14ac:dyDescent="0.2"/>
  <cols>
    <col min="1" max="1" width="6.85546875" customWidth="1"/>
    <col min="2" max="2" width="25" customWidth="1"/>
    <col min="3" max="3" width="17" customWidth="1"/>
    <col min="4" max="4" width="24.7109375" customWidth="1"/>
    <col min="5" max="5" width="8.7109375" style="11" customWidth="1"/>
    <col min="6" max="6" width="9.7109375" style="11" customWidth="1"/>
  </cols>
  <sheetData>
    <row r="1" spans="1:6" ht="30" x14ac:dyDescent="0.4">
      <c r="B1" s="1"/>
      <c r="C1" s="1"/>
    </row>
    <row r="2" spans="1:6" ht="30" x14ac:dyDescent="0.4">
      <c r="A2" s="5"/>
      <c r="B2" s="6"/>
      <c r="C2" s="6"/>
      <c r="D2" s="5"/>
      <c r="E2" s="23"/>
    </row>
    <row r="3" spans="1:6" ht="23.25" x14ac:dyDescent="0.35">
      <c r="B3" s="3"/>
      <c r="C3" s="3"/>
      <c r="D3" s="3"/>
      <c r="F3" s="24"/>
    </row>
    <row r="4" spans="1:6" x14ac:dyDescent="0.2">
      <c r="F4" s="24"/>
    </row>
    <row r="6" spans="1:6" x14ac:dyDescent="0.2">
      <c r="C6" s="11"/>
    </row>
    <row r="8" spans="1:6" ht="15" x14ac:dyDescent="0.2">
      <c r="B8" s="2"/>
      <c r="C8" s="13"/>
      <c r="D8" s="13"/>
    </row>
    <row r="9" spans="1:6" ht="15" x14ac:dyDescent="0.2">
      <c r="B9" s="2"/>
      <c r="C9" s="13"/>
      <c r="D9" s="13"/>
    </row>
    <row r="10" spans="1:6" ht="15" x14ac:dyDescent="0.2">
      <c r="B10" s="2"/>
      <c r="C10" s="13"/>
      <c r="D10" s="13"/>
    </row>
    <row r="11" spans="1:6" x14ac:dyDescent="0.2">
      <c r="C11" s="10"/>
      <c r="D11" s="10"/>
    </row>
    <row r="12" spans="1:6" x14ac:dyDescent="0.2">
      <c r="C12" s="10"/>
      <c r="D12" s="10"/>
    </row>
    <row r="13" spans="1:6" ht="15.75" x14ac:dyDescent="0.25">
      <c r="B13" s="2" t="s">
        <v>64</v>
      </c>
      <c r="C13" s="4" t="s">
        <v>65</v>
      </c>
      <c r="D13" s="4"/>
      <c r="E13" s="11">
        <v>99</v>
      </c>
    </row>
    <row r="14" spans="1:6" ht="15.75" x14ac:dyDescent="0.25">
      <c r="B14" s="2"/>
      <c r="C14" s="4"/>
      <c r="D14" s="4"/>
    </row>
    <row r="15" spans="1:6" ht="15.75" x14ac:dyDescent="0.25">
      <c r="B15" s="2" t="s">
        <v>66</v>
      </c>
      <c r="C15" s="4" t="s">
        <v>67</v>
      </c>
      <c r="D15" s="4"/>
      <c r="E15" s="11">
        <v>76</v>
      </c>
    </row>
    <row r="16" spans="1:6" ht="15.75" x14ac:dyDescent="0.25">
      <c r="C16" s="4"/>
    </row>
    <row r="17" spans="1:7" s="8" customFormat="1" ht="25.5" customHeight="1" x14ac:dyDescent="0.2">
      <c r="A17" s="9"/>
      <c r="B17" s="9"/>
      <c r="C17" s="9"/>
      <c r="D17" s="9"/>
      <c r="E17" s="25"/>
      <c r="F17" s="25"/>
      <c r="G17" s="9"/>
    </row>
    <row r="19" spans="1:7" s="8" customFormat="1" x14ac:dyDescent="0.2">
      <c r="B19" s="11" t="s">
        <v>22</v>
      </c>
      <c r="C19" s="8" t="s">
        <v>23</v>
      </c>
      <c r="D19" s="8" t="s">
        <v>24</v>
      </c>
      <c r="E19" s="11">
        <v>37.799999999999997</v>
      </c>
      <c r="F19" s="11">
        <f>E19*A19</f>
        <v>0</v>
      </c>
    </row>
    <row r="20" spans="1:7" s="8" customFormat="1" x14ac:dyDescent="0.2">
      <c r="B20" s="11" t="s">
        <v>25</v>
      </c>
      <c r="C20" s="8" t="s">
        <v>27</v>
      </c>
      <c r="D20" s="8" t="s">
        <v>28</v>
      </c>
      <c r="E20" s="11">
        <v>1.7</v>
      </c>
      <c r="F20" s="11">
        <f t="shared" ref="F20:F27" si="0">E20*A20</f>
        <v>0</v>
      </c>
    </row>
    <row r="21" spans="1:7" s="8" customFormat="1" x14ac:dyDescent="0.2">
      <c r="B21" s="11" t="s">
        <v>26</v>
      </c>
      <c r="C21" s="8" t="s">
        <v>27</v>
      </c>
      <c r="D21" s="8" t="s">
        <v>29</v>
      </c>
      <c r="E21" s="11">
        <v>1.7</v>
      </c>
      <c r="F21" s="11">
        <f t="shared" si="0"/>
        <v>0</v>
      </c>
    </row>
    <row r="22" spans="1:7" s="8" customFormat="1" x14ac:dyDescent="0.2">
      <c r="B22" s="11"/>
      <c r="E22" s="11"/>
      <c r="F22" s="11">
        <f t="shared" si="0"/>
        <v>0</v>
      </c>
    </row>
    <row r="23" spans="1:7" s="8" customFormat="1" ht="15.75" customHeight="1" x14ac:dyDescent="0.2">
      <c r="B23" s="11"/>
      <c r="E23" s="11"/>
      <c r="F23" s="11">
        <f t="shared" si="0"/>
        <v>0</v>
      </c>
    </row>
    <row r="24" spans="1:7" s="8" customFormat="1" x14ac:dyDescent="0.2">
      <c r="B24" s="11" t="s">
        <v>30</v>
      </c>
      <c r="C24" s="8" t="s">
        <v>31</v>
      </c>
      <c r="D24" s="8" t="s">
        <v>32</v>
      </c>
      <c r="E24" s="11">
        <v>104</v>
      </c>
      <c r="F24" s="11">
        <f t="shared" si="0"/>
        <v>0</v>
      </c>
    </row>
    <row r="25" spans="1:7" s="8" customFormat="1" x14ac:dyDescent="0.2">
      <c r="B25" s="11" t="s">
        <v>33</v>
      </c>
      <c r="C25" s="8" t="s">
        <v>34</v>
      </c>
      <c r="E25" s="11">
        <v>24</v>
      </c>
      <c r="F25" s="11">
        <f t="shared" si="0"/>
        <v>0</v>
      </c>
    </row>
    <row r="26" spans="1:7" s="8" customFormat="1" x14ac:dyDescent="0.2">
      <c r="B26" s="11" t="s">
        <v>35</v>
      </c>
      <c r="C26" s="8" t="s">
        <v>36</v>
      </c>
      <c r="E26" s="11">
        <v>27</v>
      </c>
      <c r="F26" s="11">
        <f t="shared" si="0"/>
        <v>0</v>
      </c>
    </row>
    <row r="27" spans="1:7" s="8" customFormat="1" x14ac:dyDescent="0.2">
      <c r="B27" s="11"/>
      <c r="E27" s="11"/>
      <c r="F27" s="11">
        <f t="shared" si="0"/>
        <v>0</v>
      </c>
    </row>
    <row r="28" spans="1:7" s="8" customFormat="1" x14ac:dyDescent="0.2">
      <c r="A28" s="8">
        <v>2</v>
      </c>
      <c r="B28" s="11" t="s">
        <v>30</v>
      </c>
      <c r="C28" s="8" t="s">
        <v>31</v>
      </c>
      <c r="D28" s="8" t="s">
        <v>32</v>
      </c>
      <c r="E28" s="11">
        <v>104</v>
      </c>
      <c r="F28" s="11">
        <f>E28*A28</f>
        <v>208</v>
      </c>
    </row>
    <row r="29" spans="1:7" s="8" customFormat="1" x14ac:dyDescent="0.2">
      <c r="A29" s="8">
        <v>6</v>
      </c>
      <c r="B29" s="11" t="s">
        <v>37</v>
      </c>
      <c r="C29" s="8" t="s">
        <v>38</v>
      </c>
      <c r="E29" s="11">
        <v>116</v>
      </c>
      <c r="F29" s="11">
        <f>E29*A29</f>
        <v>696</v>
      </c>
    </row>
    <row r="30" spans="1:7" s="8" customFormat="1" x14ac:dyDescent="0.2">
      <c r="A30" s="8">
        <v>6</v>
      </c>
      <c r="B30" s="11" t="s">
        <v>37</v>
      </c>
      <c r="C30" s="8" t="s">
        <v>39</v>
      </c>
      <c r="E30" s="11">
        <v>116</v>
      </c>
      <c r="F30" s="11">
        <f>E30*A30</f>
        <v>696</v>
      </c>
    </row>
    <row r="31" spans="1:7" s="17" customFormat="1" x14ac:dyDescent="0.2">
      <c r="C31" s="8" t="s">
        <v>39</v>
      </c>
      <c r="D31" s="8"/>
      <c r="E31" s="11">
        <v>90</v>
      </c>
      <c r="F31" s="12"/>
    </row>
    <row r="32" spans="1:7" x14ac:dyDescent="0.2">
      <c r="D32" s="2"/>
    </row>
    <row r="33" spans="1:6" s="2" customFormat="1" x14ac:dyDescent="0.2">
      <c r="B33" s="2" t="s">
        <v>40</v>
      </c>
      <c r="C33" s="8" t="s">
        <v>41</v>
      </c>
      <c r="D33"/>
      <c r="E33" s="11">
        <v>90</v>
      </c>
      <c r="F33" s="11">
        <f>E33*A33</f>
        <v>0</v>
      </c>
    </row>
    <row r="34" spans="1:6" x14ac:dyDescent="0.2">
      <c r="B34" s="2" t="s">
        <v>42</v>
      </c>
      <c r="C34" s="8" t="s">
        <v>43</v>
      </c>
      <c r="D34" s="14"/>
      <c r="E34" s="11">
        <v>0</v>
      </c>
      <c r="F34" s="11">
        <f>E34*A34</f>
        <v>0</v>
      </c>
    </row>
    <row r="37" spans="1:6" x14ac:dyDescent="0.2">
      <c r="B37" s="2"/>
      <c r="C37" s="8" t="s">
        <v>44</v>
      </c>
      <c r="D37" s="14"/>
      <c r="E37" s="11">
        <v>0</v>
      </c>
      <c r="F37" s="11">
        <f>E37*A37</f>
        <v>0</v>
      </c>
    </row>
    <row r="38" spans="1:6" ht="19.5" customHeight="1" x14ac:dyDescent="0.2"/>
    <row r="39" spans="1:6" s="2" customFormat="1" x14ac:dyDescent="0.2">
      <c r="C39" s="8"/>
      <c r="D39"/>
      <c r="E39" s="11"/>
      <c r="F39" s="11"/>
    </row>
    <row r="40" spans="1:6" x14ac:dyDescent="0.2">
      <c r="B40" s="2" t="s">
        <v>42</v>
      </c>
      <c r="C40" s="8" t="s">
        <v>43</v>
      </c>
      <c r="D40" s="14"/>
      <c r="E40" s="11">
        <v>0</v>
      </c>
      <c r="F40" s="11">
        <f>E40*A40</f>
        <v>0</v>
      </c>
    </row>
    <row r="42" spans="1:6" s="8" customFormat="1" x14ac:dyDescent="0.2">
      <c r="A42" s="8">
        <v>2</v>
      </c>
      <c r="B42" s="11" t="s">
        <v>30</v>
      </c>
      <c r="C42" s="8" t="s">
        <v>31</v>
      </c>
      <c r="D42" s="8" t="s">
        <v>46</v>
      </c>
      <c r="E42" s="11">
        <v>104</v>
      </c>
      <c r="F42" s="11">
        <f>E42*A42</f>
        <v>208</v>
      </c>
    </row>
    <row r="43" spans="1:6" x14ac:dyDescent="0.2">
      <c r="B43" s="2"/>
      <c r="C43" s="8"/>
      <c r="D43" s="19" t="s">
        <v>47</v>
      </c>
    </row>
    <row r="44" spans="1:6" x14ac:dyDescent="0.2">
      <c r="A44">
        <v>2</v>
      </c>
      <c r="B44" s="2" t="s">
        <v>48</v>
      </c>
      <c r="C44" s="8" t="s">
        <v>49</v>
      </c>
      <c r="D44" s="14"/>
      <c r="E44" s="11">
        <v>6</v>
      </c>
      <c r="F44" s="11">
        <f>E44*A44</f>
        <v>12</v>
      </c>
    </row>
    <row r="45" spans="1:6" s="2" customFormat="1" x14ac:dyDescent="0.2">
      <c r="A45" s="2">
        <v>1</v>
      </c>
      <c r="B45" s="2" t="s">
        <v>50</v>
      </c>
      <c r="C45" s="8" t="s">
        <v>51</v>
      </c>
      <c r="D45"/>
      <c r="E45" s="11">
        <v>345</v>
      </c>
      <c r="F45" s="11">
        <f>E45*A45</f>
        <v>345</v>
      </c>
    </row>
    <row r="46" spans="1:6" x14ac:dyDescent="0.2">
      <c r="A46">
        <v>1</v>
      </c>
      <c r="B46" s="2" t="s">
        <v>52</v>
      </c>
      <c r="C46" s="8" t="s">
        <v>53</v>
      </c>
      <c r="D46" s="14"/>
      <c r="E46" s="11">
        <v>13</v>
      </c>
      <c r="F46" s="11">
        <f>E46*A46</f>
        <v>13</v>
      </c>
    </row>
    <row r="48" spans="1:6" x14ac:dyDescent="0.2">
      <c r="A48">
        <v>2</v>
      </c>
      <c r="B48" s="2" t="s">
        <v>54</v>
      </c>
      <c r="C48" t="s">
        <v>55</v>
      </c>
      <c r="E48" s="11">
        <v>134</v>
      </c>
      <c r="F48" s="11">
        <f>E48*A48</f>
        <v>268</v>
      </c>
    </row>
    <row r="49" spans="1:7" x14ac:dyDescent="0.2">
      <c r="A49">
        <v>2</v>
      </c>
      <c r="B49" s="2" t="s">
        <v>56</v>
      </c>
      <c r="C49" s="8" t="s">
        <v>57</v>
      </c>
      <c r="D49" s="14"/>
      <c r="E49" s="11">
        <v>4</v>
      </c>
      <c r="F49" s="11">
        <f>E49*A49</f>
        <v>8</v>
      </c>
    </row>
    <row r="51" spans="1:7" x14ac:dyDescent="0.2">
      <c r="C51" t="s">
        <v>59</v>
      </c>
      <c r="E51" s="11">
        <v>199</v>
      </c>
    </row>
    <row r="52" spans="1:7" x14ac:dyDescent="0.2">
      <c r="C52" t="s">
        <v>58</v>
      </c>
      <c r="E52" s="11">
        <v>219</v>
      </c>
    </row>
    <row r="54" spans="1:7" s="7" customFormat="1" ht="18" x14ac:dyDescent="0.25">
      <c r="A54" s="16">
        <v>30</v>
      </c>
      <c r="B54" s="21" t="s">
        <v>62</v>
      </c>
      <c r="C54" s="8" t="s">
        <v>63</v>
      </c>
      <c r="D54" s="8"/>
      <c r="E54" s="11">
        <v>1</v>
      </c>
      <c r="F54" s="11">
        <f>E54*A54</f>
        <v>30</v>
      </c>
    </row>
    <row r="56" spans="1:7" s="2" customFormat="1" x14ac:dyDescent="0.2">
      <c r="A56" s="2">
        <v>8</v>
      </c>
      <c r="B56" s="2" t="s">
        <v>40</v>
      </c>
      <c r="C56" s="8" t="s">
        <v>41</v>
      </c>
      <c r="D56"/>
      <c r="E56" s="11">
        <v>99</v>
      </c>
      <c r="F56" s="11">
        <f>E56*A56</f>
        <v>792</v>
      </c>
    </row>
    <row r="57" spans="1:7" x14ac:dyDescent="0.2">
      <c r="B57" s="2"/>
      <c r="C57" s="8"/>
      <c r="D57" s="14"/>
    </row>
    <row r="58" spans="1:7" x14ac:dyDescent="0.2">
      <c r="A58">
        <v>8</v>
      </c>
      <c r="B58" s="2" t="s">
        <v>42</v>
      </c>
      <c r="C58" s="8" t="s">
        <v>91</v>
      </c>
      <c r="D58" s="14"/>
      <c r="E58" s="11">
        <v>4</v>
      </c>
      <c r="F58" s="11">
        <f>E58*A58</f>
        <v>32</v>
      </c>
    </row>
    <row r="60" spans="1:7" x14ac:dyDescent="0.2">
      <c r="A60">
        <v>5</v>
      </c>
      <c r="B60" t="s">
        <v>68</v>
      </c>
      <c r="C60" t="s">
        <v>69</v>
      </c>
      <c r="E60" s="11">
        <v>999</v>
      </c>
      <c r="F60" s="11">
        <f>E60*A60</f>
        <v>4995</v>
      </c>
    </row>
    <row r="61" spans="1:7" x14ac:dyDescent="0.2">
      <c r="C61" s="8" t="s">
        <v>70</v>
      </c>
    </row>
    <row r="62" spans="1:7" s="2" customFormat="1" x14ac:dyDescent="0.2">
      <c r="C62" s="11" t="s">
        <v>71</v>
      </c>
      <c r="D62"/>
      <c r="F62" s="8"/>
    </row>
    <row r="63" spans="1:7" s="10" customFormat="1" ht="15" x14ac:dyDescent="0.25">
      <c r="B63" s="22"/>
      <c r="C63" s="11" t="s">
        <v>72</v>
      </c>
      <c r="D63" s="11"/>
      <c r="F63" s="12"/>
      <c r="G63" s="15"/>
    </row>
    <row r="65" spans="1:6" x14ac:dyDescent="0.2">
      <c r="B65" s="17" t="s">
        <v>75</v>
      </c>
      <c r="C65" s="17" t="s">
        <v>76</v>
      </c>
      <c r="E65" s="11">
        <v>139</v>
      </c>
      <c r="F65" s="11">
        <f>E65*A65</f>
        <v>0</v>
      </c>
    </row>
    <row r="67" spans="1:6" x14ac:dyDescent="0.2">
      <c r="A67" s="11">
        <v>5</v>
      </c>
      <c r="B67" s="11" t="s">
        <v>68</v>
      </c>
      <c r="C67" t="s">
        <v>69</v>
      </c>
      <c r="E67" s="11">
        <v>999</v>
      </c>
      <c r="F67" s="11">
        <f>E67*A67</f>
        <v>4995</v>
      </c>
    </row>
    <row r="68" spans="1:6" x14ac:dyDescent="0.2">
      <c r="C68" s="8" t="s">
        <v>70</v>
      </c>
    </row>
    <row r="69" spans="1:6" s="11" customFormat="1" x14ac:dyDescent="0.2">
      <c r="A69" s="11">
        <v>2</v>
      </c>
      <c r="B69" s="11" t="s">
        <v>73</v>
      </c>
      <c r="C69" s="11" t="s">
        <v>74</v>
      </c>
      <c r="E69" s="11">
        <v>109</v>
      </c>
      <c r="F69" s="11">
        <f>E69*A69</f>
        <v>218</v>
      </c>
    </row>
    <row r="72" spans="1:6" x14ac:dyDescent="0.2">
      <c r="A72">
        <v>2</v>
      </c>
      <c r="B72" s="17" t="s">
        <v>66</v>
      </c>
      <c r="C72" s="17" t="s">
        <v>77</v>
      </c>
      <c r="E72" s="11">
        <v>76</v>
      </c>
      <c r="F72" s="11">
        <f>E72*A72</f>
        <v>152</v>
      </c>
    </row>
    <row r="73" spans="1:6" x14ac:dyDescent="0.2">
      <c r="A73">
        <v>2</v>
      </c>
      <c r="B73" s="17" t="s">
        <v>78</v>
      </c>
      <c r="C73" s="17" t="s">
        <v>79</v>
      </c>
      <c r="E73" s="11">
        <v>4</v>
      </c>
      <c r="F73" s="11">
        <f>E73*A73</f>
        <v>8</v>
      </c>
    </row>
    <row r="76" spans="1:6" s="2" customFormat="1" x14ac:dyDescent="0.2">
      <c r="A76" s="11">
        <v>6</v>
      </c>
      <c r="B76" s="26" t="s">
        <v>40</v>
      </c>
      <c r="C76" s="8" t="s">
        <v>41</v>
      </c>
      <c r="D76"/>
      <c r="E76" s="11">
        <v>109</v>
      </c>
      <c r="F76" s="11">
        <f>E76*A76</f>
        <v>654</v>
      </c>
    </row>
    <row r="77" spans="1:6" x14ac:dyDescent="0.2">
      <c r="A77" s="11">
        <v>10</v>
      </c>
      <c r="B77" s="26" t="s">
        <v>42</v>
      </c>
      <c r="C77" s="8" t="s">
        <v>43</v>
      </c>
      <c r="D77" s="14"/>
      <c r="E77" s="11">
        <v>4</v>
      </c>
      <c r="F77" s="11">
        <f>E77*A77</f>
        <v>40</v>
      </c>
    </row>
    <row r="78" spans="1:6" s="2" customFormat="1" x14ac:dyDescent="0.2">
      <c r="A78" s="11"/>
      <c r="B78" s="26"/>
      <c r="C78" s="11"/>
      <c r="D78"/>
      <c r="F78" s="8"/>
    </row>
    <row r="79" spans="1:6" s="8" customFormat="1" x14ac:dyDescent="0.2">
      <c r="A79" s="11">
        <v>8</v>
      </c>
      <c r="B79" s="11" t="s">
        <v>35</v>
      </c>
      <c r="C79" s="8" t="s">
        <v>36</v>
      </c>
      <c r="E79" s="11">
        <v>29</v>
      </c>
      <c r="F79" s="11">
        <f>E79*A79</f>
        <v>232</v>
      </c>
    </row>
    <row r="81" spans="1:6" x14ac:dyDescent="0.2">
      <c r="A81" s="11">
        <v>4</v>
      </c>
      <c r="B81" s="28" t="s">
        <v>81</v>
      </c>
      <c r="C81" s="8" t="s">
        <v>82</v>
      </c>
      <c r="E81" s="11">
        <v>115</v>
      </c>
      <c r="F81" s="11">
        <f>E81*A81</f>
        <v>460</v>
      </c>
    </row>
    <row r="84" spans="1:6" x14ac:dyDescent="0.2">
      <c r="A84">
        <v>2</v>
      </c>
      <c r="B84" t="s">
        <v>87</v>
      </c>
      <c r="C84" t="s">
        <v>88</v>
      </c>
      <c r="E84" s="11">
        <v>273.32</v>
      </c>
      <c r="F84" s="11">
        <f>E84*A84</f>
        <v>546.64</v>
      </c>
    </row>
    <row r="85" spans="1:6" x14ac:dyDescent="0.2">
      <c r="A85">
        <v>2</v>
      </c>
      <c r="B85" t="s">
        <v>83</v>
      </c>
      <c r="C85" t="s">
        <v>84</v>
      </c>
      <c r="E85" s="11">
        <v>212.76</v>
      </c>
      <c r="F85" s="11">
        <f>E85*A85</f>
        <v>425.52</v>
      </c>
    </row>
    <row r="86" spans="1:6" x14ac:dyDescent="0.2">
      <c r="A86">
        <v>2</v>
      </c>
      <c r="B86" t="s">
        <v>85</v>
      </c>
      <c r="C86" t="s">
        <v>86</v>
      </c>
      <c r="E86" s="30">
        <v>228</v>
      </c>
      <c r="F86" s="11">
        <f>E86*A86</f>
        <v>456</v>
      </c>
    </row>
    <row r="87" spans="1:6" x14ac:dyDescent="0.2">
      <c r="F87" s="11">
        <f>E87*A87</f>
        <v>0</v>
      </c>
    </row>
    <row r="88" spans="1:6" x14ac:dyDescent="0.2">
      <c r="B88" s="29">
        <v>39669832</v>
      </c>
      <c r="C88" s="17" t="s">
        <v>89</v>
      </c>
      <c r="D88" s="17" t="s">
        <v>90</v>
      </c>
      <c r="E88" s="11">
        <v>234.35</v>
      </c>
      <c r="F88" s="11">
        <f>E88*A88</f>
        <v>0</v>
      </c>
    </row>
    <row r="90" spans="1:6" x14ac:dyDescent="0.2">
      <c r="A90" s="17">
        <v>2</v>
      </c>
      <c r="B90" s="27" t="s">
        <v>83</v>
      </c>
      <c r="C90" s="17" t="s">
        <v>84</v>
      </c>
      <c r="D90" s="17"/>
      <c r="E90" s="11">
        <v>212.76</v>
      </c>
      <c r="F90" s="11">
        <f>E90*A90</f>
        <v>425.52</v>
      </c>
    </row>
    <row r="91" spans="1:6" s="2" customFormat="1" x14ac:dyDescent="0.2">
      <c r="A91" s="17"/>
      <c r="B91" s="27"/>
      <c r="C91" s="8"/>
      <c r="D91" s="17"/>
      <c r="E91" s="11"/>
      <c r="F91" s="11"/>
    </row>
    <row r="92" spans="1:6" s="2" customFormat="1" x14ac:dyDescent="0.2">
      <c r="A92" s="17"/>
      <c r="B92" s="27"/>
      <c r="C92" s="8"/>
      <c r="D92" s="17"/>
      <c r="E92" s="11"/>
      <c r="F92" s="11"/>
    </row>
    <row r="93" spans="1:6" s="2" customFormat="1" x14ac:dyDescent="0.2">
      <c r="A93" s="17"/>
      <c r="B93" s="27"/>
      <c r="C93" s="8"/>
      <c r="D93" s="17"/>
      <c r="E93" s="11"/>
      <c r="F93" s="11"/>
    </row>
    <row r="94" spans="1:6" x14ac:dyDescent="0.2">
      <c r="A94" s="17">
        <v>4</v>
      </c>
      <c r="B94" s="27" t="s">
        <v>92</v>
      </c>
      <c r="C94" s="8" t="s">
        <v>93</v>
      </c>
      <c r="D94" s="31"/>
      <c r="E94" s="11">
        <v>2</v>
      </c>
      <c r="F94" s="11">
        <f>E94*A94</f>
        <v>8</v>
      </c>
    </row>
    <row r="95" spans="1:6" s="7" customFormat="1" ht="18" x14ac:dyDescent="0.25">
      <c r="A95" s="13">
        <v>30</v>
      </c>
      <c r="B95" s="27" t="s">
        <v>62</v>
      </c>
      <c r="C95" s="8" t="s">
        <v>63</v>
      </c>
      <c r="D95" s="8"/>
      <c r="E95" s="11">
        <v>2</v>
      </c>
      <c r="F95" s="11">
        <f>E95*A95</f>
        <v>60</v>
      </c>
    </row>
    <row r="97" spans="1:6" ht="15.75" x14ac:dyDescent="0.25">
      <c r="A97" s="4">
        <v>228</v>
      </c>
      <c r="B97" s="2" t="s">
        <v>108</v>
      </c>
      <c r="C97" s="8" t="s">
        <v>109</v>
      </c>
      <c r="E97" s="13">
        <v>2</v>
      </c>
      <c r="F97" s="13">
        <f>E97*A97</f>
        <v>456</v>
      </c>
    </row>
    <row r="99" spans="1:6" ht="15.75" x14ac:dyDescent="0.25">
      <c r="A99" s="4">
        <v>70</v>
      </c>
      <c r="B99" s="26" t="s">
        <v>111</v>
      </c>
      <c r="C99" s="8" t="s">
        <v>110</v>
      </c>
      <c r="E99" s="13">
        <v>26</v>
      </c>
      <c r="F99" s="13">
        <f>E99*A99</f>
        <v>1820</v>
      </c>
    </row>
    <row r="101" spans="1:6" ht="17.25" x14ac:dyDescent="0.3">
      <c r="A101" s="4">
        <v>10</v>
      </c>
      <c r="B101" s="39" t="s">
        <v>113</v>
      </c>
      <c r="C101" s="17" t="s">
        <v>114</v>
      </c>
      <c r="E101" s="11">
        <v>140</v>
      </c>
      <c r="F101" s="13">
        <f>E101*A101</f>
        <v>1400</v>
      </c>
    </row>
    <row r="103" spans="1:6" ht="15.75" x14ac:dyDescent="0.25">
      <c r="A103" s="4">
        <v>300</v>
      </c>
      <c r="B103" s="2" t="s">
        <v>108</v>
      </c>
      <c r="C103" s="8" t="s">
        <v>109</v>
      </c>
      <c r="E103" s="13">
        <v>2</v>
      </c>
      <c r="F103" s="13">
        <f>E103*A103</f>
        <v>600</v>
      </c>
    </row>
    <row r="104" spans="1:6" ht="15.75" x14ac:dyDescent="0.25">
      <c r="A104" s="4">
        <v>200</v>
      </c>
      <c r="B104" s="2" t="s">
        <v>118</v>
      </c>
      <c r="C104" s="8" t="s">
        <v>119</v>
      </c>
      <c r="E104" s="13">
        <v>148.5</v>
      </c>
      <c r="F104" s="13">
        <f>E104*A104</f>
        <v>29700</v>
      </c>
    </row>
    <row r="105" spans="1:6" ht="15.75" x14ac:dyDescent="0.25">
      <c r="A105" s="4"/>
      <c r="B105" s="2"/>
      <c r="C105" s="8"/>
      <c r="E105" s="13"/>
      <c r="F105" s="13"/>
    </row>
    <row r="107" spans="1:6" x14ac:dyDescent="0.2">
      <c r="A107">
        <v>10</v>
      </c>
      <c r="B107" t="s">
        <v>85</v>
      </c>
      <c r="C107" t="s">
        <v>86</v>
      </c>
      <c r="E107" s="49">
        <v>244</v>
      </c>
      <c r="F107" s="11">
        <f>E107*A107</f>
        <v>2440</v>
      </c>
    </row>
    <row r="109" spans="1:6" x14ac:dyDescent="0.2">
      <c r="A109">
        <v>2</v>
      </c>
      <c r="B109" s="50" t="s">
        <v>121</v>
      </c>
      <c r="C109" t="s">
        <v>122</v>
      </c>
      <c r="E109" s="11">
        <v>494.5</v>
      </c>
      <c r="F109" s="11">
        <f t="shared" ref="F109:F110" si="1">E109*A109</f>
        <v>989</v>
      </c>
    </row>
    <row r="110" spans="1:6" x14ac:dyDescent="0.2">
      <c r="A110">
        <v>2</v>
      </c>
      <c r="B110" t="s">
        <v>123</v>
      </c>
      <c r="C110" t="s">
        <v>124</v>
      </c>
      <c r="E110" s="11">
        <v>8.25</v>
      </c>
      <c r="F110" s="11">
        <f t="shared" si="1"/>
        <v>16.5</v>
      </c>
    </row>
    <row r="113" spans="1:6" x14ac:dyDescent="0.2">
      <c r="A113" s="17">
        <v>2</v>
      </c>
      <c r="B113" s="27" t="s">
        <v>126</v>
      </c>
      <c r="C113" s="17" t="s">
        <v>127</v>
      </c>
      <c r="D113" s="17"/>
      <c r="E113" s="11">
        <v>509</v>
      </c>
      <c r="F113" s="11">
        <f>E113*A113</f>
        <v>1018</v>
      </c>
    </row>
    <row r="114" spans="1:6" x14ac:dyDescent="0.2">
      <c r="A114" s="17">
        <v>2</v>
      </c>
      <c r="B114" s="27" t="s">
        <v>128</v>
      </c>
      <c r="C114" s="17" t="s">
        <v>129</v>
      </c>
      <c r="D114" s="17"/>
      <c r="E114" s="11">
        <v>499</v>
      </c>
      <c r="F114" s="11">
        <f>E114*A114</f>
        <v>998</v>
      </c>
    </row>
    <row r="116" spans="1:6" x14ac:dyDescent="0.2">
      <c r="A116">
        <v>4</v>
      </c>
      <c r="B116" s="29" t="s">
        <v>130</v>
      </c>
      <c r="C116" s="17" t="s">
        <v>89</v>
      </c>
      <c r="D116" s="17" t="s">
        <v>90</v>
      </c>
      <c r="E116" s="11">
        <v>278.72000000000003</v>
      </c>
      <c r="F116" s="11">
        <f>E116*A116</f>
        <v>1114.8800000000001</v>
      </c>
    </row>
    <row r="118" spans="1:6" x14ac:dyDescent="0.2">
      <c r="A118" s="17">
        <v>2</v>
      </c>
      <c r="B118" s="27" t="s">
        <v>126</v>
      </c>
      <c r="C118" s="17" t="s">
        <v>127</v>
      </c>
      <c r="D118" s="17"/>
      <c r="E118" s="11">
        <v>509</v>
      </c>
      <c r="F118" s="11">
        <f>E118*A118</f>
        <v>1018</v>
      </c>
    </row>
    <row r="119" spans="1:6" x14ac:dyDescent="0.2">
      <c r="A119" s="17">
        <v>1</v>
      </c>
      <c r="B119" s="27" t="s">
        <v>128</v>
      </c>
      <c r="C119" s="17" t="s">
        <v>129</v>
      </c>
      <c r="D119" s="17"/>
      <c r="E119" s="11">
        <v>499</v>
      </c>
      <c r="F119" s="11">
        <f>E119*A119</f>
        <v>499</v>
      </c>
    </row>
    <row r="120" spans="1:6" x14ac:dyDescent="0.2">
      <c r="A120" s="17">
        <v>2</v>
      </c>
      <c r="B120" s="27" t="s">
        <v>131</v>
      </c>
      <c r="C120" s="17" t="s">
        <v>132</v>
      </c>
      <c r="D120" s="17"/>
      <c r="E120" s="11">
        <v>349</v>
      </c>
      <c r="F120" s="11">
        <f t="shared" ref="F120:F121" si="2">E120*A120</f>
        <v>698</v>
      </c>
    </row>
    <row r="121" spans="1:6" x14ac:dyDescent="0.2">
      <c r="A121" s="17">
        <v>1</v>
      </c>
      <c r="B121" s="27" t="s">
        <v>134</v>
      </c>
      <c r="C121" s="17" t="s">
        <v>133</v>
      </c>
      <c r="D121" s="17"/>
      <c r="E121" s="11">
        <v>349</v>
      </c>
      <c r="F121" s="11">
        <f t="shared" si="2"/>
        <v>349</v>
      </c>
    </row>
    <row r="124" spans="1:6" x14ac:dyDescent="0.2">
      <c r="A124">
        <v>4</v>
      </c>
      <c r="B124" t="s">
        <v>85</v>
      </c>
      <c r="C124" t="s">
        <v>86</v>
      </c>
      <c r="E124" s="49">
        <v>244</v>
      </c>
      <c r="F124" s="11">
        <f>E124*A124</f>
        <v>976</v>
      </c>
    </row>
    <row r="125" spans="1:6" x14ac:dyDescent="0.2">
      <c r="A125">
        <v>6</v>
      </c>
      <c r="B125" t="s">
        <v>87</v>
      </c>
      <c r="C125" t="s">
        <v>88</v>
      </c>
      <c r="E125" s="11">
        <v>273.32</v>
      </c>
      <c r="F125" s="11">
        <f>E125*A125</f>
        <v>1639.92</v>
      </c>
    </row>
    <row r="126" spans="1:6" x14ac:dyDescent="0.2">
      <c r="A126" s="17"/>
      <c r="B126" s="27"/>
      <c r="C126" s="17" t="s">
        <v>141</v>
      </c>
      <c r="D126" s="17"/>
    </row>
  </sheetData>
  <phoneticPr fontId="0" type="noConversion"/>
  <printOptions gridLines="1"/>
  <pageMargins left="0.75" right="0.2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PANDA_KEY</vt:lpstr>
      <vt:lpstr>PANDA_TILL</vt:lpstr>
      <vt:lpstr>Sheet2</vt:lpstr>
      <vt:lpstr>PANDA CD</vt:lpstr>
      <vt:lpstr>DROP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ROB</cp:lastModifiedBy>
  <cp:lastPrinted>2024-04-12T19:22:41Z</cp:lastPrinted>
  <dcterms:created xsi:type="dcterms:W3CDTF">2001-09-06T00:28:27Z</dcterms:created>
  <dcterms:modified xsi:type="dcterms:W3CDTF">2024-04-16T14:24:19Z</dcterms:modified>
</cp:coreProperties>
</file>