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49D9EA9E-9E27-45CD-9524-6240D497941E}" xr6:coauthVersionLast="47" xr6:coauthVersionMax="47" xr10:uidLastSave="{00000000-0000-0000-0000-000000000000}"/>
  <bookViews>
    <workbookView xWindow="252" yWindow="408" windowWidth="22776" windowHeight="11136" tabRatio="569" xr2:uid="{00000000-000D-0000-FFFF-FFFF00000000}"/>
  </bookViews>
  <sheets>
    <sheet name="APR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1" i="6" l="1"/>
  <c r="S51" i="6"/>
  <c r="R51" i="6"/>
  <c r="Q51" i="6"/>
  <c r="P51" i="6"/>
  <c r="O51" i="6"/>
  <c r="N51" i="6"/>
  <c r="M51" i="6"/>
  <c r="L51" i="6"/>
  <c r="K51" i="6"/>
  <c r="J51" i="6"/>
  <c r="I51" i="6"/>
  <c r="H51" i="6"/>
  <c r="U35" i="6"/>
  <c r="U38" i="6"/>
  <c r="U34" i="6"/>
  <c r="U33" i="6"/>
  <c r="U32" i="6"/>
  <c r="U31" i="6"/>
  <c r="U30" i="6"/>
  <c r="U29" i="6"/>
  <c r="U28" i="6"/>
  <c r="U27" i="6"/>
  <c r="U26" i="6"/>
  <c r="U25" i="6"/>
  <c r="U24" i="6"/>
  <c r="U23" i="6"/>
  <c r="U42" i="6"/>
  <c r="U22" i="6"/>
  <c r="U21" i="6"/>
  <c r="U20" i="6"/>
  <c r="U19" i="6"/>
  <c r="U18" i="6"/>
  <c r="U17" i="6"/>
  <c r="XFD17" i="6" s="1"/>
  <c r="U16" i="6"/>
  <c r="U36" i="6"/>
  <c r="U15" i="6"/>
  <c r="U14" i="6"/>
  <c r="U46" i="6"/>
  <c r="U45" i="6"/>
  <c r="U44" i="6"/>
  <c r="U37" i="6"/>
  <c r="U13" i="6"/>
  <c r="U12" i="6"/>
  <c r="U11" i="6"/>
  <c r="U41" i="6"/>
  <c r="U10" i="6"/>
  <c r="U43" i="6"/>
  <c r="U9" i="6"/>
  <c r="U8" i="6"/>
  <c r="U7" i="6"/>
  <c r="U6" i="6"/>
  <c r="U5" i="6"/>
  <c r="U40" i="6"/>
  <c r="U4" i="6"/>
  <c r="U39" i="6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U9" i="3"/>
  <c r="U35" i="3"/>
  <c r="U4" i="3"/>
  <c r="U6" i="3"/>
  <c r="U8" i="3"/>
  <c r="U37" i="3"/>
  <c r="U22" i="3"/>
  <c r="U29" i="3"/>
  <c r="U20" i="3"/>
  <c r="U17" i="3"/>
  <c r="U42" i="3"/>
  <c r="U28" i="3"/>
  <c r="U40" i="3"/>
  <c r="U21" i="3"/>
  <c r="U16" i="3"/>
  <c r="U14" i="3"/>
  <c r="U24" i="3"/>
  <c r="U32" i="3"/>
  <c r="U39" i="3"/>
  <c r="U41" i="3"/>
  <c r="U27" i="3"/>
  <c r="XFD27" i="3" s="1"/>
  <c r="U33" i="3"/>
  <c r="U31" i="3"/>
  <c r="U26" i="3"/>
  <c r="U15" i="3"/>
  <c r="U11" i="3"/>
  <c r="U10" i="3"/>
  <c r="U36" i="3"/>
  <c r="U5" i="3"/>
  <c r="U44" i="3"/>
  <c r="U13" i="3"/>
  <c r="U23" i="3"/>
  <c r="U25" i="3"/>
  <c r="U45" i="3"/>
  <c r="U34" i="3"/>
  <c r="U19" i="3"/>
  <c r="U18" i="3"/>
  <c r="U46" i="3"/>
  <c r="U38" i="3"/>
  <c r="U12" i="3"/>
  <c r="U7" i="3"/>
  <c r="U30" i="3"/>
  <c r="U43" i="3"/>
  <c r="V52" i="6" l="1"/>
  <c r="Y50" i="6"/>
  <c r="Z50" i="6" s="1"/>
  <c r="Y49" i="6"/>
  <c r="Z49" i="6" s="1"/>
  <c r="U51" i="6"/>
  <c r="Y48" i="6"/>
  <c r="Z48" i="6" s="1"/>
  <c r="V52" i="3"/>
  <c r="Y49" i="3"/>
  <c r="Z49" i="3" s="1"/>
  <c r="U51" i="3"/>
  <c r="Y48" i="3"/>
  <c r="Z48" i="3" s="1"/>
  <c r="Y47" i="6"/>
  <c r="Z47" i="6" s="1"/>
  <c r="Y50" i="3"/>
  <c r="Z50" i="3" s="1"/>
  <c r="Y47" i="3"/>
  <c r="Z47" i="3" s="1"/>
  <c r="V100" i="1" l="1"/>
  <c r="V102" i="1"/>
  <c r="V103" i="1"/>
  <c r="V104" i="1"/>
  <c r="V105" i="1"/>
  <c r="V106" i="1"/>
  <c r="V107" i="1"/>
  <c r="V97" i="1" l="1"/>
  <c r="V98" i="1"/>
  <c r="V99" i="1"/>
  <c r="V101" i="1"/>
  <c r="V108" i="1"/>
  <c r="V92" i="1"/>
  <c r="V93" i="1"/>
  <c r="V94" i="1"/>
  <c r="V95" i="1"/>
  <c r="V96" i="1"/>
  <c r="V109" i="1"/>
  <c r="V83" i="1"/>
  <c r="V82" i="1"/>
  <c r="V80" i="1"/>
  <c r="V81" i="1" l="1"/>
  <c r="V84" i="1"/>
  <c r="V85" i="1"/>
  <c r="V86" i="1"/>
  <c r="V87" i="1"/>
  <c r="V88" i="1"/>
  <c r="V89" i="1"/>
  <c r="V73" i="1"/>
  <c r="V74" i="1"/>
  <c r="V75" i="1"/>
  <c r="V76" i="1"/>
  <c r="V77" i="1"/>
  <c r="V78" i="1"/>
  <c r="V79" i="1"/>
  <c r="V90" i="1"/>
  <c r="V72" i="1"/>
  <c r="V91" i="1"/>
  <c r="V110" i="1"/>
  <c r="V111" i="1"/>
  <c r="V112" i="1"/>
  <c r="V113" i="1"/>
  <c r="V114" i="1"/>
  <c r="V115" i="1"/>
  <c r="V116" i="1"/>
  <c r="V117" i="1"/>
  <c r="V71" i="1"/>
  <c r="V59" i="1" l="1"/>
  <c r="V60" i="1" l="1"/>
  <c r="V61" i="1"/>
  <c r="V62" i="1"/>
  <c r="V63" i="1"/>
  <c r="V64" i="1"/>
  <c r="V65" i="1"/>
  <c r="V66" i="1"/>
  <c r="V55" i="1" l="1"/>
  <c r="V56" i="1"/>
  <c r="V57" i="1"/>
  <c r="V58" i="1"/>
  <c r="V67" i="1"/>
  <c r="V68" i="1"/>
  <c r="V51" i="1"/>
  <c r="V47" i="1" l="1"/>
  <c r="V48" i="1"/>
  <c r="V49" i="1"/>
  <c r="V50" i="1"/>
  <c r="V52" i="1"/>
  <c r="V46" i="1" l="1"/>
  <c r="V53" i="1"/>
  <c r="V54" i="1"/>
  <c r="V33" i="1" l="1"/>
  <c r="V34" i="1"/>
  <c r="V35" i="1"/>
  <c r="V36" i="1"/>
  <c r="V37" i="1"/>
  <c r="V38" i="1"/>
  <c r="V39" i="1"/>
  <c r="V40" i="1"/>
  <c r="V24" i="1"/>
  <c r="V30" i="1" l="1"/>
  <c r="V31" i="1"/>
  <c r="V32" i="1"/>
  <c r="V41" i="1"/>
  <c r="V42" i="1"/>
  <c r="V25" i="1" l="1"/>
  <c r="V26" i="1"/>
  <c r="V27" i="1"/>
  <c r="V28" i="1"/>
  <c r="V29" i="1"/>
  <c r="V43" i="1"/>
  <c r="V44" i="1"/>
  <c r="V45" i="1"/>
  <c r="V17" i="1"/>
  <c r="V18" i="1"/>
  <c r="V19" i="1"/>
  <c r="V20" i="1"/>
  <c r="V21" i="1"/>
  <c r="V22" i="1"/>
  <c r="V16" i="1"/>
  <c r="V23" i="1"/>
  <c r="V15" i="1"/>
  <c r="V9" i="1"/>
  <c r="V8" i="1"/>
  <c r="V70" i="1" l="1"/>
  <c r="V69" i="1"/>
  <c r="V14" i="1"/>
  <c r="V13" i="1"/>
  <c r="V11" i="1"/>
  <c r="V10" i="1"/>
  <c r="V12" i="1"/>
  <c r="V7" i="1"/>
  <c r="V6" i="1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29" i="2" l="1"/>
  <c r="U28" i="2"/>
  <c r="XFD28" i="2" s="1"/>
  <c r="U27" i="2"/>
  <c r="U26" i="2"/>
  <c r="U25" i="2"/>
  <c r="U24" i="2"/>
  <c r="U23" i="2"/>
  <c r="U22" i="2"/>
  <c r="U21" i="2"/>
  <c r="U20" i="2"/>
  <c r="Y30" i="2" l="1"/>
  <c r="Z30" i="2" s="1"/>
  <c r="Y50" i="2"/>
  <c r="V52" i="2" l="1"/>
  <c r="U18" i="2"/>
  <c r="U17" i="2"/>
  <c r="U16" i="2"/>
  <c r="U15" i="2"/>
  <c r="U14" i="2"/>
  <c r="U13" i="2"/>
  <c r="Y19" i="2" l="1"/>
  <c r="Z19" i="2" s="1"/>
  <c r="U11" i="2"/>
  <c r="U10" i="2"/>
  <c r="U9" i="2"/>
  <c r="U8" i="2"/>
  <c r="U7" i="2"/>
  <c r="U6" i="2"/>
  <c r="U5" i="2"/>
  <c r="U4" i="2"/>
  <c r="AA119" i="1" l="1"/>
  <c r="U119" i="1" l="1"/>
  <c r="T119" i="1"/>
  <c r="S119" i="1"/>
  <c r="R119" i="1"/>
  <c r="Q119" i="1"/>
  <c r="P119" i="1"/>
  <c r="N119" i="1"/>
  <c r="M119" i="1"/>
  <c r="L119" i="1"/>
  <c r="K119" i="1"/>
  <c r="J119" i="1"/>
  <c r="I119" i="1"/>
  <c r="Y12" i="2" l="1"/>
  <c r="Z12" i="2" s="1"/>
  <c r="U51" i="2"/>
  <c r="Z50" i="2"/>
  <c r="V119" i="1"/>
</calcChain>
</file>

<file path=xl/sharedStrings.xml><?xml version="1.0" encoding="utf-8"?>
<sst xmlns="http://schemas.openxmlformats.org/spreadsheetml/2006/main" count="1706" uniqueCount="267">
  <si>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</si>
  <si>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</si>
  <si>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</si>
  <si>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</si>
  <si>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</si>
  <si>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</si>
  <si>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</si>
  <si>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</si>
  <si>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</si>
  <si>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</si>
  <si>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</si>
  <si>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</si>
  <si>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</si>
  <si>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</si>
  <si>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JS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</si>
  <si>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</si>
  <si>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</si>
  <si>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</si>
  <si>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</si>
  <si>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</si>
  <si>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</si>
  <si>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</si>
  <si>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</si>
  <si>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</si>
  <si>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</si>
  <si>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</si>
  <si>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</si>
  <si>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</si>
  <si>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</si>
  <si>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</si>
  <si>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</si>
  <si>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</si>
  <si>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</si>
  <si>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</si>
  <si>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</si>
  <si>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</si>
  <si>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</si>
  <si>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</si>
  <si>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</si>
  <si>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</si>
  <si>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</si>
  <si>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</si>
  <si>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</si>
  <si>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</si>
  <si>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</si>
  <si>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</si>
  <si>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</si>
  <si>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</si>
  <si>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</si>
  <si>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</si>
  <si>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</si>
  <si>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</si>
  <si>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</si>
  <si>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</si>
  <si>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</si>
  <si>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</si>
  <si>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</si>
  <si>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</si>
  <si>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</si>
  <si>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</si>
  <si>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</si>
  <si>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</si>
  <si>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</si>
  <si>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</si>
  <si>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MONTHLY</t>
  </si>
  <si>
    <t>ANTONIO</t>
  </si>
  <si>
    <t>RICH</t>
  </si>
  <si>
    <t>TRIBUNE RESTAURANT</t>
  </si>
  <si>
    <t>ALANA'S</t>
  </si>
  <si>
    <t>BURL</t>
  </si>
  <si>
    <t>BESO</t>
  </si>
  <si>
    <t>ONSITE SVC</t>
  </si>
  <si>
    <t>VILLA CORONA</t>
  </si>
  <si>
    <t>LA PENCA AZUL</t>
  </si>
  <si>
    <t>PETITE LEFT BANK</t>
  </si>
  <si>
    <t>BURLINGAME</t>
  </si>
  <si>
    <t>FARMSTEAD</t>
  </si>
  <si>
    <t>FARFALLA</t>
  </si>
  <si>
    <t>SCALE CBL</t>
  </si>
  <si>
    <t>VALENCIA WHOLE FOODS</t>
  </si>
  <si>
    <t>FRANK</t>
  </si>
  <si>
    <t>ARCANGELI GROCERY</t>
  </si>
  <si>
    <t>DOVRE CLUB</t>
  </si>
  <si>
    <t>THE FORGE HANDCRAFTED PIZZA</t>
  </si>
  <si>
    <t>VILLAGE GRILL</t>
  </si>
  <si>
    <t>SAN RAFAEL JOE'S</t>
  </si>
  <si>
    <t>GRAZIE</t>
  </si>
  <si>
    <t>GRAZIE RESTAURANT</t>
  </si>
  <si>
    <t>EL PATRON</t>
  </si>
  <si>
    <t>STATE BIRD PROVISIONS</t>
  </si>
  <si>
    <t>VIA PICCOLA</t>
  </si>
  <si>
    <t>L&amp;L BBQ</t>
  </si>
  <si>
    <t>SAC</t>
  </si>
  <si>
    <t>PTR CBLS</t>
  </si>
  <si>
    <t>ISABEL'S VINTAGE CAFÉ</t>
  </si>
  <si>
    <t>EL SOL FAMILY RESTAURANT</t>
  </si>
  <si>
    <t>VALENTI &amp; CO</t>
  </si>
  <si>
    <t>CHRISTIANO</t>
  </si>
  <si>
    <t>UNION LANDING</t>
  </si>
  <si>
    <t>ALOTTA'S DELI &amp; CATERING</t>
  </si>
  <si>
    <t>TAQUERIA Y MARISCOS EL PONY</t>
  </si>
  <si>
    <t>JQ</t>
  </si>
  <si>
    <t>ROB</t>
  </si>
  <si>
    <t>STAR GROCERY</t>
  </si>
  <si>
    <t>FATTORIA E MARE</t>
  </si>
  <si>
    <t>MONTI'S ROTISSERIE</t>
  </si>
  <si>
    <t>SPECIALTY'S CAFÉ</t>
  </si>
  <si>
    <t>PLAYA RESTAURANT</t>
  </si>
  <si>
    <t>ELLIS</t>
  </si>
  <si>
    <t>MD CARDS</t>
  </si>
  <si>
    <t>MOUNTAIN MIKE'S</t>
  </si>
  <si>
    <t>TERIYAKI MADNESS</t>
  </si>
  <si>
    <t>THE VILLAGE PIZZERIA</t>
  </si>
  <si>
    <t>SCANNER</t>
  </si>
  <si>
    <t>THE FORGE PIZZA</t>
  </si>
  <si>
    <t>UPS</t>
  </si>
  <si>
    <t>NOVATO</t>
  </si>
  <si>
    <t>JEFFREY</t>
  </si>
  <si>
    <t>KARTUNZ</t>
  </si>
  <si>
    <t>FRED'S LIQUOR</t>
  </si>
  <si>
    <t>HI DIVE</t>
  </si>
  <si>
    <t>THE TRIDENT</t>
  </si>
  <si>
    <t xml:space="preserve">PEPITO'S </t>
  </si>
  <si>
    <t>CANYON CREST</t>
  </si>
  <si>
    <t>U SAVE BEER &amp; WINE</t>
  </si>
  <si>
    <t>GR CHOCOLATE COLLECTION</t>
  </si>
  <si>
    <t>GUEST HOUSE RESTAURANT</t>
  </si>
  <si>
    <t>SANTA CLARA</t>
  </si>
  <si>
    <t>BIRD &amp; THE BOTTLE</t>
  </si>
  <si>
    <t>ANDI'S MARKET</t>
  </si>
  <si>
    <t>PANDA RESTAURANT GROUP</t>
  </si>
  <si>
    <t>ACRE RESTAURANT</t>
  </si>
  <si>
    <t>SAN RAFAEL #5</t>
  </si>
  <si>
    <t>TACOS SINALOA</t>
  </si>
  <si>
    <t>BERKELEY</t>
  </si>
  <si>
    <t>CELIA'S</t>
  </si>
  <si>
    <t>PD</t>
  </si>
  <si>
    <t>VEN</t>
  </si>
  <si>
    <t>CANCEL</t>
  </si>
  <si>
    <t>ALA</t>
  </si>
  <si>
    <t>SM</t>
  </si>
  <si>
    <t>MARIN</t>
  </si>
  <si>
    <t>NAPA</t>
  </si>
  <si>
    <t>ISLAND DRIVE</t>
  </si>
  <si>
    <t>SOULTRAN'S SEAFOOD</t>
  </si>
  <si>
    <t>SUPPORT</t>
  </si>
  <si>
    <t>SOL</t>
  </si>
  <si>
    <t>SR</t>
  </si>
  <si>
    <t>CLYDE'S LIQUOR</t>
  </si>
  <si>
    <t>CC</t>
  </si>
  <si>
    <t>PETRIFIED FOREST</t>
  </si>
  <si>
    <t>DD</t>
  </si>
  <si>
    <t>SAN ANSELMO SWIRL</t>
  </si>
  <si>
    <t>BLUE COVERT</t>
  </si>
  <si>
    <t>PRINTER</t>
  </si>
  <si>
    <t>DON</t>
  </si>
  <si>
    <t>OLD CHICAGO PIZZA</t>
  </si>
  <si>
    <t>SON</t>
  </si>
  <si>
    <t>ROSEVILLE</t>
  </si>
  <si>
    <t>PL</t>
  </si>
  <si>
    <t>CASAVA</t>
  </si>
  <si>
    <t>SF</t>
  </si>
  <si>
    <t>PACIFICO</t>
  </si>
  <si>
    <t>GUERRA QUALITY MEATS</t>
  </si>
  <si>
    <t>DUBOCE PARK CAFÉ</t>
  </si>
  <si>
    <t>SAN MATEO</t>
  </si>
  <si>
    <t>SAN MAT</t>
  </si>
  <si>
    <t>LOS CAPORALES</t>
  </si>
  <si>
    <t>KITCHEN DOOR</t>
  </si>
  <si>
    <t>ORACLE PARK</t>
  </si>
  <si>
    <t>HAWAIIAN DRIVE INN</t>
  </si>
  <si>
    <t>HISENSE 570</t>
  </si>
  <si>
    <t>FORKS RANCH MARKET</t>
  </si>
  <si>
    <t>UKIAH</t>
  </si>
  <si>
    <t>RESALE</t>
  </si>
  <si>
    <t>MAYFLOWER INN</t>
  </si>
  <si>
    <t>TONY</t>
  </si>
  <si>
    <t>ALLEY &amp; VINE</t>
  </si>
  <si>
    <t>CASH DRAWER</t>
  </si>
  <si>
    <t>LA</t>
  </si>
  <si>
    <t>DROP</t>
  </si>
  <si>
    <t>CAFÉ LOTUS</t>
  </si>
  <si>
    <t>TABLET</t>
  </si>
  <si>
    <t>KASHI</t>
  </si>
  <si>
    <t>MAMITA</t>
  </si>
  <si>
    <t>KIMONO</t>
  </si>
  <si>
    <t>PLEASANTON</t>
  </si>
  <si>
    <t>EVO</t>
  </si>
  <si>
    <t>EFT</t>
  </si>
  <si>
    <t>RIVER FRONT CAFÉ</t>
  </si>
  <si>
    <t>FRANKY'S RESTAURANT</t>
  </si>
  <si>
    <t>BUTTE</t>
  </si>
  <si>
    <t>VACA</t>
  </si>
  <si>
    <t>BOLINAS PEOPLE STORE</t>
  </si>
  <si>
    <t>CL</t>
  </si>
  <si>
    <t>CASA LUPE</t>
  </si>
  <si>
    <t>HL</t>
  </si>
  <si>
    <t>VINTAGE WINE MERCHANT</t>
  </si>
  <si>
    <t>SJ</t>
  </si>
  <si>
    <t>O/S</t>
  </si>
  <si>
    <t>CHECK</t>
  </si>
  <si>
    <t>THE CHEESE PARLOR</t>
  </si>
  <si>
    <t>FAIRFAX</t>
  </si>
  <si>
    <t>THE WHARF</t>
  </si>
  <si>
    <t>FTBRAGG</t>
  </si>
  <si>
    <t>CALISTIOGA INN</t>
  </si>
  <si>
    <t>LA TOSCANA</t>
  </si>
  <si>
    <t>LOTUS INDIAN CUISINE</t>
  </si>
  <si>
    <t>JOTI</t>
  </si>
  <si>
    <t>HILLBILLY'S GRILL &amp; BBQ</t>
  </si>
  <si>
    <t>VESUVIO</t>
  </si>
  <si>
    <t>RESIDUAL</t>
  </si>
  <si>
    <t>CAYLA'S CORNER</t>
  </si>
  <si>
    <t>SAM ER260</t>
  </si>
  <si>
    <t>CAYLA</t>
  </si>
  <si>
    <t>A&amp;W</t>
  </si>
  <si>
    <t>COFFEE ROASTERY</t>
  </si>
  <si>
    <t>DH</t>
  </si>
  <si>
    <t>FFX</t>
  </si>
  <si>
    <t>S/A</t>
  </si>
  <si>
    <t>ESTRELLA'S MKT</t>
  </si>
  <si>
    <t>WEB 999</t>
  </si>
  <si>
    <t>N.C.C.</t>
  </si>
  <si>
    <t>BRAVAS TAPAS</t>
  </si>
  <si>
    <t>WILLIE'S SEAFOOD &amp; RAW BAR</t>
  </si>
  <si>
    <t>SEABOWL</t>
  </si>
  <si>
    <t>VINTNER'S GOLF CLUB</t>
  </si>
  <si>
    <t>PRECITA PARK CAFÉ</t>
  </si>
  <si>
    <t>LOST MARBLES BREWPUB</t>
  </si>
  <si>
    <t>LEFT BANK BRASSERIE</t>
  </si>
  <si>
    <t>LARK</t>
  </si>
  <si>
    <t>MAGNOLIA OF MILBRAE</t>
  </si>
  <si>
    <t>BULL VALLEY ROADHOUSE</t>
  </si>
  <si>
    <t>PORT COSTA</t>
  </si>
  <si>
    <t>COCO'S MERCADO</t>
  </si>
  <si>
    <t>LA AZTECA MARKET #2</t>
  </si>
  <si>
    <t>MURIEL</t>
  </si>
  <si>
    <t>INSALATA'S</t>
  </si>
  <si>
    <t>SANSEL</t>
  </si>
  <si>
    <t>UNION C</t>
  </si>
  <si>
    <t>WORLDPAY PAYMENTS</t>
  </si>
  <si>
    <t>ROKA AKOR</t>
  </si>
  <si>
    <t>GREAT FALLS</t>
  </si>
  <si>
    <t>VIA PICCOLA TRATTORIA</t>
  </si>
  <si>
    <t>FISH</t>
  </si>
  <si>
    <t>SAUS</t>
  </si>
  <si>
    <t>5TH STREET STEAK HOUSE</t>
  </si>
  <si>
    <t>SWEENEY'S GRILL &amp; BAR</t>
  </si>
  <si>
    <t>STOCKTON</t>
  </si>
  <si>
    <t>CELIA'S/XALISCO CORP</t>
  </si>
  <si>
    <t>ROSENDO</t>
  </si>
  <si>
    <t>LE SANDWICH</t>
  </si>
  <si>
    <t>STATE MARKET</t>
  </si>
  <si>
    <t>THE COOLER</t>
  </si>
  <si>
    <t>LAS GUITARRAS</t>
  </si>
  <si>
    <t>BEN FRANKLIN</t>
  </si>
  <si>
    <t>GRASS VAL</t>
  </si>
  <si>
    <t>SEABREEZE</t>
  </si>
  <si>
    <t>BLUE HERON</t>
  </si>
  <si>
    <t>GROSSMAN'S NOSHERY &amp; BAR</t>
  </si>
  <si>
    <t>POGGIO TRATTORIA</t>
  </si>
  <si>
    <t>LAS MONTANAS MKT</t>
  </si>
  <si>
    <t>CONCORD</t>
  </si>
  <si>
    <t>WORKSTATION</t>
  </si>
  <si>
    <t>WALNUT CREEK</t>
  </si>
  <si>
    <t>TRACY FEED &amp; PET STORE</t>
  </si>
  <si>
    <t>TRACY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</si>
</sst>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FF99CC"/>
        <bgColor rgb="FFFF66CC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1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2" fontId="2" fillId="9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3" fillId="8" borderId="3" xfId="0" applyFont="1" applyFill="1" applyBorder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" fontId="3" fillId="7" borderId="10" xfId="0" applyNumberFormat="1" applyFont="1" applyFill="1" applyBorder="1" applyAlignment="1">
      <alignment horizontal="right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164" fontId="26" fillId="9" borderId="7" xfId="0" applyNumberFormat="1" applyFont="1" applyFill="1" applyBorder="1" applyAlignment="1">
      <alignment horizontal="right"/>
    </xf>
    <xf numFmtId="169" fontId="9" fillId="0" borderId="9" xfId="0" applyNumberFormat="1" applyFont="1" applyBorder="1"/>
    <xf numFmtId="2" fontId="2" fillId="8" borderId="9" xfId="0" applyNumberFormat="1" applyFont="1" applyFill="1" applyBorder="1" applyAlignment="1">
      <alignment horizontal="right"/>
    </xf>
    <xf numFmtId="167" fontId="3" fillId="9" borderId="3" xfId="0" applyNumberFormat="1" applyFont="1" applyFill="1" applyBorder="1"/>
    <xf numFmtId="0" fontId="3" fillId="16" borderId="3" xfId="0" applyFont="1" applyFill="1" applyBorder="1"/>
    <xf numFmtId="0" fontId="3" fillId="16" borderId="0" xfId="0" applyFont="1" applyFill="1"/>
    <xf numFmtId="0" fontId="3" fillId="16" borderId="0" xfId="0" applyFont="1" applyFill="1" applyAlignment="1">
      <alignment horizontal="right"/>
    </xf>
    <xf numFmtId="0" fontId="3" fillId="16" borderId="12" xfId="0" applyFont="1" applyFill="1" applyBorder="1" applyAlignment="1">
      <alignment horizontal="right"/>
    </xf>
    <xf numFmtId="164" fontId="3" fillId="16" borderId="10" xfId="0" applyNumberFormat="1" applyFont="1" applyFill="1" applyBorder="1"/>
    <xf numFmtId="0" fontId="3" fillId="16" borderId="10" xfId="0" applyFont="1" applyFill="1" applyBorder="1" applyAlignment="1">
      <alignment horizontal="right"/>
    </xf>
    <xf numFmtId="164" fontId="26" fillId="16" borderId="0" xfId="0" applyNumberFormat="1" applyFont="1" applyFill="1" applyAlignment="1">
      <alignment horizontal="right"/>
    </xf>
    <xf numFmtId="1" fontId="3" fillId="16" borderId="12" xfId="0" applyNumberFormat="1" applyFont="1" applyFill="1" applyBorder="1"/>
    <xf numFmtId="1" fontId="3" fillId="16" borderId="10" xfId="0" applyNumberFormat="1" applyFont="1" applyFill="1" applyBorder="1"/>
    <xf numFmtId="1" fontId="3" fillId="16" borderId="0" xfId="0" applyNumberFormat="1" applyFont="1" applyFill="1"/>
    <xf numFmtId="1" fontId="3" fillId="16" borderId="11" xfId="0" applyNumberFormat="1" applyFont="1" applyFill="1" applyBorder="1"/>
    <xf numFmtId="2" fontId="3" fillId="16" borderId="10" xfId="0" applyNumberFormat="1" applyFont="1" applyFill="1" applyBorder="1"/>
    <xf numFmtId="2" fontId="2" fillId="16" borderId="10" xfId="0" applyNumberFormat="1" applyFont="1" applyFill="1" applyBorder="1"/>
    <xf numFmtId="0" fontId="3" fillId="16" borderId="12" xfId="0" applyFont="1" applyFill="1" applyBorder="1"/>
    <xf numFmtId="0" fontId="2" fillId="16" borderId="0" xfId="0" applyFont="1" applyFill="1"/>
    <xf numFmtId="1" fontId="33" fillId="0" borderId="0" xfId="0" applyNumberFormat="1" applyFont="1"/>
    <xf numFmtId="0" fontId="3" fillId="0" borderId="3" xfId="0" applyFont="1" applyBorder="1"/>
    <xf numFmtId="0" fontId="3" fillId="17" borderId="3" xfId="0" applyFont="1" applyFill="1" applyBorder="1"/>
    <xf numFmtId="0" fontId="3" fillId="17" borderId="0" xfId="0" applyFont="1" applyFill="1"/>
    <xf numFmtId="0" fontId="3" fillId="17" borderId="0" xfId="0" applyFont="1" applyFill="1" applyAlignment="1">
      <alignment horizontal="right"/>
    </xf>
    <xf numFmtId="0" fontId="3" fillId="17" borderId="12" xfId="0" applyFont="1" applyFill="1" applyBorder="1" applyAlignment="1">
      <alignment horizontal="right"/>
    </xf>
    <xf numFmtId="164" fontId="3" fillId="17" borderId="10" xfId="0" applyNumberFormat="1" applyFont="1" applyFill="1" applyBorder="1"/>
    <xf numFmtId="0" fontId="3" fillId="17" borderId="10" xfId="0" applyFont="1" applyFill="1" applyBorder="1" applyAlignment="1">
      <alignment horizontal="right"/>
    </xf>
    <xf numFmtId="164" fontId="26" fillId="17" borderId="0" xfId="0" applyNumberFormat="1" applyFont="1" applyFill="1" applyAlignment="1">
      <alignment horizontal="right"/>
    </xf>
    <xf numFmtId="1" fontId="3" fillId="17" borderId="12" xfId="0" applyNumberFormat="1" applyFont="1" applyFill="1" applyBorder="1"/>
    <xf numFmtId="1" fontId="3" fillId="17" borderId="10" xfId="0" applyNumberFormat="1" applyFont="1" applyFill="1" applyBorder="1"/>
    <xf numFmtId="1" fontId="3" fillId="17" borderId="0" xfId="0" applyNumberFormat="1" applyFont="1" applyFill="1"/>
    <xf numFmtId="1" fontId="3" fillId="17" borderId="11" xfId="0" applyNumberFormat="1" applyFont="1" applyFill="1" applyBorder="1"/>
    <xf numFmtId="2" fontId="3" fillId="17" borderId="10" xfId="0" applyNumberFormat="1" applyFont="1" applyFill="1" applyBorder="1"/>
    <xf numFmtId="2" fontId="2" fillId="17" borderId="10" xfId="0" applyNumberFormat="1" applyFont="1" applyFill="1" applyBorder="1"/>
    <xf numFmtId="0" fontId="3" fillId="17" borderId="12" xfId="0" applyFont="1" applyFill="1" applyBorder="1"/>
    <xf numFmtId="0" fontId="2" fillId="17" borderId="0" xfId="0" applyFont="1" applyFill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0" fontId="31" fillId="8" borderId="3" xfId="0" applyFont="1" applyFill="1" applyBorder="1"/>
    <xf numFmtId="0" fontId="31" fillId="8" borderId="0" xfId="0" applyFont="1" applyFill="1"/>
    <xf numFmtId="0" fontId="31" fillId="8" borderId="0" xfId="0" applyFont="1" applyFill="1" applyAlignment="1">
      <alignment horizontal="right"/>
    </xf>
    <xf numFmtId="0" fontId="31" fillId="8" borderId="12" xfId="0" applyFont="1" applyFill="1" applyBorder="1" applyAlignment="1">
      <alignment horizontal="right"/>
    </xf>
    <xf numFmtId="164" fontId="31" fillId="8" borderId="10" xfId="0" applyNumberFormat="1" applyFont="1" applyFill="1" applyBorder="1"/>
    <xf numFmtId="0" fontId="31" fillId="8" borderId="10" xfId="0" applyFont="1" applyFill="1" applyBorder="1" applyAlignment="1">
      <alignment horizontal="right"/>
    </xf>
    <xf numFmtId="1" fontId="31" fillId="8" borderId="12" xfId="0" applyNumberFormat="1" applyFont="1" applyFill="1" applyBorder="1"/>
    <xf numFmtId="1" fontId="31" fillId="8" borderId="10" xfId="0" applyNumberFormat="1" applyFont="1" applyFill="1" applyBorder="1"/>
    <xf numFmtId="1" fontId="31" fillId="8" borderId="0" xfId="0" applyNumberFormat="1" applyFont="1" applyFill="1"/>
    <xf numFmtId="1" fontId="31" fillId="8" borderId="11" xfId="0" applyNumberFormat="1" applyFont="1" applyFill="1" applyBorder="1"/>
    <xf numFmtId="2" fontId="31" fillId="8" borderId="10" xfId="0" applyNumberFormat="1" applyFont="1" applyFill="1" applyBorder="1"/>
    <xf numFmtId="2" fontId="29" fillId="8" borderId="10" xfId="0" applyNumberFormat="1" applyFont="1" applyFill="1" applyBorder="1"/>
    <xf numFmtId="0" fontId="31" fillId="8" borderId="12" xfId="0" applyFont="1" applyFill="1" applyBorder="1"/>
    <xf numFmtId="0" fontId="29" fillId="8" borderId="0" xfId="0" applyFont="1" applyFill="1"/>
    <xf numFmtId="0" fontId="3" fillId="7" borderId="8" xfId="0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  <xf numFmtId="2" fontId="2" fillId="7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0" fontId="3" fillId="16" borderId="8" xfId="0" applyFont="1" applyFill="1" applyBorder="1"/>
    <xf numFmtId="0" fontId="3" fillId="16" borderId="7" xfId="0" applyFont="1" applyFill="1" applyBorder="1"/>
    <xf numFmtId="0" fontId="3" fillId="16" borderId="7" xfId="0" applyFont="1" applyFill="1" applyBorder="1" applyAlignment="1">
      <alignment horizontal="right"/>
    </xf>
    <xf numFmtId="164" fontId="3" fillId="16" borderId="15" xfId="0" applyNumberFormat="1" applyFont="1" applyFill="1" applyBorder="1"/>
    <xf numFmtId="0" fontId="3" fillId="16" borderId="15" xfId="0" applyFont="1" applyFill="1" applyBorder="1" applyAlignment="1">
      <alignment horizontal="right"/>
    </xf>
    <xf numFmtId="164" fontId="26" fillId="16" borderId="7" xfId="0" applyNumberFormat="1" applyFont="1" applyFill="1" applyBorder="1" applyAlignment="1">
      <alignment horizontal="right"/>
    </xf>
    <xf numFmtId="1" fontId="3" fillId="16" borderId="13" xfId="0" applyNumberFormat="1" applyFont="1" applyFill="1" applyBorder="1"/>
    <xf numFmtId="1" fontId="3" fillId="16" borderId="15" xfId="0" applyNumberFormat="1" applyFont="1" applyFill="1" applyBorder="1"/>
    <xf numFmtId="1" fontId="3" fillId="16" borderId="7" xfId="0" applyNumberFormat="1" applyFont="1" applyFill="1" applyBorder="1"/>
    <xf numFmtId="1" fontId="3" fillId="16" borderId="31" xfId="0" applyNumberFormat="1" applyFont="1" applyFill="1" applyBorder="1"/>
    <xf numFmtId="2" fontId="3" fillId="16" borderId="31" xfId="0" applyNumberFormat="1" applyFont="1" applyFill="1" applyBorder="1"/>
    <xf numFmtId="2" fontId="2" fillId="16" borderId="15" xfId="0" applyNumberFormat="1" applyFont="1" applyFill="1" applyBorder="1"/>
    <xf numFmtId="0" fontId="3" fillId="16" borderId="13" xfId="0" applyFont="1" applyFill="1" applyBorder="1"/>
    <xf numFmtId="0" fontId="2" fillId="16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  <color rgb="FFCCFFCC"/>
      <color rgb="FFFF99CC"/>
      <color rgb="FFFFCCCC"/>
      <color rgb="FFFF66CC"/>
      <color rgb="FFFF99FF"/>
      <color rgb="FF99FF99"/>
      <color rgb="FF000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22"/>
  <sheetViews>
    <sheetView tabSelected="1" zoomScale="131" zoomScaleNormal="131" workbookViewId="0">
      <pane ySplit="3" topLeftCell="A93" activePane="bottomLeft" state="frozen"/>
      <selection pane="bottomLeft" activeCell="A105" sqref="A105"/>
    </sheetView>
  </sheetViews>
  <sheetFormatPr defaultColWidth="9.109375" defaultRowHeight="9" customHeight="1" x14ac:dyDescent="0.35"/>
  <cols>
    <col min="1" max="1" width="5.5546875" style="262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27" s="10" customFormat="1" ht="19.95" customHeight="1" thickBot="1" x14ac:dyDescent="0.4">
      <c r="A1" s="367">
        <v>45044</v>
      </c>
      <c r="B1" s="368"/>
      <c r="C1" s="99" t="s">
        <v>28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27" s="2" customFormat="1" ht="31.5" customHeight="1" thickBot="1" x14ac:dyDescent="0.4">
      <c r="A2" s="256"/>
      <c r="B2" s="9" t="s">
        <v>1</v>
      </c>
      <c r="C2" s="96" t="s">
        <v>29</v>
      </c>
      <c r="D2" s="51" t="s">
        <v>20</v>
      </c>
      <c r="E2" s="109" t="s">
        <v>36</v>
      </c>
      <c r="F2" s="77" t="s">
        <v>3</v>
      </c>
      <c r="G2" s="78" t="s">
        <v>37</v>
      </c>
      <c r="H2" s="173" t="s">
        <v>60</v>
      </c>
      <c r="I2" s="87" t="s">
        <v>44</v>
      </c>
      <c r="J2" s="110" t="s">
        <v>42</v>
      </c>
      <c r="K2" s="88" t="s">
        <v>43</v>
      </c>
      <c r="L2" s="93" t="s">
        <v>61</v>
      </c>
      <c r="M2" s="111" t="s">
        <v>32</v>
      </c>
      <c r="N2" s="94" t="s">
        <v>40</v>
      </c>
      <c r="O2" s="100" t="s">
        <v>48</v>
      </c>
      <c r="P2" s="95" t="s">
        <v>45</v>
      </c>
      <c r="Q2" s="95" t="s">
        <v>46</v>
      </c>
      <c r="R2" s="95" t="s">
        <v>47</v>
      </c>
      <c r="S2" s="102" t="s">
        <v>49</v>
      </c>
      <c r="T2" s="182" t="s">
        <v>58</v>
      </c>
      <c r="U2" s="85" t="s">
        <v>17</v>
      </c>
      <c r="V2" s="86" t="s">
        <v>10</v>
      </c>
      <c r="W2" s="79" t="s">
        <v>15</v>
      </c>
      <c r="X2" s="41" t="s">
        <v>16</v>
      </c>
      <c r="Y2" s="41" t="s">
        <v>19</v>
      </c>
      <c r="Z2" s="27"/>
      <c r="AA2" s="189"/>
    </row>
    <row r="3" spans="1:27" s="2" customFormat="1" ht="6.75" customHeight="1" thickBot="1" x14ac:dyDescent="0.4">
      <c r="A3" s="257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27" ht="15.75" customHeight="1" thickBot="1" x14ac:dyDescent="0.4">
      <c r="A4" s="258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59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60" t="s">
        <v>5</v>
      </c>
      <c r="B6" s="3" t="s">
        <v>67</v>
      </c>
      <c r="C6" s="4"/>
      <c r="D6" s="52">
        <v>8102062</v>
      </c>
      <c r="E6" s="98">
        <v>45148</v>
      </c>
      <c r="F6" s="44" t="s">
        <v>21</v>
      </c>
      <c r="G6" s="61">
        <v>45019</v>
      </c>
      <c r="H6" s="177" t="s">
        <v>139</v>
      </c>
      <c r="I6" s="42"/>
      <c r="J6" s="28"/>
      <c r="K6" s="28"/>
      <c r="L6" s="28"/>
      <c r="M6" s="28"/>
      <c r="N6" s="42"/>
      <c r="O6" s="28"/>
      <c r="P6" s="42"/>
      <c r="Q6" s="7"/>
      <c r="R6" s="43"/>
      <c r="S6" s="42">
        <v>-244</v>
      </c>
      <c r="T6" s="43">
        <v>-40</v>
      </c>
      <c r="U6" s="32">
        <v>-25.01</v>
      </c>
      <c r="V6" s="53">
        <f t="shared" ref="V6:V73" si="0">SUM(I6:U6)</f>
        <v>-309.01</v>
      </c>
      <c r="W6" s="64" t="s">
        <v>26</v>
      </c>
      <c r="X6" s="2" t="s">
        <v>5</v>
      </c>
      <c r="Y6" s="65" t="s">
        <v>136</v>
      </c>
      <c r="Z6" s="128" t="s">
        <v>138</v>
      </c>
      <c r="AA6" s="189"/>
    </row>
    <row r="7" spans="1:27" s="2" customFormat="1" ht="14.1" customHeight="1" x14ac:dyDescent="0.35">
      <c r="A7" s="260" t="s">
        <v>39</v>
      </c>
      <c r="B7" s="3" t="s">
        <v>70</v>
      </c>
      <c r="C7" s="4"/>
      <c r="D7" s="52">
        <v>9132103</v>
      </c>
      <c r="E7" s="98">
        <v>45182</v>
      </c>
      <c r="F7" s="44" t="s">
        <v>21</v>
      </c>
      <c r="G7" s="61">
        <v>45019</v>
      </c>
      <c r="H7" s="177" t="s">
        <v>141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-65</v>
      </c>
      <c r="T7" s="43"/>
      <c r="U7" s="32">
        <v>-5.36</v>
      </c>
      <c r="V7" s="53">
        <f t="shared" si="0"/>
        <v>-70.36</v>
      </c>
      <c r="W7" s="64" t="s">
        <v>26</v>
      </c>
      <c r="X7" s="2" t="s">
        <v>5</v>
      </c>
      <c r="Y7" s="65" t="s">
        <v>136</v>
      </c>
      <c r="Z7" s="128" t="s">
        <v>138</v>
      </c>
      <c r="AA7" s="189"/>
    </row>
    <row r="8" spans="1:27" s="2" customFormat="1" ht="14.1" customHeight="1" x14ac:dyDescent="0.35">
      <c r="A8" s="260" t="s">
        <v>8</v>
      </c>
      <c r="B8" s="3" t="s">
        <v>68</v>
      </c>
      <c r="C8" s="4" t="s">
        <v>75</v>
      </c>
      <c r="D8" s="52">
        <v>10012051</v>
      </c>
      <c r="E8" s="98">
        <v>45200</v>
      </c>
      <c r="F8" s="44" t="s">
        <v>40</v>
      </c>
      <c r="G8" s="61">
        <v>45019</v>
      </c>
      <c r="H8" s="177" t="s">
        <v>140</v>
      </c>
      <c r="I8" s="42"/>
      <c r="J8" s="28"/>
      <c r="K8" s="28"/>
      <c r="L8" s="28"/>
      <c r="M8" s="28"/>
      <c r="N8" s="42">
        <v>-88</v>
      </c>
      <c r="O8" s="28"/>
      <c r="P8" s="42"/>
      <c r="Q8" s="7"/>
      <c r="R8" s="43"/>
      <c r="S8" s="42"/>
      <c r="T8" s="43"/>
      <c r="U8" s="32"/>
      <c r="V8" s="53">
        <f t="shared" ref="V8:V9" si="1">SUM(I8:U8)</f>
        <v>-88</v>
      </c>
      <c r="W8" s="64" t="s">
        <v>26</v>
      </c>
      <c r="X8" s="2" t="s">
        <v>5</v>
      </c>
      <c r="Y8" s="65" t="s">
        <v>136</v>
      </c>
      <c r="Z8" s="128" t="s">
        <v>138</v>
      </c>
      <c r="AA8" s="189"/>
    </row>
    <row r="9" spans="1:27" s="2" customFormat="1" ht="14.1" customHeight="1" x14ac:dyDescent="0.35">
      <c r="A9" s="260" t="s">
        <v>8</v>
      </c>
      <c r="B9" s="3" t="s">
        <v>72</v>
      </c>
      <c r="C9" s="4"/>
      <c r="D9" s="52">
        <v>10212051</v>
      </c>
      <c r="E9" s="98">
        <v>45220</v>
      </c>
      <c r="F9" s="44" t="s">
        <v>40</v>
      </c>
      <c r="G9" s="61">
        <v>45019</v>
      </c>
      <c r="H9" s="177" t="s">
        <v>142</v>
      </c>
      <c r="I9" s="42"/>
      <c r="J9" s="28"/>
      <c r="K9" s="28"/>
      <c r="L9" s="28"/>
      <c r="M9" s="28"/>
      <c r="N9" s="42">
        <v>-450</v>
      </c>
      <c r="O9" s="28">
        <v>-500</v>
      </c>
      <c r="P9" s="42"/>
      <c r="Q9" s="7"/>
      <c r="R9" s="43"/>
      <c r="S9" s="42"/>
      <c r="T9" s="43"/>
      <c r="U9" s="32"/>
      <c r="V9" s="53">
        <f t="shared" si="1"/>
        <v>-950</v>
      </c>
      <c r="W9" s="64" t="s">
        <v>26</v>
      </c>
      <c r="X9" s="2" t="s">
        <v>5</v>
      </c>
      <c r="Y9" s="65" t="s">
        <v>136</v>
      </c>
      <c r="Z9" s="128" t="s">
        <v>138</v>
      </c>
      <c r="AA9" s="189"/>
    </row>
    <row r="10" spans="1:27" s="2" customFormat="1" ht="14.1" customHeight="1" x14ac:dyDescent="0.35">
      <c r="A10" s="260" t="s">
        <v>38</v>
      </c>
      <c r="B10" s="3" t="s">
        <v>73</v>
      </c>
      <c r="C10" s="4"/>
      <c r="D10" s="52">
        <v>10212052</v>
      </c>
      <c r="E10" s="98">
        <v>45221</v>
      </c>
      <c r="F10" s="44" t="s">
        <v>40</v>
      </c>
      <c r="G10" s="61">
        <v>45019</v>
      </c>
      <c r="H10" s="177" t="s">
        <v>139</v>
      </c>
      <c r="I10" s="42"/>
      <c r="J10" s="28"/>
      <c r="K10" s="28"/>
      <c r="L10" s="28"/>
      <c r="M10" s="28"/>
      <c r="N10" s="42">
        <v>-495</v>
      </c>
      <c r="O10" s="28"/>
      <c r="P10" s="42"/>
      <c r="Q10" s="7"/>
      <c r="R10" s="43"/>
      <c r="S10" s="42"/>
      <c r="T10" s="43"/>
      <c r="U10" s="32"/>
      <c r="V10" s="53">
        <f t="shared" si="0"/>
        <v>-495</v>
      </c>
      <c r="W10" s="64" t="s">
        <v>26</v>
      </c>
      <c r="X10" s="2" t="s">
        <v>5</v>
      </c>
      <c r="Y10" s="65" t="s">
        <v>136</v>
      </c>
      <c r="Z10" s="128" t="s">
        <v>138</v>
      </c>
      <c r="AA10" s="189"/>
    </row>
    <row r="11" spans="1:27" s="2" customFormat="1" ht="14.1" customHeight="1" x14ac:dyDescent="0.35">
      <c r="A11" s="260" t="s">
        <v>38</v>
      </c>
      <c r="B11" s="3" t="s">
        <v>73</v>
      </c>
      <c r="C11" s="4" t="s">
        <v>143</v>
      </c>
      <c r="D11" s="52">
        <v>10212053</v>
      </c>
      <c r="E11" s="98">
        <v>45221</v>
      </c>
      <c r="F11" s="44" t="s">
        <v>40</v>
      </c>
      <c r="G11" s="61">
        <v>45019</v>
      </c>
      <c r="H11" s="177" t="s">
        <v>139</v>
      </c>
      <c r="I11" s="42"/>
      <c r="J11" s="28"/>
      <c r="K11" s="28"/>
      <c r="L11" s="28"/>
      <c r="M11" s="28"/>
      <c r="N11" s="42">
        <v>-495</v>
      </c>
      <c r="O11" s="28"/>
      <c r="P11" s="42"/>
      <c r="Q11" s="7"/>
      <c r="R11" s="43"/>
      <c r="S11" s="42"/>
      <c r="T11" s="43"/>
      <c r="U11" s="32"/>
      <c r="V11" s="53">
        <f t="shared" si="0"/>
        <v>-495</v>
      </c>
      <c r="W11" s="64" t="s">
        <v>26</v>
      </c>
      <c r="X11" s="2" t="s">
        <v>5</v>
      </c>
      <c r="Y11" s="65" t="s">
        <v>136</v>
      </c>
      <c r="Z11" s="128" t="s">
        <v>138</v>
      </c>
      <c r="AA11" s="189"/>
    </row>
    <row r="12" spans="1:27" s="2" customFormat="1" ht="14.1" customHeight="1" x14ac:dyDescent="0.35">
      <c r="A12" s="260" t="s">
        <v>8</v>
      </c>
      <c r="B12" s="3" t="s">
        <v>68</v>
      </c>
      <c r="C12" s="4" t="s">
        <v>75</v>
      </c>
      <c r="D12" s="52">
        <v>11012051</v>
      </c>
      <c r="E12" s="98">
        <v>45231</v>
      </c>
      <c r="F12" s="44" t="s">
        <v>40</v>
      </c>
      <c r="G12" s="61">
        <v>45019</v>
      </c>
      <c r="H12" s="177" t="s">
        <v>69</v>
      </c>
      <c r="I12" s="42"/>
      <c r="J12" s="28"/>
      <c r="K12" s="28"/>
      <c r="L12" s="28"/>
      <c r="M12" s="28"/>
      <c r="N12" s="42">
        <v>-88</v>
      </c>
      <c r="O12" s="28"/>
      <c r="P12" s="42"/>
      <c r="Q12" s="7"/>
      <c r="R12" s="43"/>
      <c r="S12" s="42"/>
      <c r="T12" s="43"/>
      <c r="U12" s="32"/>
      <c r="V12" s="53">
        <f>SUM(I12:U12)</f>
        <v>-88</v>
      </c>
      <c r="W12" s="64" t="s">
        <v>26</v>
      </c>
      <c r="X12" s="2" t="s">
        <v>5</v>
      </c>
      <c r="Y12" s="65" t="s">
        <v>136</v>
      </c>
      <c r="Z12" s="128" t="s">
        <v>138</v>
      </c>
      <c r="AA12" s="189"/>
    </row>
    <row r="13" spans="1:27" s="2" customFormat="1" ht="14.1" customHeight="1" x14ac:dyDescent="0.35">
      <c r="A13" s="260" t="s">
        <v>38</v>
      </c>
      <c r="B13" s="3" t="s">
        <v>144</v>
      </c>
      <c r="C13" s="4"/>
      <c r="D13" s="52">
        <v>11072261</v>
      </c>
      <c r="E13" s="98">
        <v>45237</v>
      </c>
      <c r="F13" s="44" t="s">
        <v>145</v>
      </c>
      <c r="G13" s="61">
        <v>45020</v>
      </c>
      <c r="H13" s="177" t="s">
        <v>146</v>
      </c>
      <c r="I13" s="42"/>
      <c r="J13" s="28"/>
      <c r="K13" s="28"/>
      <c r="L13" s="28"/>
      <c r="M13" s="28"/>
      <c r="N13" s="42"/>
      <c r="O13" s="28"/>
      <c r="P13" s="42"/>
      <c r="Q13" s="7">
        <v>180</v>
      </c>
      <c r="R13" s="43"/>
      <c r="S13" s="42"/>
      <c r="T13" s="43"/>
      <c r="U13" s="32"/>
      <c r="V13" s="53">
        <f t="shared" si="0"/>
        <v>180</v>
      </c>
      <c r="W13" s="64" t="s">
        <v>26</v>
      </c>
      <c r="X13" s="2" t="s">
        <v>5</v>
      </c>
      <c r="Y13" s="65" t="s">
        <v>136</v>
      </c>
      <c r="Z13" s="128" t="s">
        <v>149</v>
      </c>
      <c r="AA13" s="189"/>
    </row>
    <row r="14" spans="1:27" s="2" customFormat="1" ht="14.1" customHeight="1" x14ac:dyDescent="0.35">
      <c r="A14" s="260" t="s">
        <v>39</v>
      </c>
      <c r="B14" s="3" t="s">
        <v>76</v>
      </c>
      <c r="C14" s="4"/>
      <c r="D14" s="52">
        <v>11162102</v>
      </c>
      <c r="E14" s="98">
        <v>45246</v>
      </c>
      <c r="F14" s="44" t="s">
        <v>21</v>
      </c>
      <c r="G14" s="61">
        <v>45019</v>
      </c>
      <c r="H14" s="177" t="s">
        <v>142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-415</v>
      </c>
      <c r="T14" s="43">
        <v>-50</v>
      </c>
      <c r="U14" s="32">
        <v>-34.24</v>
      </c>
      <c r="V14" s="53">
        <f t="shared" si="0"/>
        <v>-499.24</v>
      </c>
      <c r="W14" s="64" t="s">
        <v>26</v>
      </c>
      <c r="X14" s="2" t="s">
        <v>5</v>
      </c>
      <c r="Y14" s="65" t="s">
        <v>136</v>
      </c>
      <c r="Z14" s="128" t="s">
        <v>138</v>
      </c>
      <c r="AA14" s="189"/>
    </row>
    <row r="15" spans="1:27" s="2" customFormat="1" ht="14.1" customHeight="1" x14ac:dyDescent="0.35">
      <c r="A15" s="260" t="s">
        <v>14</v>
      </c>
      <c r="B15" s="3" t="s">
        <v>77</v>
      </c>
      <c r="C15" s="4"/>
      <c r="D15" s="52">
        <v>12052052</v>
      </c>
      <c r="E15" s="98">
        <v>45282</v>
      </c>
      <c r="F15" s="44" t="s">
        <v>40</v>
      </c>
      <c r="G15" s="61">
        <v>45019</v>
      </c>
      <c r="H15" s="177" t="s">
        <v>137</v>
      </c>
      <c r="I15" s="42"/>
      <c r="J15" s="28"/>
      <c r="K15" s="28"/>
      <c r="L15" s="28"/>
      <c r="M15" s="28"/>
      <c r="N15" s="42">
        <v>-850</v>
      </c>
      <c r="O15" s="28"/>
      <c r="P15" s="42"/>
      <c r="Q15" s="7"/>
      <c r="R15" s="43"/>
      <c r="S15" s="42"/>
      <c r="T15" s="43"/>
      <c r="U15" s="32"/>
      <c r="V15" s="53">
        <f t="shared" si="0"/>
        <v>-850</v>
      </c>
      <c r="W15" s="64" t="s">
        <v>26</v>
      </c>
      <c r="X15" s="2" t="s">
        <v>5</v>
      </c>
      <c r="Y15" s="65" t="s">
        <v>136</v>
      </c>
      <c r="Z15" s="128" t="s">
        <v>138</v>
      </c>
      <c r="AA15" s="189"/>
    </row>
    <row r="16" spans="1:27" s="2" customFormat="1" ht="14.1" customHeight="1" x14ac:dyDescent="0.35">
      <c r="A16" s="260" t="s">
        <v>8</v>
      </c>
      <c r="B16" s="3" t="s">
        <v>68</v>
      </c>
      <c r="C16" s="4" t="s">
        <v>75</v>
      </c>
      <c r="D16" s="52">
        <v>4013051</v>
      </c>
      <c r="E16" s="98">
        <v>45017</v>
      </c>
      <c r="F16" s="44" t="s">
        <v>40</v>
      </c>
      <c r="G16" s="61">
        <v>45019</v>
      </c>
      <c r="H16" s="177" t="s">
        <v>147</v>
      </c>
      <c r="I16" s="42"/>
      <c r="J16" s="28"/>
      <c r="K16" s="28"/>
      <c r="L16" s="28"/>
      <c r="M16" s="28"/>
      <c r="N16" s="42">
        <v>88</v>
      </c>
      <c r="O16" s="28"/>
      <c r="P16" s="42"/>
      <c r="Q16" s="7"/>
      <c r="R16" s="43"/>
      <c r="S16" s="42"/>
      <c r="T16" s="43"/>
      <c r="U16" s="32"/>
      <c r="V16" s="53">
        <f t="shared" si="0"/>
        <v>88</v>
      </c>
      <c r="W16" s="64" t="s">
        <v>26</v>
      </c>
      <c r="X16" s="2" t="s">
        <v>8</v>
      </c>
      <c r="Y16" s="65" t="s">
        <v>136</v>
      </c>
      <c r="Z16" s="128" t="s">
        <v>188</v>
      </c>
      <c r="AA16" s="189"/>
    </row>
    <row r="17" spans="1:27" s="2" customFormat="1" ht="14.1" customHeight="1" x14ac:dyDescent="0.35">
      <c r="A17" s="260" t="s">
        <v>6</v>
      </c>
      <c r="B17" s="3" t="s">
        <v>148</v>
      </c>
      <c r="C17" s="4"/>
      <c r="D17" s="52">
        <v>4013052</v>
      </c>
      <c r="E17" s="98">
        <v>45017</v>
      </c>
      <c r="F17" s="44" t="s">
        <v>40</v>
      </c>
      <c r="G17" s="61">
        <v>45019</v>
      </c>
      <c r="H17" s="177" t="s">
        <v>147</v>
      </c>
      <c r="I17" s="42"/>
      <c r="J17" s="28"/>
      <c r="K17" s="28"/>
      <c r="L17" s="28"/>
      <c r="M17" s="28"/>
      <c r="N17" s="42">
        <v>49</v>
      </c>
      <c r="O17" s="28"/>
      <c r="P17" s="42"/>
      <c r="Q17" s="7"/>
      <c r="R17" s="43"/>
      <c r="S17" s="42"/>
      <c r="T17" s="43"/>
      <c r="U17" s="32"/>
      <c r="V17" s="53">
        <f t="shared" si="0"/>
        <v>49</v>
      </c>
      <c r="W17" s="64" t="s">
        <v>26</v>
      </c>
      <c r="X17" s="2" t="s">
        <v>14</v>
      </c>
      <c r="Y17" s="65" t="s">
        <v>136</v>
      </c>
      <c r="Z17" s="128" t="s">
        <v>149</v>
      </c>
      <c r="AA17" s="189"/>
    </row>
    <row r="18" spans="1:27" s="2" customFormat="1" ht="14.1" customHeight="1" x14ac:dyDescent="0.35">
      <c r="A18" s="260" t="s">
        <v>39</v>
      </c>
      <c r="B18" s="3" t="s">
        <v>150</v>
      </c>
      <c r="C18" s="4"/>
      <c r="D18" s="52">
        <v>4013053</v>
      </c>
      <c r="E18" s="98">
        <v>45017</v>
      </c>
      <c r="F18" s="44" t="s">
        <v>64</v>
      </c>
      <c r="G18" s="61">
        <v>45019</v>
      </c>
      <c r="H18" s="177" t="s">
        <v>142</v>
      </c>
      <c r="I18" s="42"/>
      <c r="J18" s="28">
        <v>99</v>
      </c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>
        <v>7.67</v>
      </c>
      <c r="V18" s="53">
        <f t="shared" si="0"/>
        <v>106.67</v>
      </c>
      <c r="W18" s="64" t="s">
        <v>26</v>
      </c>
      <c r="X18" s="2" t="s">
        <v>39</v>
      </c>
      <c r="Y18" s="65" t="s">
        <v>136</v>
      </c>
      <c r="Z18" s="128" t="s">
        <v>149</v>
      </c>
      <c r="AA18" s="189"/>
    </row>
    <row r="19" spans="1:27" s="2" customFormat="1" ht="14.1" customHeight="1" x14ac:dyDescent="0.35">
      <c r="A19" s="260" t="s">
        <v>151</v>
      </c>
      <c r="B19" s="3" t="s">
        <v>152</v>
      </c>
      <c r="C19" s="4"/>
      <c r="D19" s="52">
        <v>4013054</v>
      </c>
      <c r="E19" s="98">
        <v>45017</v>
      </c>
      <c r="F19" s="44" t="s">
        <v>40</v>
      </c>
      <c r="G19" s="61">
        <v>45019</v>
      </c>
      <c r="H19" s="177" t="s">
        <v>147</v>
      </c>
      <c r="I19" s="42"/>
      <c r="J19" s="28"/>
      <c r="K19" s="28"/>
      <c r="L19" s="28"/>
      <c r="M19" s="28"/>
      <c r="N19" s="42">
        <v>69</v>
      </c>
      <c r="O19" s="28"/>
      <c r="P19" s="42"/>
      <c r="Q19" s="7"/>
      <c r="R19" s="43"/>
      <c r="S19" s="42"/>
      <c r="T19" s="43"/>
      <c r="U19" s="32"/>
      <c r="V19" s="53">
        <f t="shared" si="0"/>
        <v>69</v>
      </c>
      <c r="W19" s="64" t="s">
        <v>26</v>
      </c>
      <c r="X19" s="2" t="s">
        <v>14</v>
      </c>
      <c r="Y19" s="65" t="s">
        <v>136</v>
      </c>
      <c r="Z19" s="128" t="s">
        <v>149</v>
      </c>
      <c r="AA19" s="189"/>
    </row>
    <row r="20" spans="1:27" s="2" customFormat="1" ht="14.1" customHeight="1" x14ac:dyDescent="0.35">
      <c r="A20" s="260" t="s">
        <v>39</v>
      </c>
      <c r="B20" s="3" t="s">
        <v>153</v>
      </c>
      <c r="C20" s="4"/>
      <c r="D20" s="52">
        <v>40333101</v>
      </c>
      <c r="E20" s="98">
        <v>45019</v>
      </c>
      <c r="F20" s="44" t="s">
        <v>154</v>
      </c>
      <c r="G20" s="61">
        <v>45019</v>
      </c>
      <c r="H20" s="177" t="s">
        <v>147</v>
      </c>
      <c r="I20" s="42">
        <v>375</v>
      </c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>
        <v>38.44</v>
      </c>
      <c r="V20" s="53">
        <f t="shared" si="0"/>
        <v>413.44</v>
      </c>
      <c r="W20" s="64" t="s">
        <v>34</v>
      </c>
      <c r="X20" s="2" t="s">
        <v>155</v>
      </c>
      <c r="Y20" s="65" t="s">
        <v>136</v>
      </c>
      <c r="Z20" s="128" t="s">
        <v>149</v>
      </c>
      <c r="AA20" s="189"/>
    </row>
    <row r="21" spans="1:27" s="2" customFormat="1" ht="14.1" customHeight="1" x14ac:dyDescent="0.35">
      <c r="A21" s="260" t="s">
        <v>39</v>
      </c>
      <c r="B21" s="3" t="s">
        <v>156</v>
      </c>
      <c r="C21" s="4"/>
      <c r="D21" s="52">
        <v>4033103</v>
      </c>
      <c r="E21" s="98">
        <v>45019</v>
      </c>
      <c r="F21" s="44" t="s">
        <v>21</v>
      </c>
      <c r="G21" s="61">
        <v>45019</v>
      </c>
      <c r="H21" s="177" t="s">
        <v>157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39</v>
      </c>
      <c r="T21" s="43">
        <v>12.5</v>
      </c>
      <c r="U21" s="32">
        <v>3.71</v>
      </c>
      <c r="V21" s="53">
        <f t="shared" si="0"/>
        <v>55.21</v>
      </c>
      <c r="W21" s="64" t="s">
        <v>115</v>
      </c>
      <c r="X21" s="2" t="s">
        <v>59</v>
      </c>
      <c r="Y21" s="65" t="s">
        <v>136</v>
      </c>
      <c r="Z21" s="128" t="s">
        <v>149</v>
      </c>
      <c r="AA21" s="189"/>
    </row>
    <row r="22" spans="1:27" s="2" customFormat="1" ht="14.1" customHeight="1" x14ac:dyDescent="0.35">
      <c r="A22" s="260" t="s">
        <v>39</v>
      </c>
      <c r="B22" s="3" t="s">
        <v>62</v>
      </c>
      <c r="C22" s="4" t="s">
        <v>158</v>
      </c>
      <c r="D22" s="52">
        <v>4033104</v>
      </c>
      <c r="E22" s="98">
        <v>45019</v>
      </c>
      <c r="F22" s="44" t="s">
        <v>21</v>
      </c>
      <c r="G22" s="61">
        <v>45019</v>
      </c>
      <c r="H22" s="177" t="s">
        <v>159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>
        <v>65</v>
      </c>
      <c r="T22" s="43">
        <v>12.5</v>
      </c>
      <c r="U22" s="32">
        <v>5.04</v>
      </c>
      <c r="V22" s="53">
        <f t="shared" si="0"/>
        <v>82.54</v>
      </c>
      <c r="W22" s="64" t="s">
        <v>115</v>
      </c>
      <c r="X22" s="2" t="s">
        <v>59</v>
      </c>
      <c r="Y22" s="65" t="s">
        <v>18</v>
      </c>
      <c r="Z22" s="128"/>
      <c r="AA22" s="189"/>
    </row>
    <row r="23" spans="1:27" s="2" customFormat="1" ht="13.2" customHeight="1" x14ac:dyDescent="0.35">
      <c r="A23" s="260" t="s">
        <v>39</v>
      </c>
      <c r="B23" s="3" t="s">
        <v>160</v>
      </c>
      <c r="C23" s="4"/>
      <c r="D23" s="52">
        <v>3073101</v>
      </c>
      <c r="E23" s="98">
        <v>44992</v>
      </c>
      <c r="F23" s="44" t="s">
        <v>21</v>
      </c>
      <c r="G23" s="61">
        <v>45020</v>
      </c>
      <c r="H23" s="177" t="s">
        <v>161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120</v>
      </c>
      <c r="T23" s="43">
        <v>25</v>
      </c>
      <c r="U23" s="32"/>
      <c r="V23" s="53">
        <f t="shared" si="0"/>
        <v>145</v>
      </c>
      <c r="W23" s="64" t="s">
        <v>115</v>
      </c>
      <c r="X23" s="2" t="s">
        <v>59</v>
      </c>
      <c r="Y23" s="65" t="s">
        <v>136</v>
      </c>
      <c r="Z23" s="128" t="s">
        <v>149</v>
      </c>
      <c r="AA23" s="189"/>
    </row>
    <row r="24" spans="1:27" s="2" customFormat="1" ht="13.2" customHeight="1" x14ac:dyDescent="0.35">
      <c r="A24" s="260" t="s">
        <v>39</v>
      </c>
      <c r="B24" s="3" t="s">
        <v>167</v>
      </c>
      <c r="C24" s="4"/>
      <c r="D24" s="52">
        <v>4033105</v>
      </c>
      <c r="E24" s="98">
        <v>45019</v>
      </c>
      <c r="F24" s="44" t="s">
        <v>21</v>
      </c>
      <c r="G24" s="61">
        <v>45020</v>
      </c>
      <c r="H24" s="177" t="s">
        <v>139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100</v>
      </c>
      <c r="T24" s="43">
        <v>25</v>
      </c>
      <c r="U24" s="32">
        <v>10.25</v>
      </c>
      <c r="V24" s="53">
        <f t="shared" si="0"/>
        <v>135.25</v>
      </c>
      <c r="W24" s="64" t="s">
        <v>115</v>
      </c>
      <c r="X24" s="2" t="s">
        <v>59</v>
      </c>
      <c r="Y24" s="65" t="s">
        <v>136</v>
      </c>
      <c r="Z24" s="128" t="s">
        <v>149</v>
      </c>
      <c r="AA24" s="189"/>
    </row>
    <row r="25" spans="1:27" s="2" customFormat="1" ht="13.2" customHeight="1" x14ac:dyDescent="0.35">
      <c r="A25" s="260" t="s">
        <v>39</v>
      </c>
      <c r="B25" s="3" t="s">
        <v>162</v>
      </c>
      <c r="C25" s="4"/>
      <c r="D25" s="52">
        <v>4043101</v>
      </c>
      <c r="E25" s="98">
        <v>45020</v>
      </c>
      <c r="F25" s="44" t="s">
        <v>21</v>
      </c>
      <c r="G25" s="61">
        <v>45020</v>
      </c>
      <c r="H25" s="177" t="s">
        <v>142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169</v>
      </c>
      <c r="T25" s="43">
        <v>37.5</v>
      </c>
      <c r="U25" s="32">
        <v>13.1</v>
      </c>
      <c r="V25" s="53">
        <f t="shared" ref="V25:V68" si="2">SUM(I25:U25)</f>
        <v>219.6</v>
      </c>
      <c r="W25" s="64" t="s">
        <v>115</v>
      </c>
      <c r="X25" s="2" t="s">
        <v>59</v>
      </c>
      <c r="Y25" s="65" t="s">
        <v>136</v>
      </c>
      <c r="Z25" s="128" t="s">
        <v>200</v>
      </c>
      <c r="AA25" s="189"/>
    </row>
    <row r="26" spans="1:27" s="2" customFormat="1" ht="13.2" customHeight="1" x14ac:dyDescent="0.35">
      <c r="A26" s="260" t="s">
        <v>39</v>
      </c>
      <c r="B26" s="3" t="s">
        <v>163</v>
      </c>
      <c r="C26" s="4"/>
      <c r="D26" s="52">
        <v>4043102</v>
      </c>
      <c r="E26" s="98">
        <v>45020</v>
      </c>
      <c r="F26" s="44" t="s">
        <v>21</v>
      </c>
      <c r="G26" s="61">
        <v>45020</v>
      </c>
      <c r="H26" s="177" t="s">
        <v>161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130</v>
      </c>
      <c r="T26" s="43">
        <v>25</v>
      </c>
      <c r="U26" s="32">
        <v>11.21</v>
      </c>
      <c r="V26" s="53">
        <f t="shared" si="2"/>
        <v>166.21</v>
      </c>
      <c r="W26" s="64" t="s">
        <v>115</v>
      </c>
      <c r="X26" s="2" t="s">
        <v>59</v>
      </c>
      <c r="Y26" s="65" t="s">
        <v>136</v>
      </c>
      <c r="Z26" s="128" t="s">
        <v>200</v>
      </c>
      <c r="AA26" s="189"/>
    </row>
    <row r="27" spans="1:27" s="2" customFormat="1" ht="13.2" customHeight="1" x14ac:dyDescent="0.35">
      <c r="A27" s="260" t="s">
        <v>39</v>
      </c>
      <c r="B27" s="3" t="s">
        <v>164</v>
      </c>
      <c r="C27" s="4"/>
      <c r="D27" s="52">
        <v>4043103</v>
      </c>
      <c r="E27" s="98">
        <v>45020</v>
      </c>
      <c r="F27" s="44" t="s">
        <v>21</v>
      </c>
      <c r="G27" s="61">
        <v>45020</v>
      </c>
      <c r="H27" s="177" t="s">
        <v>161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155</v>
      </c>
      <c r="T27" s="43">
        <v>37.5</v>
      </c>
      <c r="U27" s="32">
        <v>13.37</v>
      </c>
      <c r="V27" s="53">
        <f t="shared" si="2"/>
        <v>205.87</v>
      </c>
      <c r="W27" s="64" t="s">
        <v>115</v>
      </c>
      <c r="X27" s="2" t="s">
        <v>59</v>
      </c>
      <c r="Y27" s="65" t="s">
        <v>18</v>
      </c>
      <c r="Z27" s="128"/>
      <c r="AA27" s="189"/>
    </row>
    <row r="28" spans="1:27" s="2" customFormat="1" ht="13.2" customHeight="1" x14ac:dyDescent="0.35">
      <c r="A28" s="260" t="s">
        <v>39</v>
      </c>
      <c r="B28" s="3" t="s">
        <v>62</v>
      </c>
      <c r="C28" s="4" t="s">
        <v>165</v>
      </c>
      <c r="D28" s="52">
        <v>4043104</v>
      </c>
      <c r="E28" s="98">
        <v>45020</v>
      </c>
      <c r="F28" s="44" t="s">
        <v>21</v>
      </c>
      <c r="G28" s="61">
        <v>45020</v>
      </c>
      <c r="H28" s="177" t="s">
        <v>166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110</v>
      </c>
      <c r="T28" s="43">
        <v>25</v>
      </c>
      <c r="U28" s="32">
        <v>10.59</v>
      </c>
      <c r="V28" s="53">
        <f t="shared" si="2"/>
        <v>145.59</v>
      </c>
      <c r="W28" s="64" t="s">
        <v>115</v>
      </c>
      <c r="X28" s="2" t="s">
        <v>59</v>
      </c>
      <c r="Y28" s="65" t="s">
        <v>18</v>
      </c>
      <c r="Z28" s="128"/>
      <c r="AA28" s="189"/>
    </row>
    <row r="29" spans="1:27" s="2" customFormat="1" ht="13.2" customHeight="1" x14ac:dyDescent="0.35">
      <c r="A29" s="260" t="s">
        <v>39</v>
      </c>
      <c r="B29" s="3" t="s">
        <v>168</v>
      </c>
      <c r="C29" s="4"/>
      <c r="D29" s="52">
        <v>4043105</v>
      </c>
      <c r="E29" s="98">
        <v>45020</v>
      </c>
      <c r="F29" s="44" t="s">
        <v>21</v>
      </c>
      <c r="G29" s="61">
        <v>45020</v>
      </c>
      <c r="H29" s="177" t="s">
        <v>142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243</v>
      </c>
      <c r="T29" s="43">
        <v>62.5</v>
      </c>
      <c r="U29" s="32">
        <v>18.829999999999998</v>
      </c>
      <c r="V29" s="53">
        <f t="shared" si="2"/>
        <v>324.33</v>
      </c>
      <c r="W29" s="64" t="s">
        <v>115</v>
      </c>
      <c r="X29" s="2" t="s">
        <v>59</v>
      </c>
      <c r="Y29" s="65" t="s">
        <v>136</v>
      </c>
      <c r="Z29" s="128" t="s">
        <v>149</v>
      </c>
      <c r="AA29" s="189"/>
    </row>
    <row r="30" spans="1:27" s="2" customFormat="1" ht="13.2" customHeight="1" x14ac:dyDescent="0.35">
      <c r="A30" s="260" t="s">
        <v>39</v>
      </c>
      <c r="B30" s="3" t="s">
        <v>169</v>
      </c>
      <c r="C30" s="4"/>
      <c r="D30" s="52">
        <v>4043106</v>
      </c>
      <c r="E30" s="98">
        <v>45020</v>
      </c>
      <c r="F30" s="44" t="s">
        <v>21</v>
      </c>
      <c r="G30" s="61">
        <v>45020</v>
      </c>
      <c r="H30" s="177" t="s">
        <v>161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376</v>
      </c>
      <c r="T30" s="43">
        <v>62.5</v>
      </c>
      <c r="U30" s="32">
        <v>32.43</v>
      </c>
      <c r="V30" s="53">
        <f t="shared" si="2"/>
        <v>470.93</v>
      </c>
      <c r="W30" s="64" t="s">
        <v>115</v>
      </c>
      <c r="X30" s="2" t="s">
        <v>59</v>
      </c>
      <c r="Y30" s="65" t="s">
        <v>136</v>
      </c>
      <c r="Z30" s="128" t="s">
        <v>149</v>
      </c>
      <c r="AA30" s="189"/>
    </row>
    <row r="31" spans="1:27" s="2" customFormat="1" ht="13.2" customHeight="1" x14ac:dyDescent="0.35">
      <c r="A31" s="260" t="s">
        <v>39</v>
      </c>
      <c r="B31" s="3" t="s">
        <v>170</v>
      </c>
      <c r="C31" s="4"/>
      <c r="D31" s="52">
        <v>3273103</v>
      </c>
      <c r="E31" s="98">
        <v>45012</v>
      </c>
      <c r="F31" s="44" t="s">
        <v>171</v>
      </c>
      <c r="G31" s="61">
        <v>45020</v>
      </c>
      <c r="H31" s="177" t="s">
        <v>161</v>
      </c>
      <c r="I31" s="42">
        <v>1470</v>
      </c>
      <c r="J31" s="28"/>
      <c r="K31" s="28">
        <v>720</v>
      </c>
      <c r="L31" s="28"/>
      <c r="M31" s="28"/>
      <c r="N31" s="42"/>
      <c r="O31" s="28"/>
      <c r="P31" s="42"/>
      <c r="Q31" s="7"/>
      <c r="R31" s="43"/>
      <c r="S31" s="42"/>
      <c r="T31" s="43"/>
      <c r="U31" s="32">
        <v>126.79</v>
      </c>
      <c r="V31" s="53">
        <f t="shared" si="2"/>
        <v>2316.79</v>
      </c>
      <c r="W31" s="64" t="s">
        <v>7</v>
      </c>
      <c r="X31" s="2" t="s">
        <v>38</v>
      </c>
      <c r="Y31" s="65" t="s">
        <v>136</v>
      </c>
      <c r="Z31" s="128" t="s">
        <v>149</v>
      </c>
      <c r="AA31" s="189"/>
    </row>
    <row r="32" spans="1:27" s="2" customFormat="1" ht="13.2" customHeight="1" x14ac:dyDescent="0.35">
      <c r="A32" s="260" t="s">
        <v>39</v>
      </c>
      <c r="B32" s="3" t="s">
        <v>172</v>
      </c>
      <c r="C32" s="4"/>
      <c r="D32" s="52">
        <v>4053101</v>
      </c>
      <c r="E32" s="98">
        <v>45021</v>
      </c>
      <c r="F32" s="44" t="s">
        <v>21</v>
      </c>
      <c r="G32" s="61">
        <v>45021</v>
      </c>
      <c r="H32" s="177" t="s">
        <v>173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98</v>
      </c>
      <c r="T32" s="43">
        <v>12.5</v>
      </c>
      <c r="U32" s="32">
        <v>8.6999999999999993</v>
      </c>
      <c r="V32" s="53">
        <f t="shared" si="2"/>
        <v>119.2</v>
      </c>
      <c r="W32" s="64" t="s">
        <v>115</v>
      </c>
      <c r="X32" s="2" t="s">
        <v>59</v>
      </c>
      <c r="Y32" s="65" t="s">
        <v>136</v>
      </c>
      <c r="Z32" s="128" t="s">
        <v>200</v>
      </c>
      <c r="AA32" s="189"/>
    </row>
    <row r="33" spans="1:27" s="2" customFormat="1" ht="13.2" customHeight="1" x14ac:dyDescent="0.35">
      <c r="A33" s="260" t="s">
        <v>5</v>
      </c>
      <c r="B33" s="3" t="s">
        <v>35</v>
      </c>
      <c r="C33" s="4"/>
      <c r="D33" s="52">
        <v>4063064</v>
      </c>
      <c r="E33" s="98">
        <v>45022</v>
      </c>
      <c r="F33" s="44" t="s">
        <v>21</v>
      </c>
      <c r="G33" s="61">
        <v>45022</v>
      </c>
      <c r="H33" s="177" t="s">
        <v>174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395</v>
      </c>
      <c r="T33" s="43"/>
      <c r="U33" s="32"/>
      <c r="V33" s="53">
        <f t="shared" si="2"/>
        <v>395</v>
      </c>
      <c r="W33" s="64" t="s">
        <v>115</v>
      </c>
      <c r="X33" s="2" t="s">
        <v>59</v>
      </c>
      <c r="Y33" s="65" t="s">
        <v>18</v>
      </c>
      <c r="Z33" s="128"/>
      <c r="AA33" s="189"/>
    </row>
    <row r="34" spans="1:27" s="2" customFormat="1" ht="13.2" customHeight="1" x14ac:dyDescent="0.35">
      <c r="A34" s="260" t="s">
        <v>39</v>
      </c>
      <c r="B34" s="3" t="s">
        <v>175</v>
      </c>
      <c r="C34" s="4"/>
      <c r="D34" s="52">
        <v>4063102</v>
      </c>
      <c r="E34" s="98">
        <v>45022</v>
      </c>
      <c r="F34" s="44" t="s">
        <v>21</v>
      </c>
      <c r="G34" s="61">
        <v>45022</v>
      </c>
      <c r="H34" s="177" t="s">
        <v>147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58</v>
      </c>
      <c r="T34" s="43"/>
      <c r="U34" s="32">
        <v>5.37</v>
      </c>
      <c r="V34" s="53">
        <f t="shared" si="2"/>
        <v>63.37</v>
      </c>
      <c r="W34" s="64" t="s">
        <v>34</v>
      </c>
      <c r="X34" s="2" t="s">
        <v>176</v>
      </c>
      <c r="Y34" s="65" t="s">
        <v>18</v>
      </c>
      <c r="Z34" s="128"/>
      <c r="AA34" s="189"/>
    </row>
    <row r="35" spans="1:27" s="2" customFormat="1" ht="13.2" customHeight="1" x14ac:dyDescent="0.35">
      <c r="A35" s="260" t="s">
        <v>39</v>
      </c>
      <c r="B35" s="3" t="s">
        <v>177</v>
      </c>
      <c r="C35" s="4"/>
      <c r="D35" s="52">
        <v>4063103</v>
      </c>
      <c r="E35" s="98">
        <v>45022</v>
      </c>
      <c r="F35" s="44" t="s">
        <v>21</v>
      </c>
      <c r="G35" s="61">
        <v>45022</v>
      </c>
      <c r="H35" s="177" t="s">
        <v>139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133</v>
      </c>
      <c r="T35" s="43">
        <v>25</v>
      </c>
      <c r="U35" s="32">
        <v>14.3</v>
      </c>
      <c r="V35" s="53">
        <f t="shared" si="2"/>
        <v>172.3</v>
      </c>
      <c r="W35" s="64" t="s">
        <v>115</v>
      </c>
      <c r="X35" s="2" t="s">
        <v>59</v>
      </c>
      <c r="Y35" s="65" t="s">
        <v>18</v>
      </c>
      <c r="Z35" s="128"/>
      <c r="AA35" s="189"/>
    </row>
    <row r="36" spans="1:27" s="2" customFormat="1" ht="13.2" customHeight="1" x14ac:dyDescent="0.35">
      <c r="A36" s="260" t="s">
        <v>5</v>
      </c>
      <c r="B36" s="3" t="s">
        <v>130</v>
      </c>
      <c r="C36" s="4"/>
      <c r="D36" s="52">
        <v>4073068</v>
      </c>
      <c r="E36" s="98">
        <v>45023</v>
      </c>
      <c r="F36" s="44" t="s">
        <v>178</v>
      </c>
      <c r="G36" s="61">
        <v>45023</v>
      </c>
      <c r="H36" s="177" t="s">
        <v>179</v>
      </c>
      <c r="I36" s="42">
        <v>39000</v>
      </c>
      <c r="J36" s="28"/>
      <c r="K36" s="28"/>
      <c r="L36" s="28"/>
      <c r="M36" s="28"/>
      <c r="N36" s="42"/>
      <c r="O36" s="28"/>
      <c r="P36" s="42"/>
      <c r="Q36" s="7"/>
      <c r="R36" s="43"/>
      <c r="S36" s="42"/>
      <c r="T36" s="43">
        <v>475</v>
      </c>
      <c r="U36" s="32">
        <v>3705</v>
      </c>
      <c r="V36" s="53">
        <f t="shared" si="2"/>
        <v>43180</v>
      </c>
      <c r="W36" s="64" t="s">
        <v>180</v>
      </c>
      <c r="X36" s="2" t="s">
        <v>8</v>
      </c>
      <c r="Y36" s="65" t="s">
        <v>18</v>
      </c>
      <c r="Z36" s="128"/>
      <c r="AA36" s="189"/>
    </row>
    <row r="37" spans="1:27" s="2" customFormat="1" ht="13.2" customHeight="1" x14ac:dyDescent="0.35">
      <c r="A37" s="260" t="s">
        <v>39</v>
      </c>
      <c r="B37" s="3" t="s">
        <v>181</v>
      </c>
      <c r="C37" s="4"/>
      <c r="D37" s="52">
        <v>4033102</v>
      </c>
      <c r="E37" s="98">
        <v>45019</v>
      </c>
      <c r="F37" s="44" t="s">
        <v>182</v>
      </c>
      <c r="G37" s="61">
        <v>45023</v>
      </c>
      <c r="H37" s="177" t="s">
        <v>141</v>
      </c>
      <c r="I37" s="42">
        <v>695</v>
      </c>
      <c r="J37" s="28"/>
      <c r="K37" s="28"/>
      <c r="L37" s="28"/>
      <c r="M37" s="28"/>
      <c r="N37" s="42"/>
      <c r="O37" s="28"/>
      <c r="P37" s="42"/>
      <c r="Q37" s="7">
        <v>180</v>
      </c>
      <c r="R37" s="43"/>
      <c r="S37" s="42"/>
      <c r="T37" s="43"/>
      <c r="U37" s="32">
        <v>62.55</v>
      </c>
      <c r="V37" s="53">
        <f t="shared" si="2"/>
        <v>937.55</v>
      </c>
      <c r="W37" s="64" t="s">
        <v>34</v>
      </c>
      <c r="X37" s="2" t="s">
        <v>183</v>
      </c>
      <c r="Y37" s="65" t="s">
        <v>136</v>
      </c>
      <c r="Z37" s="128" t="s">
        <v>149</v>
      </c>
      <c r="AA37" s="189"/>
    </row>
    <row r="38" spans="1:27" s="2" customFormat="1" ht="13.2" customHeight="1" x14ac:dyDescent="0.35">
      <c r="A38" s="260" t="s">
        <v>39</v>
      </c>
      <c r="B38" s="3" t="s">
        <v>169</v>
      </c>
      <c r="C38" s="4"/>
      <c r="D38" s="52">
        <v>4063104</v>
      </c>
      <c r="E38" s="98">
        <v>45022</v>
      </c>
      <c r="F38" s="44" t="s">
        <v>21</v>
      </c>
      <c r="G38" s="61">
        <v>45022</v>
      </c>
      <c r="H38" s="177" t="s">
        <v>161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90</v>
      </c>
      <c r="T38" s="43">
        <v>25</v>
      </c>
      <c r="U38" s="32">
        <v>7.76</v>
      </c>
      <c r="V38" s="53">
        <f t="shared" si="2"/>
        <v>122.76</v>
      </c>
      <c r="W38" s="64" t="s">
        <v>115</v>
      </c>
      <c r="X38" s="2" t="s">
        <v>59</v>
      </c>
      <c r="Y38" s="65" t="s">
        <v>136</v>
      </c>
      <c r="Z38" s="128" t="s">
        <v>149</v>
      </c>
      <c r="AA38" s="189"/>
    </row>
    <row r="39" spans="1:27" s="2" customFormat="1" ht="13.2" customHeight="1" x14ac:dyDescent="0.35">
      <c r="A39" s="260" t="s">
        <v>39</v>
      </c>
      <c r="B39" s="3" t="s">
        <v>184</v>
      </c>
      <c r="C39" s="4"/>
      <c r="D39" s="52">
        <v>4063105</v>
      </c>
      <c r="E39" s="98">
        <v>45022</v>
      </c>
      <c r="F39" s="44" t="s">
        <v>21</v>
      </c>
      <c r="G39" s="61">
        <v>45023</v>
      </c>
      <c r="H39" s="177" t="s">
        <v>116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129</v>
      </c>
      <c r="T39" s="43">
        <v>37.5</v>
      </c>
      <c r="U39" s="32">
        <v>10.97</v>
      </c>
      <c r="V39" s="53">
        <f t="shared" si="2"/>
        <v>177.47</v>
      </c>
      <c r="W39" s="64" t="s">
        <v>115</v>
      </c>
      <c r="X39" s="2" t="s">
        <v>59</v>
      </c>
      <c r="Y39" s="65" t="s">
        <v>18</v>
      </c>
      <c r="Z39" s="128"/>
      <c r="AA39" s="189"/>
    </row>
    <row r="40" spans="1:27" s="2" customFormat="1" ht="13.2" customHeight="1" x14ac:dyDescent="0.35">
      <c r="A40" s="260" t="s">
        <v>39</v>
      </c>
      <c r="B40" s="3" t="s">
        <v>185</v>
      </c>
      <c r="C40" s="4" t="s">
        <v>186</v>
      </c>
      <c r="D40" s="52">
        <v>4073101</v>
      </c>
      <c r="E40" s="98">
        <v>45023</v>
      </c>
      <c r="F40" s="44" t="s">
        <v>21</v>
      </c>
      <c r="G40" s="61">
        <v>45023</v>
      </c>
      <c r="H40" s="177" t="s">
        <v>139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149</v>
      </c>
      <c r="T40" s="43">
        <v>37.5</v>
      </c>
      <c r="U40" s="32">
        <v>15.27</v>
      </c>
      <c r="V40" s="53">
        <f t="shared" si="2"/>
        <v>201.77</v>
      </c>
      <c r="W40" s="64" t="s">
        <v>115</v>
      </c>
      <c r="X40" s="2" t="s">
        <v>59</v>
      </c>
      <c r="Y40" s="65" t="s">
        <v>18</v>
      </c>
      <c r="Z40" s="128"/>
      <c r="AA40" s="189"/>
    </row>
    <row r="41" spans="1:27" s="2" customFormat="1" ht="13.2" customHeight="1" x14ac:dyDescent="0.35">
      <c r="A41" s="260" t="s">
        <v>5</v>
      </c>
      <c r="B41" s="3" t="s">
        <v>187</v>
      </c>
      <c r="C41" s="4"/>
      <c r="D41" s="52">
        <v>4103051</v>
      </c>
      <c r="E41" s="98">
        <v>45026</v>
      </c>
      <c r="F41" s="44" t="s">
        <v>32</v>
      </c>
      <c r="G41" s="61">
        <v>45026</v>
      </c>
      <c r="H41" s="177" t="s">
        <v>147</v>
      </c>
      <c r="I41" s="42"/>
      <c r="J41" s="28"/>
      <c r="K41" s="28"/>
      <c r="L41" s="28"/>
      <c r="M41" s="28">
        <v>6243.14</v>
      </c>
      <c r="N41" s="42"/>
      <c r="O41" s="28"/>
      <c r="P41" s="42"/>
      <c r="Q41" s="7"/>
      <c r="R41" s="43"/>
      <c r="S41" s="42"/>
      <c r="T41" s="43"/>
      <c r="U41" s="32"/>
      <c r="V41" s="53">
        <f t="shared" si="2"/>
        <v>6243.14</v>
      </c>
      <c r="W41" s="64" t="s">
        <v>26</v>
      </c>
      <c r="X41" s="2" t="s">
        <v>5</v>
      </c>
      <c r="Y41" s="65" t="s">
        <v>136</v>
      </c>
      <c r="Z41" s="128" t="s">
        <v>188</v>
      </c>
      <c r="AA41" s="189"/>
    </row>
    <row r="42" spans="1:27" s="2" customFormat="1" ht="13.2" customHeight="1" x14ac:dyDescent="0.35">
      <c r="A42" s="260" t="s">
        <v>39</v>
      </c>
      <c r="B42" s="3" t="s">
        <v>76</v>
      </c>
      <c r="C42" s="4"/>
      <c r="D42" s="52">
        <v>4103101</v>
      </c>
      <c r="E42" s="98">
        <v>45026</v>
      </c>
      <c r="F42" s="44" t="s">
        <v>21</v>
      </c>
      <c r="G42" s="61">
        <v>45026</v>
      </c>
      <c r="H42" s="177" t="s">
        <v>142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415</v>
      </c>
      <c r="T42" s="43">
        <v>62.5</v>
      </c>
      <c r="U42" s="32">
        <v>34.24</v>
      </c>
      <c r="V42" s="53">
        <f t="shared" si="2"/>
        <v>511.74</v>
      </c>
      <c r="W42" s="64" t="s">
        <v>115</v>
      </c>
      <c r="X42" s="2" t="s">
        <v>59</v>
      </c>
      <c r="Y42" s="65" t="s">
        <v>18</v>
      </c>
      <c r="Z42" s="128"/>
      <c r="AA42" s="189"/>
    </row>
    <row r="43" spans="1:27" s="2" customFormat="1" ht="13.2" customHeight="1" x14ac:dyDescent="0.35">
      <c r="A43" s="260" t="s">
        <v>39</v>
      </c>
      <c r="B43" s="3" t="s">
        <v>189</v>
      </c>
      <c r="C43" s="4"/>
      <c r="D43" s="52">
        <v>4103102</v>
      </c>
      <c r="E43" s="98">
        <v>45026</v>
      </c>
      <c r="F43" s="44" t="s">
        <v>21</v>
      </c>
      <c r="G43" s="61">
        <v>45026</v>
      </c>
      <c r="H43" s="177" t="s">
        <v>157</v>
      </c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>
        <v>65</v>
      </c>
      <c r="T43" s="43">
        <v>12.5</v>
      </c>
      <c r="U43" s="32">
        <v>6.18</v>
      </c>
      <c r="V43" s="53">
        <f t="shared" si="2"/>
        <v>83.68</v>
      </c>
      <c r="W43" s="64" t="s">
        <v>115</v>
      </c>
      <c r="X43" s="2" t="s">
        <v>59</v>
      </c>
      <c r="Y43" s="65" t="s">
        <v>136</v>
      </c>
      <c r="Z43" s="128" t="s">
        <v>149</v>
      </c>
      <c r="AA43" s="189"/>
    </row>
    <row r="44" spans="1:27" s="2" customFormat="1" ht="13.2" customHeight="1" x14ac:dyDescent="0.35">
      <c r="A44" s="260" t="s">
        <v>39</v>
      </c>
      <c r="B44" s="3" t="s">
        <v>190</v>
      </c>
      <c r="C44" s="4"/>
      <c r="D44" s="52">
        <v>4103103</v>
      </c>
      <c r="E44" s="98">
        <v>45026</v>
      </c>
      <c r="F44" s="44" t="s">
        <v>21</v>
      </c>
      <c r="G44" s="61">
        <v>45026</v>
      </c>
      <c r="H44" s="177" t="s">
        <v>191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110</v>
      </c>
      <c r="T44" s="43">
        <v>25</v>
      </c>
      <c r="U44" s="32">
        <v>7.98</v>
      </c>
      <c r="V44" s="53">
        <f t="shared" si="2"/>
        <v>142.97999999999999</v>
      </c>
      <c r="W44" s="64" t="s">
        <v>115</v>
      </c>
      <c r="X44" s="2" t="s">
        <v>59</v>
      </c>
      <c r="Y44" s="65" t="s">
        <v>136</v>
      </c>
      <c r="Z44" s="128" t="s">
        <v>200</v>
      </c>
      <c r="AA44" s="189"/>
    </row>
    <row r="45" spans="1:27" s="2" customFormat="1" ht="13.2" customHeight="1" x14ac:dyDescent="0.35">
      <c r="A45" s="260" t="s">
        <v>39</v>
      </c>
      <c r="B45" s="3" t="s">
        <v>88</v>
      </c>
      <c r="C45" s="4"/>
      <c r="D45" s="52">
        <v>4103104</v>
      </c>
      <c r="E45" s="98">
        <v>45026</v>
      </c>
      <c r="F45" s="44" t="s">
        <v>21</v>
      </c>
      <c r="G45" s="61">
        <v>45026</v>
      </c>
      <c r="H45" s="177" t="s">
        <v>192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39</v>
      </c>
      <c r="T45" s="43">
        <v>12.5</v>
      </c>
      <c r="U45" s="32">
        <v>3.17</v>
      </c>
      <c r="V45" s="53">
        <f t="shared" si="2"/>
        <v>54.67</v>
      </c>
      <c r="W45" s="64" t="s">
        <v>115</v>
      </c>
      <c r="X45" s="2" t="s">
        <v>59</v>
      </c>
      <c r="Y45" s="65" t="s">
        <v>136</v>
      </c>
      <c r="Z45" s="128" t="s">
        <v>149</v>
      </c>
      <c r="AA45" s="189"/>
    </row>
    <row r="46" spans="1:27" s="2" customFormat="1" ht="13.2" customHeight="1" x14ac:dyDescent="0.35">
      <c r="A46" s="260" t="s">
        <v>39</v>
      </c>
      <c r="B46" s="3" t="s">
        <v>89</v>
      </c>
      <c r="C46" s="4"/>
      <c r="D46" s="52">
        <v>4103105</v>
      </c>
      <c r="E46" s="98">
        <v>45026</v>
      </c>
      <c r="F46" s="44" t="s">
        <v>21</v>
      </c>
      <c r="G46" s="61">
        <v>45026</v>
      </c>
      <c r="H46" s="177" t="s">
        <v>161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308</v>
      </c>
      <c r="T46" s="43">
        <v>62.5</v>
      </c>
      <c r="U46" s="32">
        <v>26.57</v>
      </c>
      <c r="V46" s="53">
        <f t="shared" si="2"/>
        <v>397.07</v>
      </c>
      <c r="W46" s="64" t="s">
        <v>115</v>
      </c>
      <c r="X46" s="2" t="s">
        <v>59</v>
      </c>
      <c r="Y46" s="65" t="s">
        <v>18</v>
      </c>
      <c r="Z46" s="128"/>
      <c r="AA46" s="189"/>
    </row>
    <row r="47" spans="1:27" s="2" customFormat="1" ht="13.2" customHeight="1" x14ac:dyDescent="0.35">
      <c r="A47" s="260" t="s">
        <v>39</v>
      </c>
      <c r="B47" s="3" t="s">
        <v>193</v>
      </c>
      <c r="C47" s="4"/>
      <c r="D47" s="52">
        <v>4113103</v>
      </c>
      <c r="E47" s="98">
        <v>45027</v>
      </c>
      <c r="F47" s="44" t="s">
        <v>21</v>
      </c>
      <c r="G47" s="61">
        <v>45027</v>
      </c>
      <c r="H47" s="177" t="s">
        <v>141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65</v>
      </c>
      <c r="T47" s="43"/>
      <c r="U47" s="32">
        <v>5.36</v>
      </c>
      <c r="V47" s="53">
        <f t="shared" si="2"/>
        <v>70.36</v>
      </c>
      <c r="W47" s="64" t="s">
        <v>34</v>
      </c>
      <c r="X47" s="2" t="s">
        <v>194</v>
      </c>
      <c r="Y47" s="65" t="s">
        <v>136</v>
      </c>
      <c r="Z47" s="128" t="s">
        <v>149</v>
      </c>
      <c r="AA47" s="189"/>
    </row>
    <row r="48" spans="1:27" s="2" customFormat="1" ht="13.2" customHeight="1" x14ac:dyDescent="0.35">
      <c r="A48" s="260" t="s">
        <v>39</v>
      </c>
      <c r="B48" s="3" t="s">
        <v>195</v>
      </c>
      <c r="C48" s="4"/>
      <c r="D48" s="52">
        <v>4113105</v>
      </c>
      <c r="E48" s="98">
        <v>45027</v>
      </c>
      <c r="F48" s="44" t="s">
        <v>21</v>
      </c>
      <c r="G48" s="61">
        <v>45027</v>
      </c>
      <c r="H48" s="177" t="s">
        <v>191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1125</v>
      </c>
      <c r="T48" s="43">
        <v>187.5</v>
      </c>
      <c r="U48" s="32">
        <v>81.56</v>
      </c>
      <c r="V48" s="53">
        <f t="shared" si="2"/>
        <v>1394.06</v>
      </c>
      <c r="W48" s="64" t="s">
        <v>180</v>
      </c>
      <c r="X48" s="2" t="s">
        <v>196</v>
      </c>
      <c r="Y48" s="65" t="s">
        <v>18</v>
      </c>
      <c r="Z48" s="128"/>
      <c r="AA48" s="189"/>
    </row>
    <row r="49" spans="1:27" s="2" customFormat="1" ht="13.2" customHeight="1" x14ac:dyDescent="0.35">
      <c r="A49" s="260" t="s">
        <v>39</v>
      </c>
      <c r="B49" s="3" t="s">
        <v>197</v>
      </c>
      <c r="C49" s="4"/>
      <c r="D49" s="52">
        <v>4113106</v>
      </c>
      <c r="E49" s="98">
        <v>45027</v>
      </c>
      <c r="F49" s="44" t="s">
        <v>21</v>
      </c>
      <c r="G49" s="61">
        <v>45027</v>
      </c>
      <c r="H49" s="177" t="s">
        <v>198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65</v>
      </c>
      <c r="T49" s="43">
        <v>12.5</v>
      </c>
      <c r="U49" s="32">
        <v>6.09</v>
      </c>
      <c r="V49" s="53">
        <f t="shared" si="2"/>
        <v>83.59</v>
      </c>
      <c r="W49" s="64" t="s">
        <v>115</v>
      </c>
      <c r="X49" s="2" t="s">
        <v>39</v>
      </c>
      <c r="Y49" s="65" t="s">
        <v>18</v>
      </c>
      <c r="Z49" s="128"/>
      <c r="AA49" s="189"/>
    </row>
    <row r="50" spans="1:27" s="2" customFormat="1" ht="13.2" customHeight="1" x14ac:dyDescent="0.35">
      <c r="A50" s="260" t="s">
        <v>39</v>
      </c>
      <c r="B50" s="3" t="s">
        <v>209</v>
      </c>
      <c r="C50" s="4"/>
      <c r="D50" s="52">
        <v>4113107</v>
      </c>
      <c r="E50" s="98">
        <v>45027</v>
      </c>
      <c r="F50" s="44" t="s">
        <v>21</v>
      </c>
      <c r="G50" s="61">
        <v>45027</v>
      </c>
      <c r="H50" s="177" t="s">
        <v>199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45</v>
      </c>
      <c r="T50" s="43">
        <v>12.5</v>
      </c>
      <c r="U50" s="32"/>
      <c r="V50" s="53">
        <f t="shared" si="2"/>
        <v>57.5</v>
      </c>
      <c r="W50" s="64" t="s">
        <v>115</v>
      </c>
      <c r="X50" s="2" t="s">
        <v>39</v>
      </c>
      <c r="Y50" s="65" t="s">
        <v>136</v>
      </c>
      <c r="Z50" s="128" t="s">
        <v>149</v>
      </c>
      <c r="AA50" s="189"/>
    </row>
    <row r="51" spans="1:27" s="2" customFormat="1" ht="13.2" customHeight="1" x14ac:dyDescent="0.35">
      <c r="A51" s="260" t="s">
        <v>39</v>
      </c>
      <c r="B51" s="3" t="s">
        <v>201</v>
      </c>
      <c r="C51" s="4"/>
      <c r="D51" s="52">
        <v>4113101</v>
      </c>
      <c r="E51" s="98">
        <v>45027</v>
      </c>
      <c r="F51" s="44" t="s">
        <v>21</v>
      </c>
      <c r="G51" s="61">
        <v>45028</v>
      </c>
      <c r="H51" s="177" t="s">
        <v>139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195</v>
      </c>
      <c r="T51" s="43">
        <v>37.5</v>
      </c>
      <c r="U51" s="32">
        <v>19.989999999999998</v>
      </c>
      <c r="V51" s="53">
        <f t="shared" si="2"/>
        <v>252.49</v>
      </c>
      <c r="W51" s="64" t="s">
        <v>115</v>
      </c>
      <c r="X51" s="2" t="s">
        <v>59</v>
      </c>
      <c r="Y51" s="65" t="s">
        <v>136</v>
      </c>
      <c r="Z51" s="128" t="s">
        <v>149</v>
      </c>
      <c r="AA51" s="189"/>
    </row>
    <row r="52" spans="1:27" s="2" customFormat="1" ht="13.2" customHeight="1" x14ac:dyDescent="0.35">
      <c r="A52" s="260" t="s">
        <v>39</v>
      </c>
      <c r="B52" s="3" t="s">
        <v>103</v>
      </c>
      <c r="C52" s="4"/>
      <c r="D52" s="52">
        <v>4123101</v>
      </c>
      <c r="E52" s="98">
        <v>45028</v>
      </c>
      <c r="F52" s="44" t="s">
        <v>21</v>
      </c>
      <c r="G52" s="61">
        <v>45028</v>
      </c>
      <c r="H52" s="177" t="s">
        <v>139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221</v>
      </c>
      <c r="T52" s="43">
        <v>62.5</v>
      </c>
      <c r="U52" s="32">
        <v>22.65</v>
      </c>
      <c r="V52" s="53">
        <f t="shared" si="2"/>
        <v>306.14999999999998</v>
      </c>
      <c r="W52" s="64" t="s">
        <v>115</v>
      </c>
      <c r="X52" s="2" t="s">
        <v>59</v>
      </c>
      <c r="Y52" s="65" t="s">
        <v>136</v>
      </c>
      <c r="Z52" s="128" t="s">
        <v>149</v>
      </c>
      <c r="AA52" s="189"/>
    </row>
    <row r="53" spans="1:27" s="2" customFormat="1" ht="13.2" customHeight="1" x14ac:dyDescent="0.35">
      <c r="A53" s="260" t="s">
        <v>39</v>
      </c>
      <c r="B53" s="3" t="s">
        <v>181</v>
      </c>
      <c r="C53" s="4"/>
      <c r="D53" s="52">
        <v>4123102</v>
      </c>
      <c r="E53" s="98">
        <v>45028</v>
      </c>
      <c r="F53" s="44" t="s">
        <v>21</v>
      </c>
      <c r="G53" s="61">
        <v>45028</v>
      </c>
      <c r="H53" s="177" t="s">
        <v>202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156</v>
      </c>
      <c r="T53" s="43">
        <v>50</v>
      </c>
      <c r="U53" s="32">
        <v>14.04</v>
      </c>
      <c r="V53" s="53">
        <f t="shared" si="2"/>
        <v>220.04</v>
      </c>
      <c r="W53" s="64" t="s">
        <v>7</v>
      </c>
      <c r="X53" s="2" t="s">
        <v>6</v>
      </c>
      <c r="Y53" s="65" t="s">
        <v>18</v>
      </c>
      <c r="Z53" s="128"/>
      <c r="AA53" s="189"/>
    </row>
    <row r="54" spans="1:27" s="2" customFormat="1" ht="13.2" customHeight="1" x14ac:dyDescent="0.35">
      <c r="A54" s="260" t="s">
        <v>39</v>
      </c>
      <c r="B54" s="3" t="s">
        <v>203</v>
      </c>
      <c r="C54" s="4"/>
      <c r="D54" s="52">
        <v>4123103</v>
      </c>
      <c r="E54" s="98">
        <v>45028</v>
      </c>
      <c r="F54" s="44" t="s">
        <v>21</v>
      </c>
      <c r="G54" s="61">
        <v>45028</v>
      </c>
      <c r="H54" s="177" t="s">
        <v>204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330</v>
      </c>
      <c r="T54" s="43">
        <v>75</v>
      </c>
      <c r="U54" s="32">
        <v>29.29</v>
      </c>
      <c r="V54" s="53">
        <f t="shared" si="2"/>
        <v>434.29</v>
      </c>
      <c r="W54" s="64" t="s">
        <v>115</v>
      </c>
      <c r="X54" s="2" t="s">
        <v>59</v>
      </c>
      <c r="Y54" s="65" t="s">
        <v>18</v>
      </c>
      <c r="Z54" s="128"/>
      <c r="AA54" s="189"/>
    </row>
    <row r="55" spans="1:27" s="2" customFormat="1" ht="13.2" customHeight="1" x14ac:dyDescent="0.35">
      <c r="A55" s="260" t="s">
        <v>5</v>
      </c>
      <c r="B55" s="3" t="s">
        <v>205</v>
      </c>
      <c r="C55" s="4"/>
      <c r="D55" s="52">
        <v>4133062</v>
      </c>
      <c r="E55" s="98">
        <v>45029</v>
      </c>
      <c r="F55" s="44" t="s">
        <v>21</v>
      </c>
      <c r="G55" s="61">
        <v>45029</v>
      </c>
      <c r="H55" s="177" t="s">
        <v>142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120</v>
      </c>
      <c r="T55" s="43">
        <v>25</v>
      </c>
      <c r="U55" s="32">
        <v>9.3000000000000007</v>
      </c>
      <c r="V55" s="53">
        <f t="shared" si="2"/>
        <v>154.30000000000001</v>
      </c>
      <c r="W55" s="64" t="s">
        <v>115</v>
      </c>
      <c r="X55" s="2" t="s">
        <v>59</v>
      </c>
      <c r="Y55" s="65" t="s">
        <v>18</v>
      </c>
      <c r="Z55" s="128"/>
      <c r="AA55" s="189"/>
    </row>
    <row r="56" spans="1:27" s="2" customFormat="1" ht="13.2" customHeight="1" x14ac:dyDescent="0.35">
      <c r="A56" s="260" t="s">
        <v>39</v>
      </c>
      <c r="B56" s="3" t="s">
        <v>206</v>
      </c>
      <c r="C56" s="4"/>
      <c r="D56" s="52">
        <v>4133102</v>
      </c>
      <c r="E56" s="98">
        <v>45029</v>
      </c>
      <c r="F56" s="44" t="s">
        <v>21</v>
      </c>
      <c r="G56" s="61">
        <v>45029</v>
      </c>
      <c r="H56" s="177" t="s">
        <v>5</v>
      </c>
      <c r="I56" s="42"/>
      <c r="J56" s="28"/>
      <c r="K56" s="28"/>
      <c r="L56" s="28"/>
      <c r="M56" s="28"/>
      <c r="N56" s="42"/>
      <c r="O56" s="28"/>
      <c r="P56" s="42"/>
      <c r="Q56" s="7"/>
      <c r="R56" s="43"/>
      <c r="S56" s="42">
        <v>65</v>
      </c>
      <c r="T56" s="43">
        <v>12.5</v>
      </c>
      <c r="U56" s="32">
        <v>6.01</v>
      </c>
      <c r="V56" s="53">
        <f t="shared" si="2"/>
        <v>83.51</v>
      </c>
      <c r="W56" s="64" t="s">
        <v>115</v>
      </c>
      <c r="X56" s="2" t="s">
        <v>59</v>
      </c>
      <c r="Y56" s="65" t="s">
        <v>136</v>
      </c>
      <c r="Z56" s="128" t="s">
        <v>200</v>
      </c>
      <c r="AA56" s="189"/>
    </row>
    <row r="57" spans="1:27" s="2" customFormat="1" ht="13.2" customHeight="1" x14ac:dyDescent="0.35">
      <c r="A57" s="260" t="s">
        <v>39</v>
      </c>
      <c r="B57" s="3" t="s">
        <v>207</v>
      </c>
      <c r="C57" s="4"/>
      <c r="D57" s="52">
        <v>4133103</v>
      </c>
      <c r="E57" s="98">
        <v>45029</v>
      </c>
      <c r="F57" s="44" t="s">
        <v>21</v>
      </c>
      <c r="G57" s="61">
        <v>45029</v>
      </c>
      <c r="H57" s="177" t="s">
        <v>147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479</v>
      </c>
      <c r="T57" s="43"/>
      <c r="U57" s="32">
        <v>44.31</v>
      </c>
      <c r="V57" s="53">
        <f t="shared" si="2"/>
        <v>523.30999999999995</v>
      </c>
      <c r="W57" s="64" t="s">
        <v>34</v>
      </c>
      <c r="X57" s="2" t="s">
        <v>208</v>
      </c>
      <c r="Y57" s="65" t="s">
        <v>136</v>
      </c>
      <c r="Z57" s="128" t="s">
        <v>149</v>
      </c>
      <c r="AA57" s="189"/>
    </row>
    <row r="58" spans="1:27" s="2" customFormat="1" ht="13.2" customHeight="1" x14ac:dyDescent="0.35">
      <c r="A58" s="260" t="s">
        <v>5</v>
      </c>
      <c r="B58" s="3" t="s">
        <v>210</v>
      </c>
      <c r="C58" s="4"/>
      <c r="D58" s="52">
        <v>4143062</v>
      </c>
      <c r="E58" s="98">
        <v>45030</v>
      </c>
      <c r="F58" s="44" t="s">
        <v>21</v>
      </c>
      <c r="G58" s="61">
        <v>45030</v>
      </c>
      <c r="H58" s="177" t="s">
        <v>161</v>
      </c>
      <c r="I58" s="42"/>
      <c r="J58" s="28"/>
      <c r="K58" s="28"/>
      <c r="L58" s="28"/>
      <c r="M58" s="28"/>
      <c r="N58" s="42"/>
      <c r="O58" s="28"/>
      <c r="P58" s="42"/>
      <c r="Q58" s="7"/>
      <c r="R58" s="43"/>
      <c r="S58" s="42">
        <v>130</v>
      </c>
      <c r="T58" s="43">
        <v>25</v>
      </c>
      <c r="U58" s="32">
        <v>11.21</v>
      </c>
      <c r="V58" s="53">
        <f t="shared" si="2"/>
        <v>166.21</v>
      </c>
      <c r="W58" s="64" t="s">
        <v>115</v>
      </c>
      <c r="X58" s="2" t="s">
        <v>5</v>
      </c>
      <c r="Y58" s="65" t="s">
        <v>18</v>
      </c>
      <c r="Z58" s="128"/>
      <c r="AA58" s="189"/>
    </row>
    <row r="59" spans="1:27" s="2" customFormat="1" ht="13.2" customHeight="1" x14ac:dyDescent="0.35">
      <c r="A59" s="260" t="s">
        <v>39</v>
      </c>
      <c r="B59" s="3" t="s">
        <v>212</v>
      </c>
      <c r="C59" s="4"/>
      <c r="D59" s="52">
        <v>4123104</v>
      </c>
      <c r="E59" s="98">
        <v>45028</v>
      </c>
      <c r="F59" s="44" t="s">
        <v>213</v>
      </c>
      <c r="G59" s="61">
        <v>45033</v>
      </c>
      <c r="H59" s="177" t="s">
        <v>147</v>
      </c>
      <c r="I59" s="42">
        <v>495</v>
      </c>
      <c r="J59" s="28"/>
      <c r="K59" s="28">
        <v>360</v>
      </c>
      <c r="L59" s="28"/>
      <c r="M59" s="28"/>
      <c r="N59" s="42"/>
      <c r="O59" s="28"/>
      <c r="P59" s="42"/>
      <c r="Q59" s="7"/>
      <c r="R59" s="43"/>
      <c r="S59" s="42"/>
      <c r="T59" s="43"/>
      <c r="U59" s="32">
        <v>51.98</v>
      </c>
      <c r="V59" s="53">
        <f t="shared" si="2"/>
        <v>906.98</v>
      </c>
      <c r="W59" s="64" t="s">
        <v>34</v>
      </c>
      <c r="X59" s="2" t="s">
        <v>214</v>
      </c>
      <c r="Y59" s="65" t="s">
        <v>136</v>
      </c>
      <c r="Z59" s="128" t="s">
        <v>149</v>
      </c>
      <c r="AA59" s="189"/>
    </row>
    <row r="60" spans="1:27" s="2" customFormat="1" ht="13.2" customHeight="1" x14ac:dyDescent="0.35">
      <c r="A60" s="260" t="s">
        <v>8</v>
      </c>
      <c r="B60" s="3" t="s">
        <v>215</v>
      </c>
      <c r="C60" s="4"/>
      <c r="D60" s="52">
        <v>4173051</v>
      </c>
      <c r="E60" s="98">
        <v>45033</v>
      </c>
      <c r="F60" s="44" t="s">
        <v>64</v>
      </c>
      <c r="G60" s="61">
        <v>45033</v>
      </c>
      <c r="H60" s="177" t="s">
        <v>147</v>
      </c>
      <c r="I60" s="42"/>
      <c r="J60" s="28">
        <v>249</v>
      </c>
      <c r="K60" s="28"/>
      <c r="L60" s="28"/>
      <c r="M60" s="28"/>
      <c r="N60" s="42"/>
      <c r="O60" s="28"/>
      <c r="P60" s="42"/>
      <c r="Q60" s="7"/>
      <c r="R60" s="43"/>
      <c r="S60" s="42"/>
      <c r="T60" s="43"/>
      <c r="U60" s="32">
        <v>20.7</v>
      </c>
      <c r="V60" s="53">
        <f t="shared" si="2"/>
        <v>269.7</v>
      </c>
      <c r="W60" s="64" t="s">
        <v>26</v>
      </c>
      <c r="X60" s="2" t="s">
        <v>8</v>
      </c>
      <c r="Y60" s="65" t="s">
        <v>18</v>
      </c>
      <c r="Z60" s="128"/>
      <c r="AA60" s="189"/>
    </row>
    <row r="61" spans="1:27" s="2" customFormat="1" ht="13.2" customHeight="1" x14ac:dyDescent="0.35">
      <c r="A61" s="260" t="s">
        <v>8</v>
      </c>
      <c r="B61" s="3" t="s">
        <v>216</v>
      </c>
      <c r="C61" s="4" t="s">
        <v>218</v>
      </c>
      <c r="D61" s="52">
        <v>4173052</v>
      </c>
      <c r="E61" s="98">
        <v>45033</v>
      </c>
      <c r="F61" s="44" t="s">
        <v>40</v>
      </c>
      <c r="G61" s="61">
        <v>45033</v>
      </c>
      <c r="H61" s="177" t="s">
        <v>147</v>
      </c>
      <c r="I61" s="42"/>
      <c r="J61" s="28"/>
      <c r="K61" s="28"/>
      <c r="L61" s="28"/>
      <c r="M61" s="28"/>
      <c r="N61" s="42">
        <v>69</v>
      </c>
      <c r="O61" s="28">
        <v>39</v>
      </c>
      <c r="P61" s="42"/>
      <c r="Q61" s="7"/>
      <c r="R61" s="43"/>
      <c r="S61" s="42"/>
      <c r="T61" s="43"/>
      <c r="U61" s="32"/>
      <c r="V61" s="53">
        <f t="shared" si="2"/>
        <v>108</v>
      </c>
      <c r="W61" s="64" t="s">
        <v>26</v>
      </c>
      <c r="X61" s="2" t="s">
        <v>217</v>
      </c>
      <c r="Y61" s="65" t="s">
        <v>18</v>
      </c>
      <c r="Z61" s="128"/>
      <c r="AA61" s="189"/>
    </row>
    <row r="62" spans="1:27" s="2" customFormat="1" ht="13.2" customHeight="1" x14ac:dyDescent="0.35">
      <c r="A62" s="260" t="s">
        <v>8</v>
      </c>
      <c r="B62" s="3" t="s">
        <v>216</v>
      </c>
      <c r="C62" s="4" t="s">
        <v>219</v>
      </c>
      <c r="D62" s="52">
        <v>4173053</v>
      </c>
      <c r="E62" s="98">
        <v>45033</v>
      </c>
      <c r="F62" s="44" t="s">
        <v>40</v>
      </c>
      <c r="G62" s="61">
        <v>45033</v>
      </c>
      <c r="H62" s="177" t="s">
        <v>147</v>
      </c>
      <c r="I62" s="42"/>
      <c r="J62" s="28"/>
      <c r="K62" s="28"/>
      <c r="L62" s="28"/>
      <c r="M62" s="28"/>
      <c r="N62" s="42">
        <v>69</v>
      </c>
      <c r="O62" s="28">
        <v>39</v>
      </c>
      <c r="P62" s="42"/>
      <c r="Q62" s="7"/>
      <c r="R62" s="43"/>
      <c r="S62" s="42"/>
      <c r="T62" s="43"/>
      <c r="U62" s="32"/>
      <c r="V62" s="53">
        <f t="shared" si="2"/>
        <v>108</v>
      </c>
      <c r="W62" s="64" t="s">
        <v>26</v>
      </c>
      <c r="X62" s="2" t="s">
        <v>6</v>
      </c>
      <c r="Y62" s="65" t="s">
        <v>18</v>
      </c>
      <c r="Z62" s="128"/>
      <c r="AA62" s="189"/>
    </row>
    <row r="63" spans="1:27" s="2" customFormat="1" ht="13.2" customHeight="1" x14ac:dyDescent="0.35">
      <c r="A63" s="260" t="s">
        <v>151</v>
      </c>
      <c r="B63" s="3" t="s">
        <v>106</v>
      </c>
      <c r="C63" s="4"/>
      <c r="D63" s="52">
        <v>4173054</v>
      </c>
      <c r="E63" s="98">
        <v>45033</v>
      </c>
      <c r="F63" s="44" t="s">
        <v>40</v>
      </c>
      <c r="G63" s="61">
        <v>45033</v>
      </c>
      <c r="H63" s="177" t="s">
        <v>147</v>
      </c>
      <c r="I63" s="42"/>
      <c r="J63" s="28"/>
      <c r="K63" s="28"/>
      <c r="L63" s="28"/>
      <c r="M63" s="28"/>
      <c r="N63" s="42">
        <v>95</v>
      </c>
      <c r="O63" s="28"/>
      <c r="P63" s="42"/>
      <c r="Q63" s="7"/>
      <c r="R63" s="43"/>
      <c r="S63" s="42"/>
      <c r="T63" s="43"/>
      <c r="U63" s="32"/>
      <c r="V63" s="53">
        <f t="shared" si="2"/>
        <v>95</v>
      </c>
      <c r="W63" s="64" t="s">
        <v>26</v>
      </c>
      <c r="X63" s="2" t="s">
        <v>151</v>
      </c>
      <c r="Y63" s="65" t="s">
        <v>18</v>
      </c>
      <c r="Z63" s="128"/>
      <c r="AA63" s="189"/>
    </row>
    <row r="64" spans="1:27" s="2" customFormat="1" ht="13.2" customHeight="1" x14ac:dyDescent="0.35">
      <c r="A64" s="260" t="s">
        <v>38</v>
      </c>
      <c r="B64" s="3" t="s">
        <v>220</v>
      </c>
      <c r="C64" s="4"/>
      <c r="D64" s="52">
        <v>4173055</v>
      </c>
      <c r="E64" s="98">
        <v>45033</v>
      </c>
      <c r="F64" s="44" t="s">
        <v>40</v>
      </c>
      <c r="G64" s="61">
        <v>45033</v>
      </c>
      <c r="H64" s="177" t="s">
        <v>147</v>
      </c>
      <c r="I64" s="42"/>
      <c r="J64" s="28"/>
      <c r="K64" s="28"/>
      <c r="L64" s="28"/>
      <c r="M64" s="28"/>
      <c r="N64" s="42">
        <v>500</v>
      </c>
      <c r="O64" s="28"/>
      <c r="P64" s="42"/>
      <c r="Q64" s="7"/>
      <c r="R64" s="43"/>
      <c r="S64" s="42"/>
      <c r="T64" s="43"/>
      <c r="U64" s="32"/>
      <c r="V64" s="53">
        <f t="shared" si="2"/>
        <v>500</v>
      </c>
      <c r="W64" s="64" t="s">
        <v>26</v>
      </c>
      <c r="X64" s="2" t="s">
        <v>38</v>
      </c>
      <c r="Y64" s="65" t="s">
        <v>18</v>
      </c>
      <c r="Z64" s="128"/>
      <c r="AA64" s="189"/>
    </row>
    <row r="65" spans="1:27" s="2" customFormat="1" ht="13.2" customHeight="1" x14ac:dyDescent="0.35">
      <c r="A65" s="260" t="s">
        <v>5</v>
      </c>
      <c r="B65" s="3" t="s">
        <v>221</v>
      </c>
      <c r="C65" s="4"/>
      <c r="D65" s="52">
        <v>4173056</v>
      </c>
      <c r="E65" s="98">
        <v>45033</v>
      </c>
      <c r="F65" s="44" t="s">
        <v>211</v>
      </c>
      <c r="G65" s="61">
        <v>45033</v>
      </c>
      <c r="H65" s="177" t="s">
        <v>147</v>
      </c>
      <c r="I65" s="42"/>
      <c r="J65" s="28"/>
      <c r="K65" s="28"/>
      <c r="L65" s="28">
        <v>454.34</v>
      </c>
      <c r="M65" s="28"/>
      <c r="N65" s="42"/>
      <c r="O65" s="28"/>
      <c r="P65" s="42"/>
      <c r="Q65" s="7"/>
      <c r="R65" s="43"/>
      <c r="S65" s="42"/>
      <c r="T65" s="43"/>
      <c r="U65" s="32"/>
      <c r="V65" s="53">
        <f t="shared" si="2"/>
        <v>454.34</v>
      </c>
      <c r="W65" s="64" t="s">
        <v>26</v>
      </c>
      <c r="X65" s="2" t="s">
        <v>5</v>
      </c>
      <c r="Y65" s="65" t="s">
        <v>136</v>
      </c>
      <c r="Z65" s="128" t="s">
        <v>188</v>
      </c>
      <c r="AA65" s="189"/>
    </row>
    <row r="66" spans="1:27" s="2" customFormat="1" ht="13.2" customHeight="1" x14ac:dyDescent="0.35">
      <c r="A66" s="260" t="s">
        <v>5</v>
      </c>
      <c r="B66" s="3" t="s">
        <v>222</v>
      </c>
      <c r="C66" s="4"/>
      <c r="D66" s="52">
        <v>4173057</v>
      </c>
      <c r="E66" s="98">
        <v>45033</v>
      </c>
      <c r="F66" s="44" t="s">
        <v>211</v>
      </c>
      <c r="G66" s="61">
        <v>45033</v>
      </c>
      <c r="H66" s="177" t="s">
        <v>147</v>
      </c>
      <c r="I66" s="42"/>
      <c r="J66" s="28"/>
      <c r="K66" s="28"/>
      <c r="L66" s="28">
        <v>280</v>
      </c>
      <c r="M66" s="28"/>
      <c r="N66" s="42"/>
      <c r="O66" s="28"/>
      <c r="P66" s="42"/>
      <c r="Q66" s="7"/>
      <c r="R66" s="43"/>
      <c r="S66" s="42"/>
      <c r="T66" s="43"/>
      <c r="U66" s="32"/>
      <c r="V66" s="53">
        <f t="shared" si="2"/>
        <v>280</v>
      </c>
      <c r="W66" s="64" t="s">
        <v>26</v>
      </c>
      <c r="X66" s="2" t="s">
        <v>5</v>
      </c>
      <c r="Y66" s="65" t="s">
        <v>136</v>
      </c>
      <c r="Z66" s="128" t="s">
        <v>200</v>
      </c>
      <c r="AA66" s="189"/>
    </row>
    <row r="67" spans="1:27" s="2" customFormat="1" ht="13.2" customHeight="1" x14ac:dyDescent="0.35">
      <c r="A67" s="260" t="s">
        <v>39</v>
      </c>
      <c r="B67" s="3" t="s">
        <v>223</v>
      </c>
      <c r="C67" s="4"/>
      <c r="D67" s="52">
        <v>4173101</v>
      </c>
      <c r="E67" s="98">
        <v>45033</v>
      </c>
      <c r="F67" s="44" t="s">
        <v>21</v>
      </c>
      <c r="G67" s="61">
        <v>45033</v>
      </c>
      <c r="H67" s="177" t="s">
        <v>157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149</v>
      </c>
      <c r="T67" s="43">
        <v>37.5</v>
      </c>
      <c r="U67" s="32">
        <v>13.41</v>
      </c>
      <c r="V67" s="53">
        <f t="shared" si="2"/>
        <v>199.91</v>
      </c>
      <c r="W67" s="64" t="s">
        <v>115</v>
      </c>
      <c r="X67" s="2" t="s">
        <v>59</v>
      </c>
      <c r="Y67" s="65" t="s">
        <v>136</v>
      </c>
      <c r="Z67" s="128"/>
      <c r="AA67" s="189"/>
    </row>
    <row r="68" spans="1:27" s="2" customFormat="1" ht="13.2" customHeight="1" x14ac:dyDescent="0.35">
      <c r="A68" s="260" t="s">
        <v>39</v>
      </c>
      <c r="B68" s="3" t="s">
        <v>224</v>
      </c>
      <c r="C68" s="4"/>
      <c r="D68" s="52">
        <v>4173102</v>
      </c>
      <c r="E68" s="98">
        <v>45033</v>
      </c>
      <c r="F68" s="44" t="s">
        <v>21</v>
      </c>
      <c r="G68" s="61">
        <v>45033</v>
      </c>
      <c r="H68" s="177" t="s">
        <v>157</v>
      </c>
      <c r="I68" s="42"/>
      <c r="J68" s="28"/>
      <c r="K68" s="28"/>
      <c r="L68" s="28"/>
      <c r="M68" s="28"/>
      <c r="N68" s="42"/>
      <c r="O68" s="28"/>
      <c r="P68" s="42"/>
      <c r="Q68" s="7"/>
      <c r="R68" s="43"/>
      <c r="S68" s="42">
        <v>434</v>
      </c>
      <c r="T68" s="43">
        <v>100</v>
      </c>
      <c r="U68" s="32">
        <v>39.06</v>
      </c>
      <c r="V68" s="53">
        <f t="shared" si="2"/>
        <v>573.05999999999995</v>
      </c>
      <c r="W68" s="64" t="s">
        <v>115</v>
      </c>
      <c r="X68" s="2" t="s">
        <v>59</v>
      </c>
      <c r="Y68" s="65" t="s">
        <v>18</v>
      </c>
      <c r="Z68" s="128"/>
      <c r="AA68" s="189"/>
    </row>
    <row r="69" spans="1:27" s="2" customFormat="1" ht="14.1" customHeight="1" x14ac:dyDescent="0.35">
      <c r="A69" s="260" t="s">
        <v>39</v>
      </c>
      <c r="B69" s="3" t="s">
        <v>225</v>
      </c>
      <c r="C69" s="4"/>
      <c r="D69" s="52">
        <v>4173103</v>
      </c>
      <c r="E69" s="98">
        <v>45033</v>
      </c>
      <c r="F69" s="44" t="s">
        <v>21</v>
      </c>
      <c r="G69" s="61">
        <v>45033</v>
      </c>
      <c r="H69" s="177" t="s">
        <v>140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195</v>
      </c>
      <c r="T69" s="43">
        <v>25</v>
      </c>
      <c r="U69" s="32">
        <v>18.28</v>
      </c>
      <c r="V69" s="53">
        <f t="shared" si="0"/>
        <v>238.28</v>
      </c>
      <c r="W69" s="64" t="s">
        <v>115</v>
      </c>
      <c r="X69" s="2" t="s">
        <v>59</v>
      </c>
      <c r="Y69" s="65" t="s">
        <v>18</v>
      </c>
      <c r="Z69" s="128"/>
      <c r="AA69" s="189"/>
    </row>
    <row r="70" spans="1:27" s="2" customFormat="1" ht="14.1" customHeight="1" x14ac:dyDescent="0.35">
      <c r="A70" s="260" t="s">
        <v>39</v>
      </c>
      <c r="B70" s="3" t="s">
        <v>226</v>
      </c>
      <c r="C70" s="4"/>
      <c r="D70" s="52">
        <v>4173104</v>
      </c>
      <c r="E70" s="98">
        <v>45033</v>
      </c>
      <c r="F70" s="44" t="s">
        <v>21</v>
      </c>
      <c r="G70" s="61">
        <v>45033</v>
      </c>
      <c r="H70" s="177" t="s">
        <v>142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435</v>
      </c>
      <c r="T70" s="43">
        <v>87.5</v>
      </c>
      <c r="U70" s="32">
        <v>33.71</v>
      </c>
      <c r="V70" s="53">
        <f t="shared" si="0"/>
        <v>556.21</v>
      </c>
      <c r="W70" s="64" t="s">
        <v>115</v>
      </c>
      <c r="X70" s="2" t="s">
        <v>59</v>
      </c>
      <c r="Y70" s="65" t="s">
        <v>18</v>
      </c>
      <c r="Z70" s="128"/>
      <c r="AA70" s="189"/>
    </row>
    <row r="71" spans="1:27" s="2" customFormat="1" ht="14.1" customHeight="1" x14ac:dyDescent="0.35">
      <c r="A71" s="260" t="s">
        <v>39</v>
      </c>
      <c r="B71" s="3" t="s">
        <v>227</v>
      </c>
      <c r="C71" s="4"/>
      <c r="D71" s="52">
        <v>4183101</v>
      </c>
      <c r="E71" s="98">
        <v>45034</v>
      </c>
      <c r="F71" s="44" t="s">
        <v>21</v>
      </c>
      <c r="G71" s="61">
        <v>45034</v>
      </c>
      <c r="H71" s="177" t="s">
        <v>161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155</v>
      </c>
      <c r="T71" s="43">
        <v>37.5</v>
      </c>
      <c r="U71" s="32">
        <v>13.37</v>
      </c>
      <c r="V71" s="53">
        <f t="shared" si="0"/>
        <v>205.87</v>
      </c>
      <c r="W71" s="64" t="s">
        <v>115</v>
      </c>
      <c r="X71" s="2" t="s">
        <v>59</v>
      </c>
      <c r="Y71" s="65" t="s">
        <v>18</v>
      </c>
      <c r="Z71" s="128"/>
      <c r="AA71" s="189"/>
    </row>
    <row r="72" spans="1:27" s="2" customFormat="1" ht="14.1" customHeight="1" x14ac:dyDescent="0.35">
      <c r="A72" s="260" t="s">
        <v>39</v>
      </c>
      <c r="B72" s="3" t="s">
        <v>228</v>
      </c>
      <c r="C72" s="4"/>
      <c r="D72" s="52">
        <v>4203101</v>
      </c>
      <c r="E72" s="98">
        <v>45036</v>
      </c>
      <c r="F72" s="44" t="s">
        <v>21</v>
      </c>
      <c r="G72" s="61">
        <v>45036</v>
      </c>
      <c r="H72" s="177" t="s">
        <v>161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399</v>
      </c>
      <c r="T72" s="43">
        <v>87.5</v>
      </c>
      <c r="U72" s="32">
        <v>34.409999999999997</v>
      </c>
      <c r="V72" s="53">
        <f t="shared" si="0"/>
        <v>520.91</v>
      </c>
      <c r="W72" s="64" t="s">
        <v>115</v>
      </c>
      <c r="X72" s="2" t="s">
        <v>59</v>
      </c>
      <c r="Y72" s="65" t="s">
        <v>18</v>
      </c>
      <c r="Z72" s="128"/>
      <c r="AA72" s="189"/>
    </row>
    <row r="73" spans="1:27" s="2" customFormat="1" ht="14.1" customHeight="1" x14ac:dyDescent="0.35">
      <c r="A73" s="260" t="s">
        <v>39</v>
      </c>
      <c r="B73" s="3" t="s">
        <v>229</v>
      </c>
      <c r="C73" s="4"/>
      <c r="D73" s="52">
        <v>4203102</v>
      </c>
      <c r="E73" s="98">
        <v>45036</v>
      </c>
      <c r="F73" s="44" t="s">
        <v>21</v>
      </c>
      <c r="G73" s="61">
        <v>45036</v>
      </c>
      <c r="H73" s="177" t="s">
        <v>230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195</v>
      </c>
      <c r="T73" s="43">
        <v>37.5</v>
      </c>
      <c r="U73" s="32">
        <v>18.04</v>
      </c>
      <c r="V73" s="53">
        <f t="shared" si="0"/>
        <v>250.54</v>
      </c>
      <c r="W73" s="64" t="s">
        <v>115</v>
      </c>
      <c r="X73" s="2" t="s">
        <v>59</v>
      </c>
      <c r="Y73" s="65" t="s">
        <v>18</v>
      </c>
      <c r="Z73" s="128"/>
      <c r="AA73" s="189"/>
    </row>
    <row r="74" spans="1:27" s="2" customFormat="1" ht="14.1" customHeight="1" x14ac:dyDescent="0.35">
      <c r="A74" s="260" t="s">
        <v>39</v>
      </c>
      <c r="B74" s="3" t="s">
        <v>74</v>
      </c>
      <c r="C74" s="4"/>
      <c r="D74" s="52">
        <v>4203103</v>
      </c>
      <c r="E74" s="98">
        <v>45036</v>
      </c>
      <c r="F74" s="44" t="s">
        <v>21</v>
      </c>
      <c r="G74" s="61">
        <v>45036</v>
      </c>
      <c r="H74" s="177" t="s">
        <v>141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90</v>
      </c>
      <c r="T74" s="43"/>
      <c r="U74" s="32">
        <v>7.43</v>
      </c>
      <c r="V74" s="53">
        <f t="shared" ref="V74:V90" si="3">SUM(I74:U74)</f>
        <v>97.43</v>
      </c>
      <c r="W74" s="64" t="s">
        <v>34</v>
      </c>
      <c r="X74" s="2" t="s">
        <v>80</v>
      </c>
      <c r="Y74" s="65" t="s">
        <v>18</v>
      </c>
      <c r="Z74" s="128"/>
      <c r="AA74" s="189"/>
    </row>
    <row r="75" spans="1:27" s="2" customFormat="1" ht="14.1" customHeight="1" x14ac:dyDescent="0.35">
      <c r="A75" s="260" t="s">
        <v>39</v>
      </c>
      <c r="B75" s="3" t="s">
        <v>231</v>
      </c>
      <c r="C75" s="4"/>
      <c r="D75" s="52">
        <v>4203104</v>
      </c>
      <c r="E75" s="98">
        <v>45036</v>
      </c>
      <c r="F75" s="44" t="s">
        <v>21</v>
      </c>
      <c r="G75" s="61">
        <v>45036</v>
      </c>
      <c r="H75" s="177" t="s">
        <v>140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266</v>
      </c>
      <c r="T75" s="43">
        <v>37.5</v>
      </c>
      <c r="U75" s="32">
        <v>24.94</v>
      </c>
      <c r="V75" s="53">
        <f t="shared" si="3"/>
        <v>328.44</v>
      </c>
      <c r="W75" s="64" t="s">
        <v>115</v>
      </c>
      <c r="X75" s="2" t="s">
        <v>59</v>
      </c>
      <c r="Y75" s="65" t="s">
        <v>136</v>
      </c>
      <c r="Z75" s="128" t="s">
        <v>200</v>
      </c>
      <c r="AA75" s="189"/>
    </row>
    <row r="76" spans="1:27" s="2" customFormat="1" ht="14.1" customHeight="1" x14ac:dyDescent="0.35">
      <c r="A76" s="260" t="s">
        <v>39</v>
      </c>
      <c r="B76" s="3" t="s">
        <v>232</v>
      </c>
      <c r="C76" s="4"/>
      <c r="D76" s="52">
        <v>4203104</v>
      </c>
      <c r="E76" s="98">
        <v>45036</v>
      </c>
      <c r="F76" s="44" t="s">
        <v>21</v>
      </c>
      <c r="G76" s="61">
        <v>45036</v>
      </c>
      <c r="H76" s="177" t="s">
        <v>233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204</v>
      </c>
      <c r="T76" s="43">
        <v>50</v>
      </c>
      <c r="U76" s="32">
        <v>17.850000000000001</v>
      </c>
      <c r="V76" s="53">
        <f t="shared" si="3"/>
        <v>271.85000000000002</v>
      </c>
      <c r="W76" s="64" t="s">
        <v>115</v>
      </c>
      <c r="X76" s="2" t="s">
        <v>59</v>
      </c>
      <c r="Y76" s="65" t="s">
        <v>136</v>
      </c>
      <c r="Z76" s="128" t="s">
        <v>149</v>
      </c>
      <c r="AA76" s="189"/>
    </row>
    <row r="77" spans="1:27" s="2" customFormat="1" ht="14.1" customHeight="1" x14ac:dyDescent="0.35">
      <c r="A77" s="260" t="s">
        <v>39</v>
      </c>
      <c r="B77" s="3" t="s">
        <v>234</v>
      </c>
      <c r="C77" s="4"/>
      <c r="D77" s="52">
        <v>4203105</v>
      </c>
      <c r="E77" s="98">
        <v>45036</v>
      </c>
      <c r="F77" s="44" t="s">
        <v>21</v>
      </c>
      <c r="G77" s="61">
        <v>45036</v>
      </c>
      <c r="H77" s="177" t="s">
        <v>139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143</v>
      </c>
      <c r="T77" s="43">
        <v>37.5</v>
      </c>
      <c r="U77" s="32">
        <v>14.66</v>
      </c>
      <c r="V77" s="53">
        <f t="shared" si="3"/>
        <v>195.16</v>
      </c>
      <c r="W77" s="64" t="s">
        <v>115</v>
      </c>
      <c r="X77" s="2" t="s">
        <v>59</v>
      </c>
      <c r="Y77" s="65" t="s">
        <v>136</v>
      </c>
      <c r="Z77" s="128" t="s">
        <v>149</v>
      </c>
      <c r="AA77" s="189"/>
    </row>
    <row r="78" spans="1:27" s="2" customFormat="1" ht="14.1" customHeight="1" x14ac:dyDescent="0.35">
      <c r="A78" s="260" t="s">
        <v>39</v>
      </c>
      <c r="B78" s="3" t="s">
        <v>235</v>
      </c>
      <c r="C78" s="4"/>
      <c r="D78" s="52">
        <v>4243103</v>
      </c>
      <c r="E78" s="98">
        <v>45040</v>
      </c>
      <c r="F78" s="44" t="s">
        <v>21</v>
      </c>
      <c r="G78" s="61">
        <v>45040</v>
      </c>
      <c r="H78" s="177" t="s">
        <v>147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55</v>
      </c>
      <c r="T78" s="43"/>
      <c r="U78" s="32">
        <v>5.09</v>
      </c>
      <c r="V78" s="53">
        <f t="shared" si="3"/>
        <v>60.09</v>
      </c>
      <c r="W78" s="64" t="s">
        <v>34</v>
      </c>
      <c r="X78" s="2" t="s">
        <v>236</v>
      </c>
      <c r="Y78" s="65" t="s">
        <v>136</v>
      </c>
      <c r="Z78" s="128" t="s">
        <v>149</v>
      </c>
      <c r="AA78" s="189"/>
    </row>
    <row r="79" spans="1:27" s="2" customFormat="1" ht="14.1" customHeight="1" x14ac:dyDescent="0.35">
      <c r="A79" s="260" t="s">
        <v>39</v>
      </c>
      <c r="B79" s="3" t="s">
        <v>237</v>
      </c>
      <c r="C79" s="4"/>
      <c r="D79" s="52">
        <v>4243101</v>
      </c>
      <c r="E79" s="98">
        <v>45040</v>
      </c>
      <c r="F79" s="44" t="s">
        <v>21</v>
      </c>
      <c r="G79" s="61">
        <v>45040</v>
      </c>
      <c r="H79" s="177" t="s">
        <v>238</v>
      </c>
      <c r="I79" s="42"/>
      <c r="J79" s="28"/>
      <c r="K79" s="28"/>
      <c r="L79" s="28"/>
      <c r="M79" s="28"/>
      <c r="N79" s="42"/>
      <c r="O79" s="28"/>
      <c r="P79" s="42"/>
      <c r="Q79" s="7"/>
      <c r="R79" s="43"/>
      <c r="S79" s="42">
        <v>110</v>
      </c>
      <c r="T79" s="43"/>
      <c r="U79" s="32">
        <v>10.18</v>
      </c>
      <c r="V79" s="53">
        <f t="shared" si="3"/>
        <v>120.18</v>
      </c>
      <c r="W79" s="64" t="s">
        <v>7</v>
      </c>
      <c r="X79" s="2" t="s">
        <v>6</v>
      </c>
      <c r="Y79" s="65" t="s">
        <v>18</v>
      </c>
      <c r="Z79" s="128"/>
      <c r="AA79" s="189"/>
    </row>
    <row r="80" spans="1:27" s="2" customFormat="1" ht="14.1" customHeight="1" x14ac:dyDescent="0.35">
      <c r="A80" s="260" t="s">
        <v>39</v>
      </c>
      <c r="B80" s="3" t="s">
        <v>243</v>
      </c>
      <c r="C80" s="4"/>
      <c r="D80" s="52">
        <v>4243105</v>
      </c>
      <c r="E80" s="98">
        <v>45040</v>
      </c>
      <c r="F80" s="44" t="s">
        <v>21</v>
      </c>
      <c r="G80" s="61">
        <v>45041</v>
      </c>
      <c r="H80" s="177" t="s">
        <v>141</v>
      </c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>
        <v>175</v>
      </c>
      <c r="T80" s="43">
        <v>37.5</v>
      </c>
      <c r="U80" s="32">
        <v>14.44</v>
      </c>
      <c r="V80" s="53">
        <f t="shared" si="3"/>
        <v>226.94</v>
      </c>
      <c r="W80" s="64" t="s">
        <v>115</v>
      </c>
      <c r="X80" s="2" t="s">
        <v>59</v>
      </c>
      <c r="Y80" s="65" t="s">
        <v>18</v>
      </c>
      <c r="Z80" s="128"/>
      <c r="AA80" s="189"/>
    </row>
    <row r="81" spans="1:27" s="2" customFormat="1" ht="14.1" customHeight="1" x14ac:dyDescent="0.35">
      <c r="A81" s="260" t="s">
        <v>39</v>
      </c>
      <c r="B81" s="3" t="s">
        <v>62</v>
      </c>
      <c r="C81" s="4" t="s">
        <v>98</v>
      </c>
      <c r="D81" s="52">
        <v>4243104</v>
      </c>
      <c r="E81" s="98">
        <v>45040</v>
      </c>
      <c r="F81" s="44" t="s">
        <v>21</v>
      </c>
      <c r="G81" s="61">
        <v>45041</v>
      </c>
      <c r="H81" s="177" t="s">
        <v>239</v>
      </c>
      <c r="I81" s="42"/>
      <c r="J81" s="28"/>
      <c r="K81" s="28"/>
      <c r="L81" s="28"/>
      <c r="M81" s="28"/>
      <c r="N81" s="42"/>
      <c r="O81" s="28"/>
      <c r="P81" s="42"/>
      <c r="Q81" s="7"/>
      <c r="R81" s="43"/>
      <c r="S81" s="42">
        <v>375</v>
      </c>
      <c r="T81" s="43">
        <v>12.5</v>
      </c>
      <c r="U81" s="32">
        <v>40.31</v>
      </c>
      <c r="V81" s="53">
        <f t="shared" si="3"/>
        <v>427.81</v>
      </c>
      <c r="W81" s="64" t="s">
        <v>115</v>
      </c>
      <c r="X81" s="2" t="s">
        <v>59</v>
      </c>
      <c r="Y81" s="65" t="s">
        <v>136</v>
      </c>
      <c r="Z81" s="128" t="s">
        <v>149</v>
      </c>
      <c r="AA81" s="189"/>
    </row>
    <row r="82" spans="1:27" s="2" customFormat="1" ht="14.1" customHeight="1" x14ac:dyDescent="0.35">
      <c r="A82" s="260" t="s">
        <v>39</v>
      </c>
      <c r="B82" s="3" t="s">
        <v>244</v>
      </c>
      <c r="C82" s="4"/>
      <c r="D82" s="52">
        <v>4243106</v>
      </c>
      <c r="E82" s="98">
        <v>45040</v>
      </c>
      <c r="F82" s="44" t="s">
        <v>21</v>
      </c>
      <c r="G82" s="61">
        <v>45041</v>
      </c>
      <c r="H82" s="177" t="s">
        <v>245</v>
      </c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>
        <v>775</v>
      </c>
      <c r="T82" s="43">
        <v>150</v>
      </c>
      <c r="U82" s="32">
        <v>71.69</v>
      </c>
      <c r="V82" s="53">
        <f t="shared" si="3"/>
        <v>996.69</v>
      </c>
      <c r="W82" s="64" t="s">
        <v>115</v>
      </c>
      <c r="X82" s="2" t="s">
        <v>59</v>
      </c>
      <c r="Y82" s="65" t="s">
        <v>18</v>
      </c>
      <c r="Z82" s="128"/>
      <c r="AA82" s="189"/>
    </row>
    <row r="83" spans="1:27" s="2" customFormat="1" ht="14.1" customHeight="1" x14ac:dyDescent="0.35">
      <c r="A83" s="260" t="s">
        <v>39</v>
      </c>
      <c r="B83" s="3" t="s">
        <v>246</v>
      </c>
      <c r="C83" s="4"/>
      <c r="D83" s="52">
        <v>4243107</v>
      </c>
      <c r="E83" s="98">
        <v>45040</v>
      </c>
      <c r="F83" s="44" t="s">
        <v>21</v>
      </c>
      <c r="G83" s="61">
        <v>45041</v>
      </c>
      <c r="H83" s="177" t="s">
        <v>191</v>
      </c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>
        <v>317</v>
      </c>
      <c r="T83" s="43">
        <v>62.5</v>
      </c>
      <c r="U83" s="32">
        <v>26.15</v>
      </c>
      <c r="V83" s="53">
        <f t="shared" si="3"/>
        <v>405.65</v>
      </c>
      <c r="W83" s="64" t="s">
        <v>115</v>
      </c>
      <c r="X83" s="2" t="s">
        <v>59</v>
      </c>
      <c r="Y83" s="65" t="s">
        <v>18</v>
      </c>
      <c r="Z83" s="128"/>
      <c r="AA83" s="189"/>
    </row>
    <row r="84" spans="1:27" s="2" customFormat="1" ht="14.1" customHeight="1" x14ac:dyDescent="0.35">
      <c r="A84" s="260" t="s">
        <v>5</v>
      </c>
      <c r="B84" s="3" t="s">
        <v>240</v>
      </c>
      <c r="C84" s="4"/>
      <c r="D84" s="52">
        <v>4243051</v>
      </c>
      <c r="E84" s="98">
        <v>45040</v>
      </c>
      <c r="F84" s="44" t="s">
        <v>32</v>
      </c>
      <c r="G84" s="61">
        <v>45041</v>
      </c>
      <c r="H84" s="177" t="s">
        <v>147</v>
      </c>
      <c r="I84" s="42"/>
      <c r="J84" s="28"/>
      <c r="K84" s="28"/>
      <c r="L84" s="28"/>
      <c r="M84" s="28">
        <v>3675.56</v>
      </c>
      <c r="N84" s="42"/>
      <c r="O84" s="28"/>
      <c r="P84" s="42"/>
      <c r="Q84" s="7"/>
      <c r="R84" s="43"/>
      <c r="S84" s="42"/>
      <c r="T84" s="43"/>
      <c r="U84" s="32"/>
      <c r="V84" s="53">
        <f t="shared" si="3"/>
        <v>3675.56</v>
      </c>
      <c r="W84" s="64" t="s">
        <v>26</v>
      </c>
      <c r="X84" s="2" t="s">
        <v>5</v>
      </c>
      <c r="Y84" s="65" t="s">
        <v>136</v>
      </c>
      <c r="Z84" s="128" t="s">
        <v>188</v>
      </c>
      <c r="AA84" s="189"/>
    </row>
    <row r="85" spans="1:27" s="2" customFormat="1" ht="14.1" customHeight="1" x14ac:dyDescent="0.35">
      <c r="A85" s="260" t="s">
        <v>5</v>
      </c>
      <c r="B85" s="3" t="s">
        <v>240</v>
      </c>
      <c r="C85" s="4"/>
      <c r="D85" s="52">
        <v>4243052</v>
      </c>
      <c r="E85" s="98">
        <v>45040</v>
      </c>
      <c r="F85" s="44" t="s">
        <v>32</v>
      </c>
      <c r="G85" s="61">
        <v>45041</v>
      </c>
      <c r="H85" s="177" t="s">
        <v>147</v>
      </c>
      <c r="I85" s="42"/>
      <c r="J85" s="28"/>
      <c r="K85" s="28"/>
      <c r="L85" s="28"/>
      <c r="M85" s="28">
        <v>12</v>
      </c>
      <c r="N85" s="42"/>
      <c r="O85" s="28"/>
      <c r="P85" s="42"/>
      <c r="Q85" s="7"/>
      <c r="R85" s="43"/>
      <c r="S85" s="42"/>
      <c r="T85" s="43"/>
      <c r="U85" s="32"/>
      <c r="V85" s="53">
        <f t="shared" si="3"/>
        <v>12</v>
      </c>
      <c r="W85" s="64" t="s">
        <v>26</v>
      </c>
      <c r="X85" s="2" t="s">
        <v>5</v>
      </c>
      <c r="Y85" s="65" t="s">
        <v>136</v>
      </c>
      <c r="Z85" s="128" t="s">
        <v>188</v>
      </c>
      <c r="AA85" s="189"/>
    </row>
    <row r="86" spans="1:27" s="2" customFormat="1" ht="14.1" customHeight="1" x14ac:dyDescent="0.35">
      <c r="A86" s="260" t="s">
        <v>5</v>
      </c>
      <c r="B86" s="3" t="s">
        <v>241</v>
      </c>
      <c r="C86" s="4"/>
      <c r="D86" s="52">
        <v>4253063</v>
      </c>
      <c r="E86" s="98">
        <v>45041</v>
      </c>
      <c r="F86" s="44" t="s">
        <v>21</v>
      </c>
      <c r="G86" s="61">
        <v>45041</v>
      </c>
      <c r="H86" s="177" t="s">
        <v>161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234</v>
      </c>
      <c r="T86" s="43">
        <v>12.5</v>
      </c>
      <c r="U86" s="32">
        <v>20.18</v>
      </c>
      <c r="V86" s="53">
        <f t="shared" si="3"/>
        <v>266.68</v>
      </c>
      <c r="W86" s="64" t="s">
        <v>115</v>
      </c>
      <c r="X86" s="2" t="s">
        <v>59</v>
      </c>
      <c r="Y86" s="65" t="s">
        <v>18</v>
      </c>
      <c r="Z86" s="128"/>
      <c r="AA86" s="189"/>
    </row>
    <row r="87" spans="1:27" s="2" customFormat="1" ht="14.1" customHeight="1" x14ac:dyDescent="0.35">
      <c r="A87" s="260" t="s">
        <v>39</v>
      </c>
      <c r="B87" s="3" t="s">
        <v>111</v>
      </c>
      <c r="C87" s="4" t="s">
        <v>242</v>
      </c>
      <c r="D87" s="52">
        <v>4253102</v>
      </c>
      <c r="E87" s="98">
        <v>45041</v>
      </c>
      <c r="F87" s="44" t="s">
        <v>21</v>
      </c>
      <c r="G87" s="61">
        <v>45041</v>
      </c>
      <c r="H87" s="177" t="s">
        <v>199</v>
      </c>
      <c r="I87" s="42"/>
      <c r="J87" s="28"/>
      <c r="K87" s="28"/>
      <c r="L87" s="28"/>
      <c r="M87" s="28"/>
      <c r="N87" s="42"/>
      <c r="O87" s="28"/>
      <c r="P87" s="42"/>
      <c r="Q87" s="7"/>
      <c r="R87" s="43"/>
      <c r="S87" s="42">
        <v>90</v>
      </c>
      <c r="T87" s="43">
        <v>50</v>
      </c>
      <c r="U87" s="32"/>
      <c r="V87" s="53">
        <f t="shared" si="3"/>
        <v>140</v>
      </c>
      <c r="W87" s="64" t="s">
        <v>115</v>
      </c>
      <c r="X87" s="2" t="s">
        <v>59</v>
      </c>
      <c r="Y87" s="65" t="s">
        <v>18</v>
      </c>
      <c r="Z87" s="128"/>
      <c r="AA87" s="189"/>
    </row>
    <row r="88" spans="1:27" s="2" customFormat="1" ht="14.1" customHeight="1" x14ac:dyDescent="0.35">
      <c r="A88" s="260" t="s">
        <v>39</v>
      </c>
      <c r="B88" s="3" t="s">
        <v>247</v>
      </c>
      <c r="C88" s="4"/>
      <c r="D88" s="52">
        <v>4253102</v>
      </c>
      <c r="E88" s="98">
        <v>45041</v>
      </c>
      <c r="F88" s="44" t="s">
        <v>21</v>
      </c>
      <c r="G88" s="61">
        <v>45042</v>
      </c>
      <c r="H88" s="177" t="s">
        <v>149</v>
      </c>
      <c r="I88" s="42"/>
      <c r="J88" s="28"/>
      <c r="K88" s="28"/>
      <c r="L88" s="28"/>
      <c r="M88" s="28"/>
      <c r="N88" s="42"/>
      <c r="O88" s="28"/>
      <c r="P88" s="42"/>
      <c r="Q88" s="7"/>
      <c r="R88" s="43"/>
      <c r="S88" s="42">
        <v>195</v>
      </c>
      <c r="T88" s="43">
        <v>37.5</v>
      </c>
      <c r="U88" s="32">
        <v>17.059999999999999</v>
      </c>
      <c r="V88" s="53">
        <f t="shared" si="3"/>
        <v>249.56</v>
      </c>
      <c r="W88" s="64" t="s">
        <v>115</v>
      </c>
      <c r="X88" s="2" t="s">
        <v>59</v>
      </c>
      <c r="Y88" s="65" t="s">
        <v>18</v>
      </c>
      <c r="Z88" s="128"/>
      <c r="AA88" s="189"/>
    </row>
    <row r="89" spans="1:27" s="2" customFormat="1" ht="14.1" customHeight="1" x14ac:dyDescent="0.35">
      <c r="A89" s="260" t="s">
        <v>5</v>
      </c>
      <c r="B89" s="3" t="s">
        <v>35</v>
      </c>
      <c r="C89" s="4" t="s">
        <v>248</v>
      </c>
      <c r="D89" s="52">
        <v>4253064</v>
      </c>
      <c r="E89" s="98">
        <v>45041</v>
      </c>
      <c r="F89" s="44" t="s">
        <v>21</v>
      </c>
      <c r="G89" s="61">
        <v>45042</v>
      </c>
      <c r="H89" s="177" t="s">
        <v>174</v>
      </c>
      <c r="I89" s="42"/>
      <c r="J89" s="28"/>
      <c r="K89" s="28"/>
      <c r="L89" s="28"/>
      <c r="M89" s="28"/>
      <c r="N89" s="42"/>
      <c r="O89" s="28"/>
      <c r="P89" s="42"/>
      <c r="Q89" s="7"/>
      <c r="R89" s="43"/>
      <c r="S89" s="42">
        <v>483</v>
      </c>
      <c r="T89" s="43"/>
      <c r="U89" s="32"/>
      <c r="V89" s="53">
        <f t="shared" si="3"/>
        <v>483</v>
      </c>
      <c r="W89" s="64" t="s">
        <v>115</v>
      </c>
      <c r="X89" s="2" t="s">
        <v>59</v>
      </c>
      <c r="Y89" s="65" t="s">
        <v>18</v>
      </c>
      <c r="Z89" s="128"/>
      <c r="AA89" s="189"/>
    </row>
    <row r="90" spans="1:27" s="2" customFormat="1" ht="14.1" customHeight="1" x14ac:dyDescent="0.35">
      <c r="A90" s="260" t="s">
        <v>5</v>
      </c>
      <c r="B90" s="3" t="s">
        <v>35</v>
      </c>
      <c r="C90" s="4" t="s">
        <v>248</v>
      </c>
      <c r="D90" s="52">
        <v>4253065</v>
      </c>
      <c r="E90" s="98">
        <v>45041</v>
      </c>
      <c r="F90" s="44" t="s">
        <v>21</v>
      </c>
      <c r="G90" s="61">
        <v>45042</v>
      </c>
      <c r="H90" s="177" t="s">
        <v>174</v>
      </c>
      <c r="I90" s="42"/>
      <c r="J90" s="28"/>
      <c r="K90" s="28"/>
      <c r="L90" s="28"/>
      <c r="M90" s="28"/>
      <c r="N90" s="42"/>
      <c r="O90" s="28"/>
      <c r="P90" s="42"/>
      <c r="Q90" s="7"/>
      <c r="R90" s="43"/>
      <c r="S90" s="42">
        <v>602</v>
      </c>
      <c r="T90" s="43"/>
      <c r="U90" s="32"/>
      <c r="V90" s="53">
        <f t="shared" si="3"/>
        <v>602</v>
      </c>
      <c r="W90" s="64" t="s">
        <v>115</v>
      </c>
      <c r="X90" s="2" t="s">
        <v>59</v>
      </c>
      <c r="Y90" s="65" t="s">
        <v>18</v>
      </c>
      <c r="Z90" s="128"/>
      <c r="AA90" s="189"/>
    </row>
    <row r="91" spans="1:27" s="2" customFormat="1" ht="14.1" customHeight="1" x14ac:dyDescent="0.35">
      <c r="A91" s="260" t="s">
        <v>5</v>
      </c>
      <c r="B91" s="3" t="s">
        <v>240</v>
      </c>
      <c r="C91" s="4"/>
      <c r="D91" s="52">
        <v>4263051</v>
      </c>
      <c r="E91" s="98">
        <v>45042</v>
      </c>
      <c r="F91" s="44" t="s">
        <v>32</v>
      </c>
      <c r="G91" s="61">
        <v>45042</v>
      </c>
      <c r="H91" s="177" t="s">
        <v>147</v>
      </c>
      <c r="I91" s="42"/>
      <c r="J91" s="28"/>
      <c r="K91" s="28"/>
      <c r="L91" s="28"/>
      <c r="M91" s="28">
        <v>57.82</v>
      </c>
      <c r="N91" s="42"/>
      <c r="O91" s="28"/>
      <c r="P91" s="42"/>
      <c r="Q91" s="7"/>
      <c r="R91" s="43"/>
      <c r="S91" s="42"/>
      <c r="T91" s="43"/>
      <c r="U91" s="32"/>
      <c r="V91" s="53">
        <f t="shared" ref="V91:V117" si="4">SUM(I91:U91)</f>
        <v>57.82</v>
      </c>
      <c r="W91" s="64" t="s">
        <v>26</v>
      </c>
      <c r="X91" s="2" t="s">
        <v>5</v>
      </c>
      <c r="Y91" s="65" t="s">
        <v>136</v>
      </c>
      <c r="Z91" s="128" t="s">
        <v>188</v>
      </c>
      <c r="AA91" s="189"/>
    </row>
    <row r="92" spans="1:27" s="2" customFormat="1" ht="14.1" customHeight="1" x14ac:dyDescent="0.35">
      <c r="A92" s="260" t="s">
        <v>5</v>
      </c>
      <c r="B92" s="3" t="s">
        <v>249</v>
      </c>
      <c r="C92" s="4"/>
      <c r="D92" s="52">
        <v>4263062</v>
      </c>
      <c r="E92" s="98">
        <v>45042</v>
      </c>
      <c r="F92" s="44" t="s">
        <v>21</v>
      </c>
      <c r="G92" s="61">
        <v>45042</v>
      </c>
      <c r="H92" s="177" t="s">
        <v>174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1490</v>
      </c>
      <c r="T92" s="43"/>
      <c r="U92" s="32"/>
      <c r="V92" s="53">
        <f t="shared" si="4"/>
        <v>1490</v>
      </c>
      <c r="W92" s="64" t="s">
        <v>34</v>
      </c>
      <c r="X92" s="2" t="s">
        <v>250</v>
      </c>
      <c r="Y92" s="65" t="s">
        <v>18</v>
      </c>
      <c r="Z92" s="128"/>
      <c r="AA92" s="189"/>
    </row>
    <row r="93" spans="1:27" s="2" customFormat="1" ht="14.1" customHeight="1" x14ac:dyDescent="0.35">
      <c r="A93" s="260" t="s">
        <v>8</v>
      </c>
      <c r="B93" s="3" t="s">
        <v>251</v>
      </c>
      <c r="C93" s="4"/>
      <c r="D93" s="52">
        <v>4263051</v>
      </c>
      <c r="E93" s="98">
        <v>45042</v>
      </c>
      <c r="F93" s="44" t="s">
        <v>48</v>
      </c>
      <c r="G93" s="61">
        <v>45042</v>
      </c>
      <c r="H93" s="177" t="s">
        <v>147</v>
      </c>
      <c r="I93" s="42"/>
      <c r="J93" s="28"/>
      <c r="K93" s="28"/>
      <c r="L93" s="28"/>
      <c r="M93" s="28"/>
      <c r="N93" s="42"/>
      <c r="O93" s="28">
        <v>99</v>
      </c>
      <c r="P93" s="42"/>
      <c r="Q93" s="7"/>
      <c r="R93" s="43"/>
      <c r="S93" s="42"/>
      <c r="T93" s="43"/>
      <c r="U93" s="32">
        <v>8.42</v>
      </c>
      <c r="V93" s="53">
        <f t="shared" si="4"/>
        <v>107.42</v>
      </c>
      <c r="W93" s="64" t="s">
        <v>26</v>
      </c>
      <c r="X93" s="2" t="s">
        <v>8</v>
      </c>
      <c r="Y93" s="65" t="s">
        <v>18</v>
      </c>
      <c r="Z93" s="128"/>
      <c r="AA93" s="189"/>
    </row>
    <row r="94" spans="1:27" s="2" customFormat="1" ht="14.1" customHeight="1" x14ac:dyDescent="0.35">
      <c r="A94" s="260" t="s">
        <v>38</v>
      </c>
      <c r="B94" s="3" t="s">
        <v>252</v>
      </c>
      <c r="C94" s="4"/>
      <c r="D94" s="52">
        <v>4263052</v>
      </c>
      <c r="E94" s="98">
        <v>45042</v>
      </c>
      <c r="F94" s="44" t="s">
        <v>40</v>
      </c>
      <c r="G94" s="61">
        <v>45042</v>
      </c>
      <c r="H94" s="177" t="s">
        <v>147</v>
      </c>
      <c r="I94" s="42"/>
      <c r="J94" s="28"/>
      <c r="K94" s="28"/>
      <c r="L94" s="28"/>
      <c r="M94" s="28"/>
      <c r="N94" s="42">
        <v>49</v>
      </c>
      <c r="O94" s="28"/>
      <c r="P94" s="42"/>
      <c r="Q94" s="7"/>
      <c r="R94" s="43"/>
      <c r="S94" s="42"/>
      <c r="T94" s="43"/>
      <c r="U94" s="32"/>
      <c r="V94" s="53">
        <f t="shared" si="4"/>
        <v>49</v>
      </c>
      <c r="W94" s="64" t="s">
        <v>26</v>
      </c>
      <c r="X94" s="2" t="s">
        <v>38</v>
      </c>
      <c r="Y94" s="65" t="s">
        <v>18</v>
      </c>
      <c r="Z94" s="128"/>
      <c r="AA94" s="189"/>
    </row>
    <row r="95" spans="1:27" s="2" customFormat="1" ht="14.1" customHeight="1" x14ac:dyDescent="0.35">
      <c r="A95" s="260" t="s">
        <v>8</v>
      </c>
      <c r="B95" s="3" t="s">
        <v>253</v>
      </c>
      <c r="C95" s="4"/>
      <c r="D95" s="52">
        <v>4263053</v>
      </c>
      <c r="E95" s="98">
        <v>45042</v>
      </c>
      <c r="F95" s="44" t="s">
        <v>40</v>
      </c>
      <c r="G95" s="61">
        <v>45042</v>
      </c>
      <c r="H95" s="177" t="s">
        <v>141</v>
      </c>
      <c r="I95" s="42"/>
      <c r="J95" s="28"/>
      <c r="K95" s="28"/>
      <c r="L95" s="28"/>
      <c r="M95" s="28"/>
      <c r="N95" s="42">
        <v>49</v>
      </c>
      <c r="O95" s="28"/>
      <c r="P95" s="42"/>
      <c r="Q95" s="7"/>
      <c r="R95" s="43"/>
      <c r="S95" s="42"/>
      <c r="T95" s="43"/>
      <c r="U95" s="32"/>
      <c r="V95" s="53">
        <f t="shared" si="4"/>
        <v>49</v>
      </c>
      <c r="W95" s="64" t="s">
        <v>26</v>
      </c>
      <c r="X95" s="2" t="s">
        <v>8</v>
      </c>
      <c r="Y95" s="65" t="s">
        <v>18</v>
      </c>
      <c r="Z95" s="128"/>
      <c r="AA95" s="189"/>
    </row>
    <row r="96" spans="1:27" s="2" customFormat="1" ht="14.1" customHeight="1" x14ac:dyDescent="0.35">
      <c r="A96" s="260" t="s">
        <v>39</v>
      </c>
      <c r="B96" s="3" t="s">
        <v>126</v>
      </c>
      <c r="C96" s="4"/>
      <c r="D96" s="52">
        <v>4263101</v>
      </c>
      <c r="E96" s="98">
        <v>45042</v>
      </c>
      <c r="F96" s="44" t="s">
        <v>21</v>
      </c>
      <c r="G96" s="61">
        <v>45042</v>
      </c>
      <c r="H96" s="177" t="s">
        <v>141</v>
      </c>
      <c r="I96" s="42"/>
      <c r="J96" s="28"/>
      <c r="K96" s="28"/>
      <c r="L96" s="28"/>
      <c r="M96" s="28"/>
      <c r="N96" s="42"/>
      <c r="O96" s="28"/>
      <c r="P96" s="42"/>
      <c r="Q96" s="7"/>
      <c r="R96" s="43"/>
      <c r="S96" s="42">
        <v>39</v>
      </c>
      <c r="T96" s="43"/>
      <c r="U96" s="32">
        <v>3.22</v>
      </c>
      <c r="V96" s="53">
        <f t="shared" si="4"/>
        <v>42.22</v>
      </c>
      <c r="W96" s="64" t="s">
        <v>7</v>
      </c>
      <c r="X96" s="2" t="s">
        <v>6</v>
      </c>
      <c r="Y96" s="65" t="s">
        <v>18</v>
      </c>
      <c r="Z96" s="128"/>
      <c r="AA96" s="189"/>
    </row>
    <row r="97" spans="1:27" s="2" customFormat="1" ht="14.1" customHeight="1" x14ac:dyDescent="0.35">
      <c r="A97" s="260" t="s">
        <v>39</v>
      </c>
      <c r="B97" s="3" t="s">
        <v>254</v>
      </c>
      <c r="C97" s="4"/>
      <c r="D97" s="52">
        <v>4253101</v>
      </c>
      <c r="E97" s="98">
        <v>45041</v>
      </c>
      <c r="F97" s="44" t="s">
        <v>21</v>
      </c>
      <c r="G97" s="61">
        <v>45043</v>
      </c>
      <c r="H97" s="177" t="s">
        <v>116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55</v>
      </c>
      <c r="T97" s="43">
        <v>12.5</v>
      </c>
      <c r="U97" s="32">
        <v>4.68</v>
      </c>
      <c r="V97" s="53">
        <f t="shared" si="4"/>
        <v>72.180000000000007</v>
      </c>
      <c r="W97" s="64" t="s">
        <v>115</v>
      </c>
      <c r="X97" s="2" t="s">
        <v>59</v>
      </c>
      <c r="Y97" s="65" t="s">
        <v>18</v>
      </c>
      <c r="Z97" s="128"/>
      <c r="AA97" s="189"/>
    </row>
    <row r="98" spans="1:27" s="2" customFormat="1" ht="14.1" customHeight="1" x14ac:dyDescent="0.35">
      <c r="A98" s="260" t="s">
        <v>39</v>
      </c>
      <c r="B98" s="3" t="s">
        <v>255</v>
      </c>
      <c r="C98" s="4"/>
      <c r="D98" s="52">
        <v>4263102</v>
      </c>
      <c r="E98" s="98">
        <v>45042</v>
      </c>
      <c r="F98" s="44" t="s">
        <v>21</v>
      </c>
      <c r="G98" s="61">
        <v>45043</v>
      </c>
      <c r="H98" s="177" t="s">
        <v>256</v>
      </c>
      <c r="I98" s="42"/>
      <c r="J98" s="28"/>
      <c r="K98" s="28"/>
      <c r="L98" s="28"/>
      <c r="M98" s="28"/>
      <c r="N98" s="42"/>
      <c r="O98" s="28"/>
      <c r="P98" s="42"/>
      <c r="Q98" s="7"/>
      <c r="R98" s="43"/>
      <c r="S98" s="42">
        <v>650</v>
      </c>
      <c r="T98" s="43">
        <v>125</v>
      </c>
      <c r="U98" s="32">
        <v>55.25</v>
      </c>
      <c r="V98" s="53">
        <f t="shared" si="4"/>
        <v>830.25</v>
      </c>
      <c r="W98" s="64" t="s">
        <v>115</v>
      </c>
      <c r="X98" s="2" t="s">
        <v>59</v>
      </c>
      <c r="Y98" s="65" t="s">
        <v>136</v>
      </c>
      <c r="Z98" s="128" t="s">
        <v>149</v>
      </c>
      <c r="AA98" s="189"/>
    </row>
    <row r="99" spans="1:27" s="2" customFormat="1" ht="14.1" customHeight="1" x14ac:dyDescent="0.35">
      <c r="A99" s="260" t="s">
        <v>39</v>
      </c>
      <c r="B99" s="3" t="s">
        <v>257</v>
      </c>
      <c r="C99" s="4"/>
      <c r="D99" s="52">
        <v>4263104</v>
      </c>
      <c r="E99" s="98">
        <v>45042</v>
      </c>
      <c r="F99" s="44" t="s">
        <v>21</v>
      </c>
      <c r="G99" s="61">
        <v>45043</v>
      </c>
      <c r="H99" s="177" t="s">
        <v>161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65</v>
      </c>
      <c r="T99" s="43">
        <v>12.5</v>
      </c>
      <c r="U99" s="32">
        <v>5.61</v>
      </c>
      <c r="V99" s="53">
        <f t="shared" si="4"/>
        <v>83.11</v>
      </c>
      <c r="W99" s="64" t="s">
        <v>115</v>
      </c>
      <c r="X99" s="2" t="s">
        <v>59</v>
      </c>
      <c r="Y99" s="65" t="s">
        <v>18</v>
      </c>
      <c r="Z99" s="128"/>
      <c r="AA99" s="189"/>
    </row>
    <row r="100" spans="1:27" s="2" customFormat="1" ht="14.1" customHeight="1" x14ac:dyDescent="0.35">
      <c r="A100" s="260" t="s">
        <v>39</v>
      </c>
      <c r="B100" s="3" t="s">
        <v>260</v>
      </c>
      <c r="C100" s="4"/>
      <c r="D100" s="52">
        <v>4263103</v>
      </c>
      <c r="E100" s="98">
        <v>45042</v>
      </c>
      <c r="F100" s="44" t="s">
        <v>21</v>
      </c>
      <c r="G100" s="61">
        <v>45043</v>
      </c>
      <c r="H100" s="177" t="s">
        <v>245</v>
      </c>
      <c r="I100" s="42"/>
      <c r="J100" s="28"/>
      <c r="K100" s="28"/>
      <c r="L100" s="28"/>
      <c r="M100" s="28"/>
      <c r="N100" s="42"/>
      <c r="O100" s="28"/>
      <c r="P100" s="42"/>
      <c r="Q100" s="7"/>
      <c r="R100" s="43"/>
      <c r="S100" s="42">
        <v>414</v>
      </c>
      <c r="T100" s="43">
        <v>100</v>
      </c>
      <c r="U100" s="32">
        <v>38.299999999999997</v>
      </c>
      <c r="V100" s="53">
        <f t="shared" si="4"/>
        <v>552.29999999999995</v>
      </c>
      <c r="W100" s="64" t="s">
        <v>115</v>
      </c>
      <c r="X100" s="2" t="s">
        <v>59</v>
      </c>
      <c r="Y100" s="65" t="s">
        <v>18</v>
      </c>
      <c r="Z100" s="128"/>
      <c r="AA100" s="189"/>
    </row>
    <row r="101" spans="1:27" s="2" customFormat="1" ht="14.1" customHeight="1" x14ac:dyDescent="0.35">
      <c r="A101" s="260" t="s">
        <v>39</v>
      </c>
      <c r="B101" s="3" t="s">
        <v>258</v>
      </c>
      <c r="C101" s="4"/>
      <c r="D101" s="52">
        <v>4273101</v>
      </c>
      <c r="E101" s="98">
        <v>45043</v>
      </c>
      <c r="F101" s="44" t="s">
        <v>21</v>
      </c>
      <c r="G101" s="61">
        <v>45043</v>
      </c>
      <c r="H101" s="177" t="s">
        <v>157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110</v>
      </c>
      <c r="T101" s="43">
        <v>25</v>
      </c>
      <c r="U101" s="32">
        <v>9.35</v>
      </c>
      <c r="V101" s="53">
        <f t="shared" si="4"/>
        <v>144.35</v>
      </c>
      <c r="W101" s="64" t="s">
        <v>115</v>
      </c>
      <c r="X101" s="2" t="s">
        <v>59</v>
      </c>
      <c r="Y101" s="65" t="s">
        <v>18</v>
      </c>
      <c r="Z101" s="128"/>
      <c r="AA101" s="189"/>
    </row>
    <row r="102" spans="1:27" s="2" customFormat="1" ht="14.1" customHeight="1" x14ac:dyDescent="0.35">
      <c r="A102" s="260" t="s">
        <v>39</v>
      </c>
      <c r="B102" s="3" t="s">
        <v>259</v>
      </c>
      <c r="C102" s="4"/>
      <c r="D102" s="52">
        <v>4273102</v>
      </c>
      <c r="E102" s="98">
        <v>45043</v>
      </c>
      <c r="F102" s="44" t="s">
        <v>21</v>
      </c>
      <c r="G102" s="61">
        <v>45043</v>
      </c>
      <c r="H102" s="177" t="s">
        <v>157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220</v>
      </c>
      <c r="T102" s="43">
        <v>50</v>
      </c>
      <c r="U102" s="32">
        <v>20.239999999999998</v>
      </c>
      <c r="V102" s="53">
        <f t="shared" si="4"/>
        <v>290.24</v>
      </c>
      <c r="W102" s="64" t="s">
        <v>115</v>
      </c>
      <c r="X102" s="2" t="s">
        <v>59</v>
      </c>
      <c r="Y102" s="65" t="s">
        <v>18</v>
      </c>
      <c r="Z102" s="128"/>
      <c r="AA102" s="189"/>
    </row>
    <row r="103" spans="1:27" s="2" customFormat="1" ht="14.1" customHeight="1" x14ac:dyDescent="0.35">
      <c r="A103" s="260" t="s">
        <v>38</v>
      </c>
      <c r="B103" s="3" t="s">
        <v>261</v>
      </c>
      <c r="C103" s="4" t="s">
        <v>262</v>
      </c>
      <c r="D103" s="52">
        <v>4273251</v>
      </c>
      <c r="E103" s="98">
        <v>45043</v>
      </c>
      <c r="F103" s="44" t="s">
        <v>263</v>
      </c>
      <c r="G103" s="61">
        <v>45044</v>
      </c>
      <c r="H103" s="177" t="s">
        <v>262</v>
      </c>
      <c r="I103" s="42">
        <v>995</v>
      </c>
      <c r="J103" s="28"/>
      <c r="K103" s="28">
        <v>180</v>
      </c>
      <c r="L103" s="28"/>
      <c r="M103" s="28"/>
      <c r="N103" s="42"/>
      <c r="O103" s="28"/>
      <c r="P103" s="42"/>
      <c r="Q103" s="7"/>
      <c r="R103" s="43">
        <v>90</v>
      </c>
      <c r="S103" s="42"/>
      <c r="T103" s="43"/>
      <c r="U103" s="32">
        <v>97.01</v>
      </c>
      <c r="V103" s="53">
        <f t="shared" si="4"/>
        <v>1362.01</v>
      </c>
      <c r="W103" s="64" t="s">
        <v>7</v>
      </c>
      <c r="X103" s="2" t="s">
        <v>38</v>
      </c>
      <c r="Y103" s="65" t="s">
        <v>18</v>
      </c>
      <c r="Z103" s="128"/>
      <c r="AA103" s="189"/>
    </row>
    <row r="104" spans="1:27" s="2" customFormat="1" ht="14.1" customHeight="1" x14ac:dyDescent="0.35">
      <c r="A104" s="260" t="s">
        <v>39</v>
      </c>
      <c r="B104" s="3" t="s">
        <v>62</v>
      </c>
      <c r="C104" s="4" t="s">
        <v>264</v>
      </c>
      <c r="D104" s="52">
        <v>4283102</v>
      </c>
      <c r="E104" s="98">
        <v>45044</v>
      </c>
      <c r="F104" s="44" t="s">
        <v>21</v>
      </c>
      <c r="G104" s="61">
        <v>45044</v>
      </c>
      <c r="H104" s="177" t="s">
        <v>149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110</v>
      </c>
      <c r="T104" s="43">
        <v>25</v>
      </c>
      <c r="U104" s="32">
        <v>10.18</v>
      </c>
      <c r="V104" s="53">
        <f t="shared" si="4"/>
        <v>145.18</v>
      </c>
      <c r="W104" s="64" t="s">
        <v>115</v>
      </c>
      <c r="X104" s="2" t="s">
        <v>59</v>
      </c>
      <c r="Y104" s="65" t="s">
        <v>18</v>
      </c>
      <c r="Z104" s="128"/>
      <c r="AA104" s="189"/>
    </row>
    <row r="105" spans="1:27" s="2" customFormat="1" ht="14.1" customHeight="1" x14ac:dyDescent="0.35">
      <c r="A105" s="260" t="s">
        <v>39</v>
      </c>
      <c r="B105" s="3" t="s">
        <v>265</v>
      </c>
      <c r="C105" s="4"/>
      <c r="D105" s="52">
        <v>4283103</v>
      </c>
      <c r="E105" s="98">
        <v>45044</v>
      </c>
      <c r="F105" s="44" t="s">
        <v>21</v>
      </c>
      <c r="G105" s="61">
        <v>45044</v>
      </c>
      <c r="H105" s="177" t="s">
        <v>266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65</v>
      </c>
      <c r="T105" s="43">
        <v>12.5</v>
      </c>
      <c r="U105" s="32">
        <v>5.36</v>
      </c>
      <c r="V105" s="53">
        <f t="shared" si="4"/>
        <v>82.86</v>
      </c>
      <c r="W105" s="64" t="s">
        <v>115</v>
      </c>
      <c r="X105" s="2" t="s">
        <v>59</v>
      </c>
      <c r="Y105" s="65" t="s">
        <v>136</v>
      </c>
      <c r="Z105" s="128" t="s">
        <v>149</v>
      </c>
      <c r="AA105" s="189"/>
    </row>
    <row r="106" spans="1:27" s="2" customFormat="1" ht="14.1" customHeight="1" x14ac:dyDescent="0.35">
      <c r="A106" s="260"/>
      <c r="B106" s="3"/>
      <c r="C106" s="4"/>
      <c r="D106" s="52"/>
      <c r="E106" s="98"/>
      <c r="F106" s="44"/>
      <c r="G106" s="61"/>
      <c r="H106" s="177"/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/>
      <c r="T106" s="43"/>
      <c r="U106" s="32"/>
      <c r="V106" s="53">
        <f t="shared" si="4"/>
        <v>0</v>
      </c>
      <c r="W106" s="64"/>
      <c r="Y106" s="65"/>
      <c r="Z106" s="128"/>
      <c r="AA106" s="189"/>
    </row>
    <row r="107" spans="1:27" s="2" customFormat="1" ht="14.1" customHeight="1" x14ac:dyDescent="0.35">
      <c r="A107" s="260"/>
      <c r="B107" s="3"/>
      <c r="C107" s="4"/>
      <c r="D107" s="52"/>
      <c r="E107" s="98"/>
      <c r="F107" s="44"/>
      <c r="G107" s="61"/>
      <c r="H107" s="177"/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/>
      <c r="T107" s="43"/>
      <c r="U107" s="32"/>
      <c r="V107" s="53">
        <f t="shared" si="4"/>
        <v>0</v>
      </c>
      <c r="W107" s="64"/>
      <c r="Y107" s="65"/>
      <c r="Z107" s="128"/>
      <c r="AA107" s="189"/>
    </row>
    <row r="108" spans="1:27" s="2" customFormat="1" ht="14.1" customHeight="1" x14ac:dyDescent="0.35">
      <c r="A108" s="260"/>
      <c r="B108" s="3"/>
      <c r="C108" s="4"/>
      <c r="D108" s="52"/>
      <c r="E108" s="98"/>
      <c r="F108" s="44"/>
      <c r="G108" s="61"/>
      <c r="H108" s="177"/>
      <c r="I108" s="42"/>
      <c r="J108" s="28"/>
      <c r="K108" s="28"/>
      <c r="L108" s="28"/>
      <c r="M108" s="28"/>
      <c r="N108" s="42"/>
      <c r="O108" s="28"/>
      <c r="P108" s="42"/>
      <c r="Q108" s="7"/>
      <c r="R108" s="43"/>
      <c r="S108" s="42"/>
      <c r="T108" s="43"/>
      <c r="U108" s="32"/>
      <c r="V108" s="53">
        <f t="shared" si="4"/>
        <v>0</v>
      </c>
      <c r="W108" s="64"/>
      <c r="Y108" s="65"/>
      <c r="Z108" s="128"/>
      <c r="AA108" s="189"/>
    </row>
    <row r="109" spans="1:27" s="2" customFormat="1" ht="14.1" customHeight="1" x14ac:dyDescent="0.35">
      <c r="A109" s="260"/>
      <c r="B109" s="3"/>
      <c r="C109" s="4"/>
      <c r="D109" s="52"/>
      <c r="E109" s="98"/>
      <c r="F109" s="44"/>
      <c r="G109" s="61"/>
      <c r="H109" s="177"/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/>
      <c r="T109" s="43"/>
      <c r="U109" s="32"/>
      <c r="V109" s="53">
        <f t="shared" si="4"/>
        <v>0</v>
      </c>
      <c r="W109" s="64"/>
      <c r="Y109" s="65"/>
      <c r="Z109" s="128"/>
      <c r="AA109" s="189"/>
    </row>
    <row r="110" spans="1:27" s="2" customFormat="1" ht="14.1" customHeight="1" x14ac:dyDescent="0.35">
      <c r="A110" s="260"/>
      <c r="B110" s="3"/>
      <c r="C110" s="4"/>
      <c r="D110" s="52"/>
      <c r="E110" s="98"/>
      <c r="F110" s="44"/>
      <c r="G110" s="61"/>
      <c r="H110" s="177"/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/>
      <c r="T110" s="43"/>
      <c r="U110" s="32"/>
      <c r="V110" s="53">
        <f t="shared" si="4"/>
        <v>0</v>
      </c>
      <c r="W110" s="64"/>
      <c r="Y110" s="65"/>
      <c r="Z110" s="128"/>
      <c r="AA110" s="189"/>
    </row>
    <row r="111" spans="1:27" s="2" customFormat="1" ht="14.1" customHeight="1" x14ac:dyDescent="0.35">
      <c r="A111" s="260"/>
      <c r="B111" s="3"/>
      <c r="C111" s="4"/>
      <c r="D111" s="52"/>
      <c r="E111" s="98"/>
      <c r="F111" s="44"/>
      <c r="G111" s="61"/>
      <c r="H111" s="177"/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/>
      <c r="T111" s="43"/>
      <c r="U111" s="32"/>
      <c r="V111" s="53">
        <f t="shared" si="4"/>
        <v>0</v>
      </c>
      <c r="W111" s="64"/>
      <c r="Y111" s="65"/>
      <c r="Z111" s="128"/>
      <c r="AA111" s="189"/>
    </row>
    <row r="112" spans="1:27" s="2" customFormat="1" ht="14.1" customHeight="1" x14ac:dyDescent="0.35">
      <c r="A112" s="260"/>
      <c r="B112" s="3"/>
      <c r="C112" s="4"/>
      <c r="D112" s="52"/>
      <c r="E112" s="98"/>
      <c r="F112" s="44"/>
      <c r="G112" s="61"/>
      <c r="H112" s="177"/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/>
      <c r="T112" s="43"/>
      <c r="U112" s="32"/>
      <c r="V112" s="53">
        <f t="shared" si="4"/>
        <v>0</v>
      </c>
      <c r="W112" s="64"/>
      <c r="Y112" s="65"/>
      <c r="Z112" s="128"/>
      <c r="AA112" s="189"/>
    </row>
    <row r="113" spans="1:27" s="2" customFormat="1" ht="14.1" customHeight="1" x14ac:dyDescent="0.35">
      <c r="A113" s="260"/>
      <c r="B113" s="3"/>
      <c r="C113" s="4"/>
      <c r="D113" s="52"/>
      <c r="E113" s="98"/>
      <c r="F113" s="44"/>
      <c r="G113" s="61"/>
      <c r="H113" s="177"/>
      <c r="I113" s="42"/>
      <c r="J113" s="28"/>
      <c r="K113" s="28"/>
      <c r="L113" s="28"/>
      <c r="M113" s="28"/>
      <c r="N113" s="42"/>
      <c r="O113" s="28"/>
      <c r="P113" s="42"/>
      <c r="Q113" s="7"/>
      <c r="R113" s="43"/>
      <c r="S113" s="42"/>
      <c r="T113" s="43"/>
      <c r="U113" s="32"/>
      <c r="V113" s="53">
        <f t="shared" si="4"/>
        <v>0</v>
      </c>
      <c r="W113" s="64"/>
      <c r="Y113" s="65"/>
      <c r="Z113" s="128"/>
      <c r="AA113" s="189"/>
    </row>
    <row r="114" spans="1:27" s="2" customFormat="1" ht="14.1" customHeight="1" x14ac:dyDescent="0.35">
      <c r="A114" s="260"/>
      <c r="B114" s="3"/>
      <c r="C114" s="4"/>
      <c r="D114" s="52"/>
      <c r="E114" s="98"/>
      <c r="F114" s="44"/>
      <c r="G114" s="61"/>
      <c r="H114" s="177"/>
      <c r="I114" s="42"/>
      <c r="J114" s="28"/>
      <c r="K114" s="28"/>
      <c r="L114" s="28"/>
      <c r="M114" s="28"/>
      <c r="N114" s="42"/>
      <c r="O114" s="28"/>
      <c r="P114" s="42"/>
      <c r="Q114" s="7"/>
      <c r="R114" s="43"/>
      <c r="S114" s="42"/>
      <c r="T114" s="43"/>
      <c r="U114" s="32"/>
      <c r="V114" s="53">
        <f t="shared" si="4"/>
        <v>0</v>
      </c>
      <c r="W114" s="64"/>
      <c r="Y114" s="65"/>
      <c r="Z114" s="128"/>
      <c r="AA114" s="189"/>
    </row>
    <row r="115" spans="1:27" s="2" customFormat="1" ht="14.1" customHeight="1" x14ac:dyDescent="0.35">
      <c r="A115" s="260"/>
      <c r="B115" s="3"/>
      <c r="C115" s="4"/>
      <c r="D115" s="52"/>
      <c r="E115" s="98"/>
      <c r="F115" s="44"/>
      <c r="G115" s="61"/>
      <c r="H115" s="177"/>
      <c r="I115" s="42"/>
      <c r="J115" s="28"/>
      <c r="K115" s="28"/>
      <c r="L115" s="28"/>
      <c r="M115" s="28"/>
      <c r="N115" s="42"/>
      <c r="O115" s="28"/>
      <c r="P115" s="42"/>
      <c r="Q115" s="7"/>
      <c r="R115" s="43"/>
      <c r="S115" s="42"/>
      <c r="T115" s="43"/>
      <c r="U115" s="32"/>
      <c r="V115" s="53">
        <f t="shared" si="4"/>
        <v>0</v>
      </c>
      <c r="W115" s="64"/>
      <c r="Y115" s="65"/>
      <c r="Z115" s="128"/>
      <c r="AA115" s="189"/>
    </row>
    <row r="116" spans="1:27" s="2" customFormat="1" ht="14.1" customHeight="1" x14ac:dyDescent="0.35">
      <c r="A116" s="260"/>
      <c r="B116" s="3"/>
      <c r="C116" s="4"/>
      <c r="D116" s="52"/>
      <c r="E116" s="98"/>
      <c r="F116" s="44"/>
      <c r="G116" s="61"/>
      <c r="H116" s="177"/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/>
      <c r="T116" s="43"/>
      <c r="U116" s="32"/>
      <c r="V116" s="53">
        <f t="shared" si="4"/>
        <v>0</v>
      </c>
      <c r="W116" s="64"/>
      <c r="Y116" s="65"/>
      <c r="Z116" s="128"/>
      <c r="AA116" s="189"/>
    </row>
    <row r="117" spans="1:27" s="2" customFormat="1" ht="14.1" customHeight="1" x14ac:dyDescent="0.35">
      <c r="A117" s="260"/>
      <c r="B117" s="3"/>
      <c r="C117" s="4"/>
      <c r="D117" s="52"/>
      <c r="E117" s="98"/>
      <c r="F117" s="44"/>
      <c r="G117" s="61"/>
      <c r="H117" s="177"/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/>
      <c r="T117" s="43"/>
      <c r="U117" s="32"/>
      <c r="V117" s="53">
        <f t="shared" si="4"/>
        <v>0</v>
      </c>
      <c r="W117" s="64"/>
      <c r="Y117" s="65"/>
      <c r="Z117" s="128"/>
      <c r="AA117" s="189"/>
    </row>
    <row r="118" spans="1:27" s="2" customFormat="1" ht="14.1" customHeight="1" thickBot="1" x14ac:dyDescent="0.4">
      <c r="A118" s="260"/>
      <c r="B118" s="3"/>
      <c r="C118" s="4"/>
      <c r="D118" s="52"/>
      <c r="E118" s="98"/>
      <c r="F118" s="44"/>
      <c r="G118" s="61"/>
      <c r="H118" s="177"/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/>
      <c r="T118" s="43"/>
      <c r="U118" s="32"/>
      <c r="V118" s="53"/>
      <c r="W118" s="64"/>
      <c r="Y118" s="65"/>
      <c r="Z118" s="128"/>
      <c r="AA118" s="189"/>
    </row>
    <row r="119" spans="1:27" s="2" customFormat="1" ht="14.1" customHeight="1" thickBot="1" x14ac:dyDescent="0.4">
      <c r="A119" s="261"/>
      <c r="B119" s="162" t="s">
        <v>10</v>
      </c>
      <c r="C119" s="45"/>
      <c r="D119" s="89"/>
      <c r="E119" s="90"/>
      <c r="F119" s="45"/>
      <c r="G119" s="91"/>
      <c r="H119" s="178"/>
      <c r="I119" s="163">
        <f>SUM(I5:I118)</f>
        <v>43030</v>
      </c>
      <c r="J119" s="163">
        <f>SUM(J5:J118)</f>
        <v>348</v>
      </c>
      <c r="K119" s="163">
        <f>SUM(K5:K118)</f>
        <v>1260</v>
      </c>
      <c r="L119" s="164">
        <f>SUM(L5:L118)</f>
        <v>734.33999999999992</v>
      </c>
      <c r="M119" s="165">
        <f>SUM(M5:M118)</f>
        <v>9988.52</v>
      </c>
      <c r="N119" s="369">
        <f>SUM(N5:O118)</f>
        <v>-1752</v>
      </c>
      <c r="O119" s="370"/>
      <c r="P119" s="180">
        <f t="shared" ref="P119:V119" si="5">SUM(P5:P118)</f>
        <v>0</v>
      </c>
      <c r="Q119" s="180">
        <f t="shared" si="5"/>
        <v>360</v>
      </c>
      <c r="R119" s="180">
        <f t="shared" si="5"/>
        <v>90</v>
      </c>
      <c r="S119" s="181">
        <f t="shared" si="5"/>
        <v>15062</v>
      </c>
      <c r="T119" s="181">
        <f t="shared" si="5"/>
        <v>2785</v>
      </c>
      <c r="U119" s="171">
        <f t="shared" si="5"/>
        <v>5155.25</v>
      </c>
      <c r="V119" s="166">
        <f t="shared" si="5"/>
        <v>77061.109999999986</v>
      </c>
      <c r="W119" s="50"/>
      <c r="X119" s="92"/>
      <c r="Y119" s="170"/>
      <c r="Z119" s="272"/>
      <c r="AA119" s="171">
        <f>SUM(AA5:AA118)</f>
        <v>0</v>
      </c>
    </row>
    <row r="120" spans="1:27" s="6" customFormat="1" ht="12.75" customHeight="1" x14ac:dyDescent="0.35">
      <c r="A120" s="262"/>
      <c r="C120" s="252"/>
      <c r="D120" s="252"/>
      <c r="F120" s="252"/>
      <c r="G120" s="253"/>
      <c r="H120" s="254"/>
      <c r="X120" s="81"/>
      <c r="Y120" s="81"/>
      <c r="Z120" s="255"/>
    </row>
    <row r="121" spans="1:27" ht="14.25" customHeight="1" x14ac:dyDescent="0.35">
      <c r="S121" s="6"/>
    </row>
    <row r="122" spans="1:27" ht="9" customHeight="1" x14ac:dyDescent="0.35">
      <c r="S122" s="6"/>
    </row>
  </sheetData>
  <mergeCells count="2">
    <mergeCell ref="A1:B1"/>
    <mergeCell ref="N119:O119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FD322"/>
  <sheetViews>
    <sheetView zoomScale="120" zoomScaleNormal="120" workbookViewId="0">
      <pane ySplit="2" topLeftCell="A38" activePane="bottomLeft" state="frozen"/>
      <selection pane="bottomLeft" activeCell="M55" sqref="M55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5.66406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7" ht="18.75" customHeight="1" thickBot="1" x14ac:dyDescent="0.4">
      <c r="A1" s="263"/>
      <c r="B1" s="264">
        <v>45044</v>
      </c>
      <c r="C1" s="137"/>
      <c r="D1" s="138"/>
      <c r="E1" s="265" t="s">
        <v>11</v>
      </c>
      <c r="F1" s="266"/>
      <c r="G1" s="266"/>
      <c r="H1" s="139" t="s">
        <v>27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7" s="2" customFormat="1" ht="12.75" customHeight="1" thickBot="1" x14ac:dyDescent="0.4">
      <c r="A2" s="84" t="s">
        <v>0</v>
      </c>
      <c r="B2" s="106" t="s">
        <v>1</v>
      </c>
      <c r="C2" s="106"/>
      <c r="D2" s="150" t="s">
        <v>20</v>
      </c>
      <c r="E2" s="151" t="s">
        <v>2</v>
      </c>
      <c r="F2" s="152" t="s">
        <v>3</v>
      </c>
      <c r="G2" s="153" t="s">
        <v>4</v>
      </c>
      <c r="H2" s="154" t="s">
        <v>50</v>
      </c>
      <c r="I2" s="154" t="s">
        <v>51</v>
      </c>
      <c r="J2" s="154" t="s">
        <v>25</v>
      </c>
      <c r="K2" s="154" t="s">
        <v>52</v>
      </c>
      <c r="L2" s="92" t="s">
        <v>32</v>
      </c>
      <c r="M2" s="183" t="s">
        <v>53</v>
      </c>
      <c r="N2" s="92" t="s">
        <v>54</v>
      </c>
      <c r="O2" s="154" t="s">
        <v>55</v>
      </c>
      <c r="P2" s="154" t="s">
        <v>56</v>
      </c>
      <c r="Q2" s="92" t="s">
        <v>30</v>
      </c>
      <c r="R2" s="154" t="s">
        <v>57</v>
      </c>
      <c r="S2" s="154" t="s">
        <v>58</v>
      </c>
      <c r="T2" s="155" t="s">
        <v>17</v>
      </c>
      <c r="U2" s="106" t="s">
        <v>10</v>
      </c>
      <c r="V2" s="37"/>
      <c r="W2" s="156"/>
      <c r="X2" s="156"/>
      <c r="Y2" s="241"/>
      <c r="Z2" s="3"/>
    </row>
    <row r="3" spans="1:27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7" s="2" customFormat="1" ht="14.1" customHeight="1" x14ac:dyDescent="0.35">
      <c r="A4" s="191" t="s">
        <v>63</v>
      </c>
      <c r="B4" s="232" t="s">
        <v>79</v>
      </c>
      <c r="C4" s="250"/>
      <c r="D4" s="237">
        <v>12052064</v>
      </c>
      <c r="E4" s="193">
        <v>44900</v>
      </c>
      <c r="F4" s="196" t="s">
        <v>78</v>
      </c>
      <c r="G4" s="233">
        <v>44902</v>
      </c>
      <c r="H4" s="202"/>
      <c r="I4" s="199"/>
      <c r="J4" s="199"/>
      <c r="K4" s="199"/>
      <c r="L4" s="199"/>
      <c r="M4" s="202"/>
      <c r="N4" s="199"/>
      <c r="O4" s="202">
        <v>25</v>
      </c>
      <c r="P4" s="234"/>
      <c r="Q4" s="205">
        <v>10</v>
      </c>
      <c r="R4" s="202"/>
      <c r="S4" s="205"/>
      <c r="T4" s="208">
        <v>2.16</v>
      </c>
      <c r="U4" s="211">
        <f t="shared" ref="U4:U11" si="0">SUM(H4:T4)</f>
        <v>37.159999999999997</v>
      </c>
      <c r="V4" s="213" t="s">
        <v>7</v>
      </c>
      <c r="W4" s="235" t="s">
        <v>63</v>
      </c>
      <c r="X4" s="65" t="s">
        <v>18</v>
      </c>
      <c r="Y4" s="105"/>
      <c r="Z4" s="189"/>
    </row>
    <row r="5" spans="1:27" s="2" customFormat="1" ht="14.1" customHeight="1" x14ac:dyDescent="0.35">
      <c r="A5" s="191" t="s">
        <v>39</v>
      </c>
      <c r="B5" s="232" t="s">
        <v>74</v>
      </c>
      <c r="C5" s="250"/>
      <c r="D5" s="237">
        <v>12162102</v>
      </c>
      <c r="E5" s="193">
        <v>44911</v>
      </c>
      <c r="F5" s="196" t="s">
        <v>21</v>
      </c>
      <c r="G5" s="233">
        <v>44911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149</v>
      </c>
      <c r="S5" s="205"/>
      <c r="T5" s="208">
        <v>12.29</v>
      </c>
      <c r="U5" s="211">
        <f t="shared" si="0"/>
        <v>161.29</v>
      </c>
      <c r="V5" s="213" t="s">
        <v>34</v>
      </c>
      <c r="W5" s="235" t="s">
        <v>80</v>
      </c>
      <c r="X5" s="65" t="s">
        <v>18</v>
      </c>
      <c r="Y5" s="105" t="s">
        <v>65</v>
      </c>
      <c r="Z5" s="189"/>
    </row>
    <row r="6" spans="1:27" s="2" customFormat="1" ht="14.1" customHeight="1" x14ac:dyDescent="0.35">
      <c r="A6" s="191" t="s">
        <v>8</v>
      </c>
      <c r="B6" s="232" t="s">
        <v>81</v>
      </c>
      <c r="C6" s="250"/>
      <c r="D6" s="237">
        <v>12192051</v>
      </c>
      <c r="E6" s="193">
        <v>44914</v>
      </c>
      <c r="F6" s="196" t="s">
        <v>40</v>
      </c>
      <c r="G6" s="233">
        <v>44914</v>
      </c>
      <c r="H6" s="202"/>
      <c r="I6" s="199"/>
      <c r="J6" s="199"/>
      <c r="K6" s="199"/>
      <c r="L6" s="199"/>
      <c r="M6" s="202">
        <v>750</v>
      </c>
      <c r="N6" s="199"/>
      <c r="O6" s="202"/>
      <c r="P6" s="234"/>
      <c r="Q6" s="205"/>
      <c r="R6" s="202"/>
      <c r="S6" s="205"/>
      <c r="T6" s="208"/>
      <c r="U6" s="211">
        <f t="shared" si="0"/>
        <v>750</v>
      </c>
      <c r="V6" s="213" t="s">
        <v>26</v>
      </c>
      <c r="W6" s="235" t="s">
        <v>8</v>
      </c>
      <c r="X6" s="65" t="s">
        <v>18</v>
      </c>
      <c r="Y6" s="105" t="s">
        <v>66</v>
      </c>
      <c r="Z6" s="189"/>
    </row>
    <row r="7" spans="1:27" s="2" customFormat="1" ht="14.1" customHeight="1" x14ac:dyDescent="0.35">
      <c r="A7" s="191" t="s">
        <v>39</v>
      </c>
      <c r="B7" s="232" t="s">
        <v>82</v>
      </c>
      <c r="C7" s="250"/>
      <c r="D7" s="237">
        <v>12192104</v>
      </c>
      <c r="E7" s="193">
        <v>44914</v>
      </c>
      <c r="F7" s="196" t="s">
        <v>21</v>
      </c>
      <c r="G7" s="233">
        <v>44914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39</v>
      </c>
      <c r="S7" s="205">
        <v>10</v>
      </c>
      <c r="T7" s="208">
        <v>3.36</v>
      </c>
      <c r="U7" s="211">
        <f t="shared" si="0"/>
        <v>52.36</v>
      </c>
      <c r="V7" s="213" t="s">
        <v>31</v>
      </c>
      <c r="W7" s="235" t="s">
        <v>59</v>
      </c>
      <c r="X7" s="65" t="s">
        <v>18</v>
      </c>
      <c r="Y7" s="105" t="s">
        <v>65</v>
      </c>
      <c r="Z7" s="189"/>
    </row>
    <row r="8" spans="1:27" s="2" customFormat="1" ht="14.1" customHeight="1" x14ac:dyDescent="0.35">
      <c r="A8" s="191" t="s">
        <v>39</v>
      </c>
      <c r="B8" s="232" t="s">
        <v>83</v>
      </c>
      <c r="C8" s="250"/>
      <c r="D8" s="237">
        <v>12212102</v>
      </c>
      <c r="E8" s="193">
        <v>44916</v>
      </c>
      <c r="F8" s="267" t="s">
        <v>21</v>
      </c>
      <c r="G8" s="233">
        <v>44916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233</v>
      </c>
      <c r="S8" s="205">
        <v>40</v>
      </c>
      <c r="T8" s="208">
        <v>23.88</v>
      </c>
      <c r="U8" s="211">
        <f t="shared" si="0"/>
        <v>296.88</v>
      </c>
      <c r="V8" s="213" t="s">
        <v>31</v>
      </c>
      <c r="W8" s="235" t="s">
        <v>59</v>
      </c>
      <c r="X8" s="65" t="s">
        <v>18</v>
      </c>
      <c r="Y8" s="105" t="s">
        <v>65</v>
      </c>
      <c r="Z8" s="189"/>
    </row>
    <row r="9" spans="1:27" s="2" customFormat="1" ht="14.1" customHeight="1" x14ac:dyDescent="0.35">
      <c r="A9" s="191" t="s">
        <v>39</v>
      </c>
      <c r="B9" s="232" t="s">
        <v>84</v>
      </c>
      <c r="C9" s="250"/>
      <c r="D9" s="237">
        <v>12222102</v>
      </c>
      <c r="E9" s="193">
        <v>44917</v>
      </c>
      <c r="F9" s="196" t="s">
        <v>21</v>
      </c>
      <c r="G9" s="233">
        <v>44917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323</v>
      </c>
      <c r="S9" s="205">
        <v>70</v>
      </c>
      <c r="T9" s="208">
        <v>30.28</v>
      </c>
      <c r="U9" s="211">
        <f t="shared" si="0"/>
        <v>423.28</v>
      </c>
      <c r="V9" s="213" t="s">
        <v>31</v>
      </c>
      <c r="W9" s="235" t="s">
        <v>59</v>
      </c>
      <c r="X9" s="65" t="s">
        <v>18</v>
      </c>
      <c r="Y9" s="105" t="s">
        <v>65</v>
      </c>
      <c r="Z9" s="189"/>
    </row>
    <row r="10" spans="1:27" s="2" customFormat="1" ht="14.1" customHeight="1" x14ac:dyDescent="0.35">
      <c r="A10" s="191" t="s">
        <v>39</v>
      </c>
      <c r="B10" s="232" t="s">
        <v>86</v>
      </c>
      <c r="C10" s="250"/>
      <c r="D10" s="237">
        <v>12272103</v>
      </c>
      <c r="E10" s="193">
        <v>44922</v>
      </c>
      <c r="F10" s="196" t="s">
        <v>21</v>
      </c>
      <c r="G10" s="233">
        <v>44922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149</v>
      </c>
      <c r="S10" s="205">
        <v>30</v>
      </c>
      <c r="T10" s="208">
        <v>12.67</v>
      </c>
      <c r="U10" s="211">
        <f t="shared" si="0"/>
        <v>191.67</v>
      </c>
      <c r="V10" s="213" t="s">
        <v>31</v>
      </c>
      <c r="W10" s="235" t="s">
        <v>59</v>
      </c>
      <c r="X10" s="65" t="s">
        <v>18</v>
      </c>
      <c r="Y10" s="105" t="s">
        <v>65</v>
      </c>
      <c r="Z10" s="189"/>
    </row>
    <row r="11" spans="1:27" s="2" customFormat="1" ht="14.1" customHeight="1" thickBot="1" x14ac:dyDescent="0.4">
      <c r="A11" s="191" t="s">
        <v>39</v>
      </c>
      <c r="B11" s="232" t="s">
        <v>87</v>
      </c>
      <c r="C11" s="250"/>
      <c r="D11" s="237">
        <v>12282103</v>
      </c>
      <c r="E11" s="193">
        <v>44923</v>
      </c>
      <c r="F11" s="196" t="s">
        <v>21</v>
      </c>
      <c r="G11" s="233">
        <v>44923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45</v>
      </c>
      <c r="S11" s="205">
        <v>10</v>
      </c>
      <c r="T11" s="208">
        <v>3.83</v>
      </c>
      <c r="U11" s="211">
        <f t="shared" si="0"/>
        <v>58.83</v>
      </c>
      <c r="V11" s="213" t="s">
        <v>31</v>
      </c>
      <c r="W11" s="235" t="s">
        <v>5</v>
      </c>
      <c r="X11" s="65" t="s">
        <v>18</v>
      </c>
      <c r="Y11" s="105" t="s">
        <v>65</v>
      </c>
      <c r="Z11" s="189"/>
    </row>
    <row r="12" spans="1:27" s="2" customFormat="1" ht="14.1" customHeight="1" thickBot="1" x14ac:dyDescent="0.25">
      <c r="A12" s="184"/>
      <c r="B12" s="185"/>
      <c r="C12" s="186"/>
      <c r="D12" s="186"/>
      <c r="E12" s="219"/>
      <c r="F12" s="220"/>
      <c r="G12" s="187"/>
      <c r="H12" s="221"/>
      <c r="I12" s="221"/>
      <c r="J12" s="222"/>
      <c r="K12" s="222"/>
      <c r="L12" s="222"/>
      <c r="M12" s="221"/>
      <c r="N12" s="221"/>
      <c r="O12" s="221"/>
      <c r="P12" s="50"/>
      <c r="Q12" s="230"/>
      <c r="R12" s="221"/>
      <c r="S12" s="230"/>
      <c r="T12" s="223"/>
      <c r="U12" s="224"/>
      <c r="V12" s="225"/>
      <c r="W12" s="84"/>
      <c r="X12" s="84"/>
      <c r="Y12" s="243">
        <f>SUM(U4:U11)</f>
        <v>1971.47</v>
      </c>
      <c r="Z12" s="247" t="e">
        <f>Y12/V90</f>
        <v>#DIV/0!</v>
      </c>
      <c r="AA12" s="189"/>
    </row>
    <row r="13" spans="1:27" s="2" customFormat="1" ht="14.1" customHeight="1" x14ac:dyDescent="0.35">
      <c r="A13" s="277" t="s">
        <v>5</v>
      </c>
      <c r="B13" s="278" t="s">
        <v>89</v>
      </c>
      <c r="C13" s="279"/>
      <c r="D13" s="280">
        <v>1043062</v>
      </c>
      <c r="E13" s="281">
        <v>44929</v>
      </c>
      <c r="F13" s="282" t="s">
        <v>21</v>
      </c>
      <c r="G13" s="283">
        <v>44929</v>
      </c>
      <c r="H13" s="284"/>
      <c r="I13" s="285"/>
      <c r="J13" s="285"/>
      <c r="K13" s="285"/>
      <c r="L13" s="285"/>
      <c r="M13" s="284"/>
      <c r="N13" s="285"/>
      <c r="O13" s="284"/>
      <c r="P13" s="286"/>
      <c r="Q13" s="287"/>
      <c r="R13" s="284">
        <v>243</v>
      </c>
      <c r="S13" s="287">
        <v>40</v>
      </c>
      <c r="T13" s="288">
        <v>20.96</v>
      </c>
      <c r="U13" s="289">
        <f t="shared" ref="U13:U18" si="1">SUM(H13:T13)</f>
        <v>303.95999999999998</v>
      </c>
      <c r="V13" s="290" t="s">
        <v>31</v>
      </c>
      <c r="W13" s="291" t="s">
        <v>59</v>
      </c>
      <c r="X13" s="65" t="s">
        <v>18</v>
      </c>
      <c r="Y13" s="105" t="s">
        <v>102</v>
      </c>
      <c r="Z13" s="189"/>
    </row>
    <row r="14" spans="1:27" s="2" customFormat="1" ht="14.1" customHeight="1" x14ac:dyDescent="0.35">
      <c r="A14" s="191" t="s">
        <v>39</v>
      </c>
      <c r="B14" s="232" t="s">
        <v>90</v>
      </c>
      <c r="C14" s="250"/>
      <c r="D14" s="237">
        <v>1093102</v>
      </c>
      <c r="E14" s="193">
        <v>44935</v>
      </c>
      <c r="F14" s="196" t="s">
        <v>21</v>
      </c>
      <c r="G14" s="233">
        <v>44935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169</v>
      </c>
      <c r="S14" s="205">
        <v>30</v>
      </c>
      <c r="T14" s="208">
        <v>13.94</v>
      </c>
      <c r="U14" s="211">
        <f t="shared" si="1"/>
        <v>212.94</v>
      </c>
      <c r="V14" s="213" t="s">
        <v>31</v>
      </c>
      <c r="W14" s="235" t="s">
        <v>59</v>
      </c>
      <c r="X14" s="65" t="s">
        <v>18</v>
      </c>
      <c r="Y14" s="105" t="s">
        <v>65</v>
      </c>
      <c r="Z14" s="189"/>
    </row>
    <row r="15" spans="1:27" s="2" customFormat="1" ht="14.1" customHeight="1" x14ac:dyDescent="0.35">
      <c r="A15" s="191" t="s">
        <v>8</v>
      </c>
      <c r="B15" s="232" t="s">
        <v>91</v>
      </c>
      <c r="C15" s="250" t="s">
        <v>92</v>
      </c>
      <c r="D15" s="237">
        <v>1103063</v>
      </c>
      <c r="E15" s="193">
        <v>44936</v>
      </c>
      <c r="F15" s="196" t="s">
        <v>93</v>
      </c>
      <c r="G15" s="233">
        <v>44936</v>
      </c>
      <c r="H15" s="202"/>
      <c r="I15" s="199"/>
      <c r="J15" s="199"/>
      <c r="K15" s="199"/>
      <c r="L15" s="199"/>
      <c r="M15" s="202"/>
      <c r="N15" s="199"/>
      <c r="O15" s="202">
        <v>27.5</v>
      </c>
      <c r="P15" s="234"/>
      <c r="Q15" s="205">
        <v>10</v>
      </c>
      <c r="R15" s="202"/>
      <c r="S15" s="205"/>
      <c r="T15" s="208">
        <v>2.41</v>
      </c>
      <c r="U15" s="211">
        <f t="shared" si="1"/>
        <v>39.909999999999997</v>
      </c>
      <c r="V15" s="213" t="s">
        <v>31</v>
      </c>
      <c r="W15" s="235" t="s">
        <v>59</v>
      </c>
      <c r="X15" s="65" t="s">
        <v>18</v>
      </c>
      <c r="Y15" s="105" t="s">
        <v>66</v>
      </c>
      <c r="Z15" s="189"/>
    </row>
    <row r="16" spans="1:27" s="2" customFormat="1" ht="14.1" customHeight="1" x14ac:dyDescent="0.35">
      <c r="A16" s="191" t="s">
        <v>39</v>
      </c>
      <c r="B16" s="232" t="s">
        <v>94</v>
      </c>
      <c r="C16" s="250"/>
      <c r="D16" s="237">
        <v>1103101</v>
      </c>
      <c r="E16" s="193">
        <v>44936</v>
      </c>
      <c r="F16" s="196" t="s">
        <v>21</v>
      </c>
      <c r="G16" s="233">
        <v>44936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65</v>
      </c>
      <c r="S16" s="205">
        <v>10</v>
      </c>
      <c r="T16" s="208">
        <v>5.04</v>
      </c>
      <c r="U16" s="211">
        <f t="shared" si="1"/>
        <v>80.040000000000006</v>
      </c>
      <c r="V16" s="213" t="s">
        <v>31</v>
      </c>
      <c r="W16" s="235" t="s">
        <v>59</v>
      </c>
      <c r="X16" s="65" t="s">
        <v>18</v>
      </c>
      <c r="Y16" s="105" t="s">
        <v>65</v>
      </c>
      <c r="Z16" s="189"/>
    </row>
    <row r="17" spans="1:27 16384:16384" s="2" customFormat="1" ht="14.1" customHeight="1" x14ac:dyDescent="0.35">
      <c r="A17" s="277" t="s">
        <v>39</v>
      </c>
      <c r="B17" s="278" t="s">
        <v>95</v>
      </c>
      <c r="C17" s="279"/>
      <c r="D17" s="280">
        <v>1123104</v>
      </c>
      <c r="E17" s="281">
        <v>44938</v>
      </c>
      <c r="F17" s="282" t="s">
        <v>21</v>
      </c>
      <c r="G17" s="283">
        <v>44938</v>
      </c>
      <c r="H17" s="284"/>
      <c r="I17" s="285"/>
      <c r="J17" s="285"/>
      <c r="K17" s="285"/>
      <c r="L17" s="285"/>
      <c r="M17" s="284"/>
      <c r="N17" s="285"/>
      <c r="O17" s="284"/>
      <c r="P17" s="286"/>
      <c r="Q17" s="287"/>
      <c r="R17" s="284">
        <v>39</v>
      </c>
      <c r="S17" s="287">
        <v>10</v>
      </c>
      <c r="T17" s="288">
        <v>4</v>
      </c>
      <c r="U17" s="289">
        <f t="shared" si="1"/>
        <v>53</v>
      </c>
      <c r="V17" s="290" t="s">
        <v>31</v>
      </c>
      <c r="W17" s="291" t="s">
        <v>59</v>
      </c>
      <c r="X17" s="65" t="s">
        <v>18</v>
      </c>
      <c r="Y17" s="105" t="s">
        <v>65</v>
      </c>
      <c r="Z17" s="189"/>
    </row>
    <row r="18" spans="1:27 16384:16384" s="2" customFormat="1" ht="14.1" customHeight="1" thickBot="1" x14ac:dyDescent="0.4">
      <c r="A18" s="294" t="s">
        <v>39</v>
      </c>
      <c r="B18" s="295" t="s">
        <v>96</v>
      </c>
      <c r="C18" s="296"/>
      <c r="D18" s="297">
        <v>1203102</v>
      </c>
      <c r="E18" s="298">
        <v>44946</v>
      </c>
      <c r="F18" s="299" t="s">
        <v>21</v>
      </c>
      <c r="G18" s="300">
        <v>44946</v>
      </c>
      <c r="H18" s="301"/>
      <c r="I18" s="302"/>
      <c r="J18" s="302"/>
      <c r="K18" s="302"/>
      <c r="L18" s="302"/>
      <c r="M18" s="301"/>
      <c r="N18" s="302"/>
      <c r="O18" s="301"/>
      <c r="P18" s="303"/>
      <c r="Q18" s="304"/>
      <c r="R18" s="301">
        <v>65</v>
      </c>
      <c r="S18" s="304"/>
      <c r="T18" s="305">
        <v>5.69</v>
      </c>
      <c r="U18" s="306">
        <f t="shared" si="1"/>
        <v>70.69</v>
      </c>
      <c r="V18" s="307" t="s">
        <v>34</v>
      </c>
      <c r="W18" s="308" t="s">
        <v>97</v>
      </c>
      <c r="X18" s="65" t="s">
        <v>18</v>
      </c>
      <c r="Y18" s="105" t="s">
        <v>65</v>
      </c>
      <c r="Z18" s="189"/>
    </row>
    <row r="19" spans="1:27 16384:16384" s="2" customFormat="1" ht="14.1" customHeight="1" thickBot="1" x14ac:dyDescent="0.25">
      <c r="A19" s="184"/>
      <c r="B19" s="185"/>
      <c r="C19" s="186"/>
      <c r="D19" s="186"/>
      <c r="E19" s="219"/>
      <c r="F19" s="220"/>
      <c r="G19" s="187"/>
      <c r="H19" s="221"/>
      <c r="I19" s="221"/>
      <c r="J19" s="222"/>
      <c r="K19" s="222"/>
      <c r="L19" s="222"/>
      <c r="M19" s="221"/>
      <c r="N19" s="221"/>
      <c r="O19" s="221"/>
      <c r="P19" s="50"/>
      <c r="Q19" s="230"/>
      <c r="R19" s="221"/>
      <c r="S19" s="230"/>
      <c r="T19" s="223"/>
      <c r="U19" s="224"/>
      <c r="V19" s="225"/>
      <c r="W19" s="84"/>
      <c r="X19" s="84"/>
      <c r="Y19" s="275">
        <f>SUM(U13:U18)</f>
        <v>760.54</v>
      </c>
      <c r="Z19" s="247" t="e">
        <f>Y19/V114</f>
        <v>#DIV/0!</v>
      </c>
      <c r="AA19" s="189"/>
    </row>
    <row r="20" spans="1:27 16384:16384" s="2" customFormat="1" ht="14.1" customHeight="1" x14ac:dyDescent="0.35">
      <c r="A20" s="248" t="s">
        <v>38</v>
      </c>
      <c r="B20" s="227" t="s">
        <v>99</v>
      </c>
      <c r="C20" s="240"/>
      <c r="D20" s="238">
        <v>2063261</v>
      </c>
      <c r="E20" s="194">
        <v>44963</v>
      </c>
      <c r="F20" s="197" t="s">
        <v>71</v>
      </c>
      <c r="G20" s="228">
        <v>44963</v>
      </c>
      <c r="H20" s="203"/>
      <c r="I20" s="201"/>
      <c r="J20" s="201"/>
      <c r="K20" s="201"/>
      <c r="L20" s="201"/>
      <c r="M20" s="203"/>
      <c r="N20" s="201"/>
      <c r="O20" s="203"/>
      <c r="P20" s="229">
        <v>180</v>
      </c>
      <c r="Q20" s="206">
        <v>90</v>
      </c>
      <c r="R20" s="203"/>
      <c r="S20" s="206"/>
      <c r="T20" s="209"/>
      <c r="U20" s="212">
        <f t="shared" ref="U20:U29" si="2">SUM(H20:T20)</f>
        <v>270</v>
      </c>
      <c r="V20" s="215" t="s">
        <v>7</v>
      </c>
      <c r="W20" s="231" t="s">
        <v>38</v>
      </c>
      <c r="X20" s="65" t="s">
        <v>18</v>
      </c>
      <c r="Y20" s="105"/>
      <c r="Z20" s="189"/>
    </row>
    <row r="21" spans="1:27 16384:16384" s="2" customFormat="1" ht="14.1" customHeight="1" x14ac:dyDescent="0.35">
      <c r="A21" s="248" t="s">
        <v>5</v>
      </c>
      <c r="B21" s="227" t="s">
        <v>100</v>
      </c>
      <c r="C21" s="240"/>
      <c r="D21" s="238">
        <v>2072064</v>
      </c>
      <c r="E21" s="194">
        <v>44964</v>
      </c>
      <c r="F21" s="197" t="s">
        <v>21</v>
      </c>
      <c r="G21" s="228">
        <v>44964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79</v>
      </c>
      <c r="S21" s="206"/>
      <c r="T21" s="209"/>
      <c r="U21" s="212">
        <f t="shared" si="2"/>
        <v>79</v>
      </c>
      <c r="V21" s="215" t="s">
        <v>34</v>
      </c>
      <c r="W21" s="231" t="s">
        <v>101</v>
      </c>
      <c r="X21" s="65" t="s">
        <v>18</v>
      </c>
      <c r="Y21" s="105"/>
      <c r="Z21" s="189"/>
    </row>
    <row r="22" spans="1:27 16384:16384" s="2" customFormat="1" ht="14.1" customHeight="1" x14ac:dyDescent="0.35">
      <c r="A22" s="248" t="s">
        <v>5</v>
      </c>
      <c r="B22" s="227" t="s">
        <v>35</v>
      </c>
      <c r="C22" s="240"/>
      <c r="D22" s="238">
        <v>2083062</v>
      </c>
      <c r="E22" s="194">
        <v>44965</v>
      </c>
      <c r="F22" s="197" t="s">
        <v>21</v>
      </c>
      <c r="G22" s="228">
        <v>44965</v>
      </c>
      <c r="H22" s="203"/>
      <c r="I22" s="201"/>
      <c r="J22" s="201"/>
      <c r="K22" s="201"/>
      <c r="L22" s="201"/>
      <c r="M22" s="203"/>
      <c r="N22" s="201"/>
      <c r="O22" s="203"/>
      <c r="P22" s="229"/>
      <c r="Q22" s="206"/>
      <c r="R22" s="203">
        <v>345</v>
      </c>
      <c r="S22" s="206"/>
      <c r="T22" s="209"/>
      <c r="U22" s="212">
        <f t="shared" si="2"/>
        <v>345</v>
      </c>
      <c r="V22" s="215" t="s">
        <v>31</v>
      </c>
      <c r="W22" s="231" t="s">
        <v>59</v>
      </c>
      <c r="X22" s="65" t="s">
        <v>18</v>
      </c>
      <c r="Y22" s="105"/>
      <c r="Z22" s="189"/>
    </row>
    <row r="23" spans="1:27 16384:16384" s="2" customFormat="1" ht="14.1" customHeight="1" x14ac:dyDescent="0.35">
      <c r="A23" s="248" t="s">
        <v>5</v>
      </c>
      <c r="B23" s="227" t="s">
        <v>35</v>
      </c>
      <c r="C23" s="240"/>
      <c r="D23" s="238">
        <v>2083064</v>
      </c>
      <c r="E23" s="194">
        <v>44965</v>
      </c>
      <c r="F23" s="197" t="s">
        <v>21</v>
      </c>
      <c r="G23" s="228">
        <v>44965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79</v>
      </c>
      <c r="S23" s="206"/>
      <c r="T23" s="209"/>
      <c r="U23" s="212">
        <f t="shared" si="2"/>
        <v>79</v>
      </c>
      <c r="V23" s="215" t="s">
        <v>31</v>
      </c>
      <c r="W23" s="231" t="s">
        <v>59</v>
      </c>
      <c r="X23" s="65" t="s">
        <v>18</v>
      </c>
      <c r="Y23" s="105"/>
      <c r="Z23" s="189"/>
    </row>
    <row r="24" spans="1:27 16384:16384" s="2" customFormat="1" ht="14.1" customHeight="1" x14ac:dyDescent="0.35">
      <c r="A24" s="248" t="s">
        <v>39</v>
      </c>
      <c r="B24" s="227" t="s">
        <v>104</v>
      </c>
      <c r="C24" s="240"/>
      <c r="D24" s="238">
        <v>2143103</v>
      </c>
      <c r="E24" s="194">
        <v>44971</v>
      </c>
      <c r="F24" s="197" t="s">
        <v>21</v>
      </c>
      <c r="G24" s="228">
        <v>44971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90</v>
      </c>
      <c r="S24" s="206">
        <v>10</v>
      </c>
      <c r="T24" s="209">
        <v>8.44</v>
      </c>
      <c r="U24" s="212">
        <f t="shared" si="2"/>
        <v>108.44</v>
      </c>
      <c r="V24" s="215" t="s">
        <v>31</v>
      </c>
      <c r="W24" s="231" t="s">
        <v>39</v>
      </c>
      <c r="X24" s="65" t="s">
        <v>18</v>
      </c>
      <c r="Y24" s="105"/>
      <c r="Z24" s="189"/>
    </row>
    <row r="25" spans="1:27 16384:16384" s="2" customFormat="1" ht="14.1" customHeight="1" x14ac:dyDescent="0.35">
      <c r="A25" s="248" t="s">
        <v>39</v>
      </c>
      <c r="B25" s="227" t="s">
        <v>105</v>
      </c>
      <c r="C25" s="240"/>
      <c r="D25" s="238">
        <v>2143104</v>
      </c>
      <c r="E25" s="194">
        <v>44971</v>
      </c>
      <c r="F25" s="197" t="s">
        <v>21</v>
      </c>
      <c r="G25" s="228">
        <v>44971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515</v>
      </c>
      <c r="S25" s="206">
        <v>90</v>
      </c>
      <c r="T25" s="209">
        <v>47.64</v>
      </c>
      <c r="U25" s="212">
        <f t="shared" si="2"/>
        <v>652.64</v>
      </c>
      <c r="V25" s="215" t="s">
        <v>31</v>
      </c>
      <c r="W25" s="231" t="s">
        <v>39</v>
      </c>
      <c r="X25" s="65" t="s">
        <v>18</v>
      </c>
      <c r="Y25" s="105"/>
      <c r="Z25" s="189"/>
    </row>
    <row r="26" spans="1:27 16384:16384" s="2" customFormat="1" ht="14.1" customHeight="1" x14ac:dyDescent="0.35">
      <c r="A26" s="248" t="s">
        <v>6</v>
      </c>
      <c r="B26" s="227" t="s">
        <v>107</v>
      </c>
      <c r="C26" s="240"/>
      <c r="D26" s="238">
        <v>2153071</v>
      </c>
      <c r="E26" s="194">
        <v>44972</v>
      </c>
      <c r="F26" s="197" t="s">
        <v>21</v>
      </c>
      <c r="G26" s="228">
        <v>44972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165</v>
      </c>
      <c r="S26" s="206">
        <v>30</v>
      </c>
      <c r="T26" s="209">
        <v>13.61</v>
      </c>
      <c r="U26" s="212">
        <f t="shared" si="2"/>
        <v>208.61</v>
      </c>
      <c r="V26" s="215" t="s">
        <v>31</v>
      </c>
      <c r="W26" s="231" t="s">
        <v>6</v>
      </c>
      <c r="X26" s="65" t="s">
        <v>18</v>
      </c>
      <c r="Y26" s="105"/>
      <c r="Z26" s="189"/>
    </row>
    <row r="27" spans="1:27 16384:16384" s="2" customFormat="1" ht="14.1" customHeight="1" x14ac:dyDescent="0.35">
      <c r="A27" s="248" t="s">
        <v>39</v>
      </c>
      <c r="B27" s="227" t="s">
        <v>106</v>
      </c>
      <c r="C27" s="240" t="s">
        <v>108</v>
      </c>
      <c r="D27" s="238">
        <v>2163107</v>
      </c>
      <c r="E27" s="194">
        <v>44973</v>
      </c>
      <c r="F27" s="197" t="s">
        <v>109</v>
      </c>
      <c r="G27" s="228">
        <v>44973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37.5</v>
      </c>
      <c r="S27" s="206">
        <v>10</v>
      </c>
      <c r="T27" s="209">
        <v>50.92</v>
      </c>
      <c r="U27" s="212">
        <f t="shared" si="2"/>
        <v>98.42</v>
      </c>
      <c r="V27" s="215" t="s">
        <v>31</v>
      </c>
      <c r="W27" s="231" t="s">
        <v>59</v>
      </c>
      <c r="X27" s="65" t="s">
        <v>18</v>
      </c>
      <c r="Y27" s="105"/>
      <c r="Z27" s="189"/>
    </row>
    <row r="28" spans="1:27 16384:16384" s="268" customFormat="1" ht="14.1" customHeight="1" x14ac:dyDescent="0.35">
      <c r="A28" s="322" t="s">
        <v>39</v>
      </c>
      <c r="B28" s="323" t="s">
        <v>110</v>
      </c>
      <c r="C28" s="324"/>
      <c r="D28" s="325">
        <v>2273101</v>
      </c>
      <c r="E28" s="326">
        <v>44984</v>
      </c>
      <c r="F28" s="327" t="s">
        <v>21</v>
      </c>
      <c r="G28" s="228">
        <v>44984</v>
      </c>
      <c r="H28" s="328"/>
      <c r="I28" s="329"/>
      <c r="J28" s="329"/>
      <c r="K28" s="329"/>
      <c r="L28" s="329"/>
      <c r="M28" s="328"/>
      <c r="N28" s="329"/>
      <c r="O28" s="328"/>
      <c r="P28" s="330"/>
      <c r="Q28" s="331"/>
      <c r="R28" s="328">
        <v>110</v>
      </c>
      <c r="S28" s="331"/>
      <c r="T28" s="332">
        <v>9.2200000000000006</v>
      </c>
      <c r="U28" s="333">
        <f t="shared" si="2"/>
        <v>119.22</v>
      </c>
      <c r="V28" s="334" t="s">
        <v>31</v>
      </c>
      <c r="W28" s="335" t="s">
        <v>5</v>
      </c>
      <c r="X28" s="271" t="s">
        <v>18</v>
      </c>
      <c r="Y28" s="269"/>
      <c r="Z28" s="270"/>
      <c r="XFD28" s="292">
        <f>SUM(H28:XFC28)</f>
        <v>238.44</v>
      </c>
    </row>
    <row r="29" spans="1:27 16384:16384" s="268" customFormat="1" ht="14.1" customHeight="1" thickBot="1" x14ac:dyDescent="0.4">
      <c r="A29" s="322" t="s">
        <v>39</v>
      </c>
      <c r="B29" s="323" t="s">
        <v>112</v>
      </c>
      <c r="C29" s="324"/>
      <c r="D29" s="325">
        <v>2273108</v>
      </c>
      <c r="E29" s="326">
        <v>44984</v>
      </c>
      <c r="F29" s="327" t="s">
        <v>21</v>
      </c>
      <c r="G29" s="228">
        <v>44985</v>
      </c>
      <c r="H29" s="328"/>
      <c r="I29" s="329"/>
      <c r="J29" s="329"/>
      <c r="K29" s="329"/>
      <c r="L29" s="329"/>
      <c r="M29" s="328"/>
      <c r="N29" s="329"/>
      <c r="O29" s="328"/>
      <c r="P29" s="330"/>
      <c r="Q29" s="331"/>
      <c r="R29" s="328">
        <v>120</v>
      </c>
      <c r="S29" s="331">
        <v>25</v>
      </c>
      <c r="T29" s="332">
        <v>10.199999999999999</v>
      </c>
      <c r="U29" s="333">
        <f t="shared" si="2"/>
        <v>155.19999999999999</v>
      </c>
      <c r="V29" s="334" t="s">
        <v>31</v>
      </c>
      <c r="W29" s="335" t="s">
        <v>59</v>
      </c>
      <c r="X29" s="271" t="s">
        <v>18</v>
      </c>
      <c r="Y29" s="269"/>
      <c r="Z29" s="270"/>
    </row>
    <row r="30" spans="1:27 16384:16384" s="2" customFormat="1" ht="14.1" customHeight="1" thickBot="1" x14ac:dyDescent="0.25">
      <c r="A30" s="184"/>
      <c r="B30" s="185"/>
      <c r="C30" s="186"/>
      <c r="D30" s="186"/>
      <c r="E30" s="219"/>
      <c r="F30" s="220"/>
      <c r="G30" s="187"/>
      <c r="H30" s="221"/>
      <c r="I30" s="221"/>
      <c r="J30" s="222"/>
      <c r="K30" s="222"/>
      <c r="L30" s="222"/>
      <c r="M30" s="221"/>
      <c r="N30" s="221"/>
      <c r="O30" s="221"/>
      <c r="P30" s="50"/>
      <c r="Q30" s="230"/>
      <c r="R30" s="221"/>
      <c r="S30" s="230"/>
      <c r="T30" s="223"/>
      <c r="U30" s="224"/>
      <c r="V30" s="225"/>
      <c r="W30" s="84"/>
      <c r="X30" s="84"/>
      <c r="Y30" s="244">
        <f>SUM(U20:U29)</f>
        <v>2115.5300000000002</v>
      </c>
      <c r="Z30" s="247" t="e">
        <f>Y30/V133</f>
        <v>#DIV/0!</v>
      </c>
      <c r="AA30" s="189"/>
    </row>
    <row r="31" spans="1:27 16384:16384" s="2" customFormat="1" ht="14.1" customHeight="1" x14ac:dyDescent="0.35">
      <c r="A31" s="276" t="s">
        <v>39</v>
      </c>
      <c r="B31" s="216" t="s">
        <v>114</v>
      </c>
      <c r="C31" s="239"/>
      <c r="D31" s="236">
        <v>3023108</v>
      </c>
      <c r="E31" s="192">
        <v>44987</v>
      </c>
      <c r="F31" s="195" t="s">
        <v>21</v>
      </c>
      <c r="G31" s="217">
        <v>44987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213</v>
      </c>
      <c r="S31" s="204">
        <v>50</v>
      </c>
      <c r="T31" s="207">
        <v>21.83</v>
      </c>
      <c r="U31" s="210">
        <f t="shared" ref="U31" si="3">SUM(H31:T31)</f>
        <v>284.83</v>
      </c>
      <c r="V31" s="214" t="s">
        <v>31</v>
      </c>
      <c r="W31" s="226" t="s">
        <v>59</v>
      </c>
      <c r="X31" s="65" t="s">
        <v>18</v>
      </c>
      <c r="Y31" s="105"/>
      <c r="Z31" s="189"/>
    </row>
    <row r="32" spans="1:27 16384:16384" s="2" customFormat="1" ht="14.1" customHeight="1" x14ac:dyDescent="0.35">
      <c r="A32" s="276" t="s">
        <v>39</v>
      </c>
      <c r="B32" s="216" t="s">
        <v>85</v>
      </c>
      <c r="C32" s="239"/>
      <c r="D32" s="236">
        <v>3093103</v>
      </c>
      <c r="E32" s="192">
        <v>44994</v>
      </c>
      <c r="F32" s="195" t="s">
        <v>21</v>
      </c>
      <c r="G32" s="217">
        <v>44995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105</v>
      </c>
      <c r="S32" s="204">
        <v>37.5</v>
      </c>
      <c r="T32" s="207">
        <v>9.7100000000000009</v>
      </c>
      <c r="U32" s="210">
        <f t="shared" ref="U32:U49" si="4">SUM(H32:T32)</f>
        <v>152.21</v>
      </c>
      <c r="V32" s="214" t="s">
        <v>115</v>
      </c>
      <c r="W32" s="226" t="s">
        <v>59</v>
      </c>
      <c r="X32" s="65" t="s">
        <v>18</v>
      </c>
      <c r="Y32" s="105"/>
      <c r="Z32" s="189"/>
    </row>
    <row r="33" spans="1:26" s="2" customFormat="1" ht="14.1" customHeight="1" x14ac:dyDescent="0.35">
      <c r="A33" s="276" t="s">
        <v>39</v>
      </c>
      <c r="B33" s="216" t="s">
        <v>118</v>
      </c>
      <c r="C33" s="239"/>
      <c r="D33" s="236">
        <v>3093104</v>
      </c>
      <c r="E33" s="192">
        <v>44994</v>
      </c>
      <c r="F33" s="195" t="s">
        <v>21</v>
      </c>
      <c r="G33" s="217">
        <v>44995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39</v>
      </c>
      <c r="S33" s="204">
        <v>12.5</v>
      </c>
      <c r="T33" s="207">
        <v>4</v>
      </c>
      <c r="U33" s="210">
        <f t="shared" si="4"/>
        <v>55.5</v>
      </c>
      <c r="V33" s="214" t="s">
        <v>115</v>
      </c>
      <c r="W33" s="226" t="s">
        <v>59</v>
      </c>
      <c r="X33" s="65" t="s">
        <v>18</v>
      </c>
      <c r="Y33" s="105"/>
      <c r="Z33" s="189"/>
    </row>
    <row r="34" spans="1:26" s="2" customFormat="1" ht="14.1" customHeight="1" x14ac:dyDescent="0.35">
      <c r="A34" s="276" t="s">
        <v>39</v>
      </c>
      <c r="B34" s="216" t="s">
        <v>76</v>
      </c>
      <c r="C34" s="239"/>
      <c r="D34" s="236">
        <v>3133101</v>
      </c>
      <c r="E34" s="192">
        <v>44998</v>
      </c>
      <c r="F34" s="195" t="s">
        <v>21</v>
      </c>
      <c r="G34" s="217">
        <v>44998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298</v>
      </c>
      <c r="S34" s="204">
        <v>62.5</v>
      </c>
      <c r="T34" s="207">
        <v>24.59</v>
      </c>
      <c r="U34" s="210">
        <f t="shared" si="4"/>
        <v>385.09</v>
      </c>
      <c r="V34" s="214" t="s">
        <v>115</v>
      </c>
      <c r="W34" s="226" t="s">
        <v>63</v>
      </c>
      <c r="X34" s="65" t="s">
        <v>18</v>
      </c>
      <c r="Y34" s="105"/>
      <c r="Z34" s="189"/>
    </row>
    <row r="35" spans="1:26" s="2" customFormat="1" ht="14.1" customHeight="1" x14ac:dyDescent="0.35">
      <c r="A35" s="276" t="s">
        <v>8</v>
      </c>
      <c r="B35" s="216" t="s">
        <v>119</v>
      </c>
      <c r="C35" s="239"/>
      <c r="D35" s="236">
        <v>3103012</v>
      </c>
      <c r="E35" s="192">
        <v>44995</v>
      </c>
      <c r="F35" s="195" t="s">
        <v>113</v>
      </c>
      <c r="G35" s="217">
        <v>44998</v>
      </c>
      <c r="H35" s="200">
        <v>225</v>
      </c>
      <c r="I35" s="198"/>
      <c r="J35" s="198"/>
      <c r="K35" s="198"/>
      <c r="L35" s="198"/>
      <c r="M35" s="200"/>
      <c r="N35" s="198"/>
      <c r="O35" s="200"/>
      <c r="P35" s="218"/>
      <c r="Q35" s="204"/>
      <c r="R35" s="200"/>
      <c r="S35" s="204"/>
      <c r="T35" s="207">
        <v>19.420000000000002</v>
      </c>
      <c r="U35" s="210">
        <f t="shared" si="4"/>
        <v>244.42000000000002</v>
      </c>
      <c r="V35" s="214" t="s">
        <v>7</v>
      </c>
      <c r="W35" s="226" t="s">
        <v>8</v>
      </c>
      <c r="X35" s="65" t="s">
        <v>18</v>
      </c>
      <c r="Y35" s="105"/>
      <c r="Z35" s="189"/>
    </row>
    <row r="36" spans="1:26" s="2" customFormat="1" ht="14.1" customHeight="1" x14ac:dyDescent="0.35">
      <c r="A36" s="276" t="s">
        <v>39</v>
      </c>
      <c r="B36" s="216" t="s">
        <v>120</v>
      </c>
      <c r="C36" s="239"/>
      <c r="D36" s="236">
        <v>3203101</v>
      </c>
      <c r="E36" s="192">
        <v>45005</v>
      </c>
      <c r="F36" s="195" t="s">
        <v>21</v>
      </c>
      <c r="G36" s="217">
        <v>45005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130</v>
      </c>
      <c r="S36" s="204">
        <v>25</v>
      </c>
      <c r="T36" s="207">
        <v>11.21</v>
      </c>
      <c r="U36" s="210">
        <f t="shared" si="4"/>
        <v>166.21</v>
      </c>
      <c r="V36" s="214" t="s">
        <v>115</v>
      </c>
      <c r="W36" s="226" t="s">
        <v>59</v>
      </c>
      <c r="X36" s="65" t="s">
        <v>18</v>
      </c>
      <c r="Y36" s="105"/>
      <c r="Z36" s="189"/>
    </row>
    <row r="37" spans="1:26" s="2" customFormat="1" ht="14.1" customHeight="1" x14ac:dyDescent="0.35">
      <c r="A37" s="276" t="s">
        <v>39</v>
      </c>
      <c r="B37" s="216" t="s">
        <v>121</v>
      </c>
      <c r="C37" s="239"/>
      <c r="D37" s="236">
        <v>3203103</v>
      </c>
      <c r="E37" s="192">
        <v>45005</v>
      </c>
      <c r="F37" s="195" t="s">
        <v>21</v>
      </c>
      <c r="G37" s="217">
        <v>45005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156</v>
      </c>
      <c r="S37" s="204"/>
      <c r="T37" s="207">
        <v>13.65</v>
      </c>
      <c r="U37" s="210">
        <f t="shared" si="4"/>
        <v>169.65</v>
      </c>
      <c r="V37" s="214" t="s">
        <v>34</v>
      </c>
      <c r="W37" s="226" t="s">
        <v>117</v>
      </c>
      <c r="X37" s="65" t="s">
        <v>18</v>
      </c>
      <c r="Y37" s="105"/>
      <c r="Z37" s="189"/>
    </row>
    <row r="38" spans="1:26" s="2" customFormat="1" ht="14.1" customHeight="1" x14ac:dyDescent="0.35">
      <c r="A38" s="276" t="s">
        <v>39</v>
      </c>
      <c r="B38" s="216" t="s">
        <v>122</v>
      </c>
      <c r="C38" s="239" t="s">
        <v>123</v>
      </c>
      <c r="D38" s="236">
        <v>3213106</v>
      </c>
      <c r="E38" s="192">
        <v>45006</v>
      </c>
      <c r="F38" s="195" t="s">
        <v>21</v>
      </c>
      <c r="G38" s="217">
        <v>45006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45</v>
      </c>
      <c r="S38" s="204">
        <v>12.5</v>
      </c>
      <c r="T38" s="207">
        <v>3.94</v>
      </c>
      <c r="U38" s="210">
        <f t="shared" si="4"/>
        <v>61.44</v>
      </c>
      <c r="V38" s="214" t="s">
        <v>115</v>
      </c>
      <c r="W38" s="226" t="s">
        <v>8</v>
      </c>
      <c r="X38" s="65" t="s">
        <v>18</v>
      </c>
      <c r="Y38" s="105"/>
      <c r="Z38" s="189"/>
    </row>
    <row r="39" spans="1:26" s="2" customFormat="1" ht="14.1" customHeight="1" x14ac:dyDescent="0.35">
      <c r="A39" s="276" t="s">
        <v>39</v>
      </c>
      <c r="B39" s="216" t="s">
        <v>124</v>
      </c>
      <c r="C39" s="239"/>
      <c r="D39" s="236">
        <v>3223101</v>
      </c>
      <c r="E39" s="192">
        <v>45007</v>
      </c>
      <c r="F39" s="195" t="s">
        <v>21</v>
      </c>
      <c r="G39" s="217">
        <v>45007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247</v>
      </c>
      <c r="S39" s="204">
        <v>62.5</v>
      </c>
      <c r="T39" s="207">
        <v>21</v>
      </c>
      <c r="U39" s="210">
        <f t="shared" si="4"/>
        <v>330.5</v>
      </c>
      <c r="V39" s="214" t="s">
        <v>115</v>
      </c>
      <c r="W39" s="226" t="s">
        <v>59</v>
      </c>
      <c r="X39" s="65" t="s">
        <v>18</v>
      </c>
      <c r="Y39" s="105"/>
      <c r="Z39" s="189"/>
    </row>
    <row r="40" spans="1:26" s="2" customFormat="1" ht="14.1" customHeight="1" x14ac:dyDescent="0.35">
      <c r="A40" s="276" t="s">
        <v>39</v>
      </c>
      <c r="B40" s="216" t="s">
        <v>125</v>
      </c>
      <c r="C40" s="239"/>
      <c r="D40" s="236">
        <v>3223103</v>
      </c>
      <c r="E40" s="192">
        <v>45007</v>
      </c>
      <c r="F40" s="195" t="s">
        <v>21</v>
      </c>
      <c r="G40" s="217">
        <v>45007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188</v>
      </c>
      <c r="S40" s="204">
        <v>50</v>
      </c>
      <c r="T40" s="207">
        <v>16.22</v>
      </c>
      <c r="U40" s="210">
        <f t="shared" si="4"/>
        <v>254.22</v>
      </c>
      <c r="V40" s="214" t="s">
        <v>115</v>
      </c>
      <c r="W40" s="226" t="s">
        <v>59</v>
      </c>
      <c r="X40" s="65" t="s">
        <v>18</v>
      </c>
      <c r="Y40" s="105"/>
      <c r="Z40" s="189"/>
    </row>
    <row r="41" spans="1:26" s="2" customFormat="1" ht="14.1" customHeight="1" x14ac:dyDescent="0.35">
      <c r="A41" s="276" t="s">
        <v>39</v>
      </c>
      <c r="B41" s="216" t="s">
        <v>126</v>
      </c>
      <c r="C41" s="239"/>
      <c r="D41" s="236">
        <v>3243102</v>
      </c>
      <c r="E41" s="192">
        <v>45009</v>
      </c>
      <c r="F41" s="195" t="s">
        <v>21</v>
      </c>
      <c r="G41" s="217">
        <v>45009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408</v>
      </c>
      <c r="S41" s="204">
        <v>87.5</v>
      </c>
      <c r="T41" s="207">
        <v>33.659999999999997</v>
      </c>
      <c r="U41" s="210">
        <f t="shared" si="4"/>
        <v>529.16</v>
      </c>
      <c r="V41" s="214" t="s">
        <v>115</v>
      </c>
      <c r="W41" s="226" t="s">
        <v>59</v>
      </c>
      <c r="X41" s="65" t="s">
        <v>18</v>
      </c>
      <c r="Y41" s="105"/>
      <c r="Z41" s="189"/>
    </row>
    <row r="42" spans="1:26" s="2" customFormat="1" ht="14.1" customHeight="1" x14ac:dyDescent="0.35">
      <c r="A42" s="276" t="s">
        <v>39</v>
      </c>
      <c r="B42" s="216" t="s">
        <v>122</v>
      </c>
      <c r="C42" s="239" t="s">
        <v>123</v>
      </c>
      <c r="D42" s="236">
        <v>3243105</v>
      </c>
      <c r="E42" s="192">
        <v>45009</v>
      </c>
      <c r="F42" s="195" t="s">
        <v>21</v>
      </c>
      <c r="G42" s="217">
        <v>45009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45</v>
      </c>
      <c r="S42" s="204">
        <v>12.5</v>
      </c>
      <c r="T42" s="207">
        <v>3.94</v>
      </c>
      <c r="U42" s="210">
        <f t="shared" si="4"/>
        <v>61.44</v>
      </c>
      <c r="V42" s="214" t="s">
        <v>115</v>
      </c>
      <c r="W42" s="226" t="s">
        <v>59</v>
      </c>
      <c r="X42" s="65" t="s">
        <v>18</v>
      </c>
      <c r="Y42" s="105"/>
      <c r="Z42" s="189"/>
    </row>
    <row r="43" spans="1:26" s="2" customFormat="1" ht="14.1" customHeight="1" x14ac:dyDescent="0.35">
      <c r="A43" s="276" t="s">
        <v>39</v>
      </c>
      <c r="B43" s="216" t="s">
        <v>120</v>
      </c>
      <c r="C43" s="239"/>
      <c r="D43" s="236">
        <v>3273102</v>
      </c>
      <c r="E43" s="192">
        <v>45012</v>
      </c>
      <c r="F43" s="195" t="s">
        <v>21</v>
      </c>
      <c r="G43" s="217">
        <v>45012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427</v>
      </c>
      <c r="S43" s="204">
        <v>87.5</v>
      </c>
      <c r="T43" s="207">
        <v>36.83</v>
      </c>
      <c r="U43" s="210">
        <f t="shared" si="4"/>
        <v>551.33000000000004</v>
      </c>
      <c r="V43" s="214" t="s">
        <v>115</v>
      </c>
      <c r="W43" s="226" t="s">
        <v>59</v>
      </c>
      <c r="X43" s="65" t="s">
        <v>18</v>
      </c>
      <c r="Y43" s="105"/>
      <c r="Z43" s="189"/>
    </row>
    <row r="44" spans="1:26" s="2" customFormat="1" ht="14.1" customHeight="1" x14ac:dyDescent="0.35">
      <c r="A44" s="276" t="s">
        <v>39</v>
      </c>
      <c r="B44" s="216" t="s">
        <v>111</v>
      </c>
      <c r="C44" s="239" t="s">
        <v>127</v>
      </c>
      <c r="D44" s="236">
        <v>3283106</v>
      </c>
      <c r="E44" s="192">
        <v>45013</v>
      </c>
      <c r="F44" s="195" t="s">
        <v>21</v>
      </c>
      <c r="G44" s="217">
        <v>45013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650</v>
      </c>
      <c r="S44" s="204">
        <v>125</v>
      </c>
      <c r="T44" s="207">
        <v>56.88</v>
      </c>
      <c r="U44" s="210">
        <f t="shared" si="4"/>
        <v>831.88</v>
      </c>
      <c r="V44" s="214" t="s">
        <v>115</v>
      </c>
      <c r="W44" s="226" t="s">
        <v>59</v>
      </c>
      <c r="X44" s="65" t="s">
        <v>18</v>
      </c>
      <c r="Y44" s="105"/>
      <c r="Z44" s="189"/>
    </row>
    <row r="45" spans="1:26" s="2" customFormat="1" ht="14.1" customHeight="1" x14ac:dyDescent="0.35">
      <c r="A45" s="276" t="s">
        <v>39</v>
      </c>
      <c r="B45" s="216" t="s">
        <v>128</v>
      </c>
      <c r="C45" s="239"/>
      <c r="D45" s="236">
        <v>3283107</v>
      </c>
      <c r="E45" s="192">
        <v>45013</v>
      </c>
      <c r="F45" s="195" t="s">
        <v>21</v>
      </c>
      <c r="G45" s="217">
        <v>45013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376</v>
      </c>
      <c r="S45" s="204">
        <v>62.5</v>
      </c>
      <c r="T45" s="207">
        <v>34.78</v>
      </c>
      <c r="U45" s="210">
        <f t="shared" si="4"/>
        <v>473.28</v>
      </c>
      <c r="V45" s="214" t="s">
        <v>115</v>
      </c>
      <c r="W45" s="226" t="s">
        <v>59</v>
      </c>
      <c r="X45" s="65" t="s">
        <v>18</v>
      </c>
      <c r="Y45" s="105"/>
      <c r="Z45" s="189"/>
    </row>
    <row r="46" spans="1:26" s="2" customFormat="1" ht="14.1" customHeight="1" x14ac:dyDescent="0.35">
      <c r="A46" s="260" t="s">
        <v>39</v>
      </c>
      <c r="B46" s="3" t="s">
        <v>129</v>
      </c>
      <c r="C46" s="4"/>
      <c r="D46" s="52">
        <v>3293103</v>
      </c>
      <c r="E46" s="98">
        <v>45014</v>
      </c>
      <c r="F46" s="44" t="s">
        <v>21</v>
      </c>
      <c r="G46" s="61">
        <v>45014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208</v>
      </c>
      <c r="S46" s="43">
        <v>50</v>
      </c>
      <c r="T46" s="32">
        <v>17.940000000000001</v>
      </c>
      <c r="U46" s="53">
        <f t="shared" si="4"/>
        <v>275.94</v>
      </c>
      <c r="V46" s="64" t="s">
        <v>115</v>
      </c>
      <c r="W46" s="2" t="s">
        <v>59</v>
      </c>
      <c r="X46" s="65" t="s">
        <v>18</v>
      </c>
      <c r="Y46" s="105"/>
      <c r="Z46" s="189"/>
    </row>
    <row r="47" spans="1:26" s="2" customFormat="1" ht="14.1" customHeight="1" x14ac:dyDescent="0.35">
      <c r="A47" s="260" t="s">
        <v>39</v>
      </c>
      <c r="B47" s="3" t="s">
        <v>131</v>
      </c>
      <c r="C47" s="4"/>
      <c r="D47" s="52">
        <v>3303101</v>
      </c>
      <c r="E47" s="98">
        <v>45015</v>
      </c>
      <c r="F47" s="44" t="s">
        <v>21</v>
      </c>
      <c r="G47" s="61">
        <v>45015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110</v>
      </c>
      <c r="S47" s="43">
        <v>25</v>
      </c>
      <c r="T47" s="32">
        <v>11.28</v>
      </c>
      <c r="U47" s="53">
        <f t="shared" si="4"/>
        <v>146.28</v>
      </c>
      <c r="V47" s="64" t="s">
        <v>115</v>
      </c>
      <c r="W47" s="2" t="s">
        <v>5</v>
      </c>
      <c r="X47" s="65" t="s">
        <v>18</v>
      </c>
      <c r="Y47" s="105"/>
      <c r="Z47" s="189"/>
    </row>
    <row r="48" spans="1:26" s="2" customFormat="1" ht="14.1" customHeight="1" x14ac:dyDescent="0.35">
      <c r="A48" s="260" t="s">
        <v>38</v>
      </c>
      <c r="B48" s="3" t="s">
        <v>133</v>
      </c>
      <c r="C48" s="4" t="s">
        <v>134</v>
      </c>
      <c r="D48" s="52">
        <v>3303041</v>
      </c>
      <c r="E48" s="98">
        <v>45015</v>
      </c>
      <c r="F48" s="44" t="s">
        <v>71</v>
      </c>
      <c r="G48" s="61">
        <v>45016</v>
      </c>
      <c r="H48" s="42"/>
      <c r="I48" s="28"/>
      <c r="J48" s="28"/>
      <c r="K48" s="28"/>
      <c r="L48" s="28"/>
      <c r="M48" s="42"/>
      <c r="N48" s="28"/>
      <c r="O48" s="42"/>
      <c r="P48" s="7">
        <v>180</v>
      </c>
      <c r="Q48" s="43">
        <v>90</v>
      </c>
      <c r="R48" s="42"/>
      <c r="S48" s="43"/>
      <c r="T48" s="32"/>
      <c r="U48" s="53">
        <f t="shared" si="4"/>
        <v>270</v>
      </c>
      <c r="V48" s="64" t="s">
        <v>7</v>
      </c>
      <c r="W48" s="2" t="s">
        <v>38</v>
      </c>
      <c r="X48" s="65" t="s">
        <v>18</v>
      </c>
      <c r="Y48" s="105"/>
      <c r="Z48" s="189"/>
    </row>
    <row r="49" spans="1:29" s="2" customFormat="1" ht="14.1" customHeight="1" thickBot="1" x14ac:dyDescent="0.4">
      <c r="A49" s="260" t="s">
        <v>39</v>
      </c>
      <c r="B49" s="3" t="s">
        <v>135</v>
      </c>
      <c r="C49" s="4" t="s">
        <v>132</v>
      </c>
      <c r="D49" s="52">
        <v>3313101</v>
      </c>
      <c r="E49" s="98">
        <v>45016</v>
      </c>
      <c r="F49" s="44" t="s">
        <v>21</v>
      </c>
      <c r="G49" s="61">
        <v>45016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-50</v>
      </c>
      <c r="S49" s="43"/>
      <c r="T49" s="32">
        <v>-4.63</v>
      </c>
      <c r="U49" s="53">
        <f t="shared" si="4"/>
        <v>-54.63</v>
      </c>
      <c r="V49" s="64" t="s">
        <v>34</v>
      </c>
      <c r="W49" s="2" t="s">
        <v>39</v>
      </c>
      <c r="X49" s="65" t="s">
        <v>18</v>
      </c>
      <c r="Y49" s="105"/>
      <c r="Z49" s="189"/>
    </row>
    <row r="50" spans="1:29" s="2" customFormat="1" ht="14.1" customHeight="1" thickBot="1" x14ac:dyDescent="0.25">
      <c r="A50" s="184"/>
      <c r="B50" s="185"/>
      <c r="C50" s="186"/>
      <c r="D50" s="186"/>
      <c r="E50" s="219"/>
      <c r="F50" s="220"/>
      <c r="G50" s="187"/>
      <c r="H50" s="221"/>
      <c r="I50" s="221"/>
      <c r="J50" s="222"/>
      <c r="K50" s="222"/>
      <c r="L50" s="222"/>
      <c r="M50" s="221"/>
      <c r="N50" s="221"/>
      <c r="O50" s="221"/>
      <c r="P50" s="50"/>
      <c r="Q50" s="230"/>
      <c r="R50" s="221"/>
      <c r="S50" s="230"/>
      <c r="T50" s="223"/>
      <c r="U50" s="224"/>
      <c r="V50" s="225"/>
      <c r="W50" s="84"/>
      <c r="X50" s="84"/>
      <c r="Y50" s="251">
        <f>SUM(U20:U29)</f>
        <v>2115.5300000000002</v>
      </c>
      <c r="Z50" s="247">
        <f>Y50/V52</f>
        <v>0.21078805016594782</v>
      </c>
      <c r="AA50" s="189"/>
    </row>
    <row r="51" spans="1:29" s="2" customFormat="1" ht="19.5" customHeight="1" thickBot="1" x14ac:dyDescent="0.5">
      <c r="A51" s="158"/>
      <c r="B51" s="159"/>
      <c r="C51" s="159"/>
      <c r="D51" s="41"/>
      <c r="E51" s="41"/>
      <c r="F51" s="167"/>
      <c r="G51" s="41"/>
      <c r="H51" s="160">
        <f t="shared" ref="H51:U51" si="5">SUM(H4:H49)</f>
        <v>225</v>
      </c>
      <c r="I51" s="160">
        <f t="shared" si="5"/>
        <v>0</v>
      </c>
      <c r="J51" s="160">
        <f t="shared" si="5"/>
        <v>0</v>
      </c>
      <c r="K51" s="160">
        <f t="shared" si="5"/>
        <v>0</v>
      </c>
      <c r="L51" s="160">
        <f t="shared" si="5"/>
        <v>0</v>
      </c>
      <c r="M51" s="160">
        <f t="shared" si="5"/>
        <v>750</v>
      </c>
      <c r="N51" s="160">
        <f t="shared" si="5"/>
        <v>0</v>
      </c>
      <c r="O51" s="160">
        <f t="shared" si="5"/>
        <v>52.5</v>
      </c>
      <c r="P51" s="160">
        <f t="shared" si="5"/>
        <v>360</v>
      </c>
      <c r="Q51" s="160">
        <f t="shared" si="5"/>
        <v>200</v>
      </c>
      <c r="R51" s="160">
        <f t="shared" si="5"/>
        <v>6654.5</v>
      </c>
      <c r="S51" s="160">
        <f t="shared" si="5"/>
        <v>1177.5</v>
      </c>
      <c r="T51" s="160">
        <f t="shared" si="5"/>
        <v>616.78999999999985</v>
      </c>
      <c r="U51" s="160">
        <f t="shared" si="5"/>
        <v>10036.290000000001</v>
      </c>
      <c r="V51" s="161"/>
      <c r="W51" s="26"/>
      <c r="X51" s="26"/>
      <c r="Y51" s="4"/>
      <c r="Z51" s="3"/>
      <c r="AA51" s="135"/>
      <c r="AB51" s="135"/>
      <c r="AC51" s="135"/>
    </row>
    <row r="52" spans="1:29" s="2" customFormat="1" ht="14.1" customHeight="1" thickBot="1" x14ac:dyDescent="0.4">
      <c r="A52" s="3"/>
      <c r="B52" s="3"/>
      <c r="C52" s="3"/>
      <c r="D52" s="39"/>
      <c r="E52" s="5"/>
      <c r="F52" s="168"/>
      <c r="G52" s="38"/>
      <c r="H52" s="7"/>
      <c r="I52" s="7"/>
      <c r="J52" s="7"/>
      <c r="K52" s="7"/>
      <c r="L52" s="7"/>
      <c r="M52" s="7"/>
      <c r="N52" s="7"/>
      <c r="O52" s="7"/>
      <c r="P52" s="7"/>
      <c r="Q52" s="6"/>
      <c r="R52" s="3"/>
      <c r="T52" s="82"/>
      <c r="U52" s="37"/>
      <c r="V52" s="249">
        <f>SUM(H51:T51)</f>
        <v>10036.289999999999</v>
      </c>
      <c r="W52" s="3"/>
      <c r="X52" s="3"/>
      <c r="Y52" s="4"/>
      <c r="Z52" s="3"/>
      <c r="AA52" s="3"/>
      <c r="AB52" s="3"/>
      <c r="AC52" s="3"/>
    </row>
    <row r="53" spans="1:29" s="2" customFormat="1" ht="14.1" customHeight="1" x14ac:dyDescent="0.35">
      <c r="A53" s="3"/>
      <c r="B53" s="3"/>
      <c r="C53" s="3"/>
      <c r="D53" s="39"/>
      <c r="E53" s="5"/>
      <c r="F53" s="168"/>
      <c r="G53" s="38"/>
      <c r="H53" s="7"/>
      <c r="I53" s="7"/>
      <c r="J53" s="7"/>
      <c r="K53" s="7"/>
      <c r="L53" s="7"/>
      <c r="M53" s="7"/>
      <c r="N53" s="7"/>
      <c r="O53" s="7"/>
      <c r="P53" s="7"/>
      <c r="Q53" s="6"/>
      <c r="R53" s="3"/>
      <c r="T53" s="82"/>
      <c r="U53" s="37"/>
      <c r="V53" s="26"/>
      <c r="Y53" s="4"/>
      <c r="Z53" s="3"/>
      <c r="AA53" s="3"/>
      <c r="AB53" s="3"/>
      <c r="AC53" s="3"/>
    </row>
    <row r="54" spans="1:29" s="2" customFormat="1" ht="14.1" customHeight="1" x14ac:dyDescent="0.35">
      <c r="A54" s="3"/>
      <c r="B54" s="3"/>
      <c r="C54" s="3"/>
      <c r="D54" s="39"/>
      <c r="E54" s="5"/>
      <c r="F54" s="168"/>
      <c r="G54" s="38"/>
      <c r="H54" s="7"/>
      <c r="I54" s="7"/>
      <c r="J54" s="7"/>
      <c r="K54" s="7"/>
      <c r="L54" s="7"/>
      <c r="M54" s="7"/>
      <c r="N54" s="7"/>
      <c r="O54" s="7"/>
      <c r="P54" s="7"/>
      <c r="Q54" s="6"/>
      <c r="R54" s="3"/>
      <c r="T54" s="82"/>
      <c r="U54" s="37"/>
      <c r="V54" s="26"/>
      <c r="Y54" s="4"/>
      <c r="Z54" s="3"/>
      <c r="AA54" s="3"/>
      <c r="AB54" s="3"/>
      <c r="AC54" s="3"/>
    </row>
    <row r="55" spans="1:29" s="2" customFormat="1" ht="14.1" customHeight="1" x14ac:dyDescent="0.35">
      <c r="A55" s="3"/>
      <c r="B55" s="3"/>
      <c r="C55" s="3"/>
      <c r="D55" s="39"/>
      <c r="E55" s="5"/>
      <c r="F55" s="168"/>
      <c r="G55" s="38"/>
      <c r="H55" s="7"/>
      <c r="I55" s="7"/>
      <c r="J55" s="7"/>
      <c r="K55" s="7"/>
      <c r="L55" s="7"/>
      <c r="M55" s="7"/>
      <c r="N55" s="7"/>
      <c r="O55" s="7"/>
      <c r="P55" s="7"/>
      <c r="Q55" s="6"/>
      <c r="R55" s="3"/>
      <c r="T55" s="82"/>
      <c r="U55" s="37"/>
      <c r="V55" s="26"/>
      <c r="Y55" s="4"/>
      <c r="Z55" s="3"/>
      <c r="AA55" s="3"/>
      <c r="AB55" s="3"/>
      <c r="AC55" s="3"/>
    </row>
    <row r="56" spans="1:29" s="2" customFormat="1" ht="14.1" customHeight="1" x14ac:dyDescent="0.2">
      <c r="A56" s="3"/>
      <c r="B56" s="3"/>
      <c r="C56" s="4"/>
      <c r="D56" s="4"/>
      <c r="E56" s="5"/>
      <c r="F56" s="4"/>
      <c r="G56" s="6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6"/>
      <c r="U56" s="81"/>
      <c r="V56" s="3"/>
      <c r="Y56" s="169"/>
      <c r="Z56" s="190"/>
    </row>
    <row r="57" spans="1:29" s="2" customFormat="1" ht="14.1" customHeight="1" x14ac:dyDescent="0.2">
      <c r="A57" s="3"/>
      <c r="B57" s="3"/>
      <c r="C57" s="4"/>
      <c r="D57" s="4"/>
      <c r="E57" s="5"/>
      <c r="F57" s="4"/>
      <c r="G57" s="6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6"/>
      <c r="U57" s="81"/>
      <c r="V57" s="3"/>
      <c r="Y57" s="169"/>
      <c r="Z57" s="190"/>
    </row>
    <row r="58" spans="1:29" s="2" customFormat="1" ht="14.1" customHeight="1" x14ac:dyDescent="0.2">
      <c r="A58" s="3"/>
      <c r="B58" s="3"/>
      <c r="C58" s="4"/>
      <c r="D58" s="4"/>
      <c r="E58" s="5"/>
      <c r="F58" s="4"/>
      <c r="G58" s="6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6"/>
      <c r="U58" s="81"/>
      <c r="V58" s="3"/>
      <c r="Y58" s="169"/>
      <c r="Z58" s="190"/>
    </row>
    <row r="59" spans="1:29" s="2" customFormat="1" ht="14.1" customHeight="1" x14ac:dyDescent="0.2">
      <c r="A59" s="3"/>
      <c r="B59" s="3"/>
      <c r="C59" s="4"/>
      <c r="D59" s="4"/>
      <c r="E59" s="5"/>
      <c r="F59" s="4"/>
      <c r="G59" s="6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6"/>
      <c r="U59" s="81"/>
      <c r="V59" s="3"/>
      <c r="Y59" s="169"/>
      <c r="Z59" s="190"/>
    </row>
    <row r="60" spans="1:29" s="2" customFormat="1" ht="14.1" customHeight="1" x14ac:dyDescent="0.2">
      <c r="A60" s="3"/>
      <c r="B60" s="3"/>
      <c r="C60" s="4"/>
      <c r="D60" s="4"/>
      <c r="E60" s="5"/>
      <c r="F60" s="4"/>
      <c r="G60" s="61"/>
      <c r="H60" s="7" t="s">
        <v>28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3"/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35">
      <c r="A107" s="3"/>
      <c r="B107" s="3"/>
      <c r="C107" s="130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6"/>
      <c r="V107" s="131"/>
      <c r="W107" s="129"/>
      <c r="X107" s="129"/>
      <c r="Y107" s="245"/>
      <c r="Z107" s="3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35">
      <c r="A297" s="3"/>
      <c r="B297" s="3"/>
      <c r="C297" s="130"/>
      <c r="D297" s="4"/>
      <c r="E297" s="5"/>
      <c r="F297" s="4"/>
      <c r="G297" s="61"/>
      <c r="H297" s="7"/>
      <c r="I297" s="7"/>
      <c r="J297" s="7"/>
      <c r="K297" s="134"/>
      <c r="L297" s="7"/>
      <c r="M297" s="7"/>
      <c r="N297" s="7"/>
      <c r="O297" s="7"/>
      <c r="P297" s="7"/>
      <c r="Q297" s="7"/>
      <c r="R297" s="7"/>
      <c r="S297" s="6"/>
      <c r="T297" s="6"/>
      <c r="V297" s="131"/>
      <c r="W297" s="129"/>
      <c r="X297" s="129"/>
      <c r="Y297" s="245"/>
      <c r="Z297" s="3"/>
    </row>
    <row r="298" spans="1:26" s="135" customFormat="1" ht="26.25" customHeight="1" x14ac:dyDescent="0.45">
      <c r="A298" s="132"/>
      <c r="B298" s="133"/>
      <c r="C298" s="133"/>
      <c r="D298" s="2"/>
      <c r="E298" s="2"/>
      <c r="F298" s="169"/>
      <c r="G298" s="2"/>
      <c r="H298" s="134"/>
      <c r="I298" s="134"/>
      <c r="J298" s="134"/>
      <c r="K298" s="7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37"/>
      <c r="W298" s="26"/>
      <c r="X298" s="26"/>
      <c r="Y298" s="4"/>
      <c r="Z298" s="3"/>
    </row>
    <row r="299" spans="1:26" ht="15" customHeight="1" x14ac:dyDescent="0.35">
      <c r="V299" s="136"/>
      <c r="W299" s="3"/>
      <c r="X299" s="3"/>
    </row>
    <row r="307" spans="6:6" s="3" customFormat="1" ht="9.75" customHeight="1" x14ac:dyDescent="0.2">
      <c r="F307" s="4"/>
    </row>
    <row r="308" spans="6:6" s="3" customFormat="1" ht="10.5" customHeight="1" x14ac:dyDescent="0.2">
      <c r="F308" s="168"/>
    </row>
    <row r="309" spans="6:6" s="3" customFormat="1" ht="9.75" customHeight="1" x14ac:dyDescent="0.2">
      <c r="F309" s="4"/>
    </row>
    <row r="322" spans="10:10" s="3" customFormat="1" ht="9.75" customHeight="1" x14ac:dyDescent="0.2">
      <c r="J322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XFD322"/>
  <sheetViews>
    <sheetView zoomScale="120" zoomScaleNormal="120" workbookViewId="0">
      <pane ySplit="2" topLeftCell="A33" activePane="bottomLeft" state="frozen"/>
      <selection pane="bottomLeft" activeCell="A52" sqref="A52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5.66406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3"/>
      <c r="B1" s="264">
        <v>45044</v>
      </c>
      <c r="C1" s="137"/>
      <c r="D1" s="138"/>
      <c r="E1" s="265" t="s">
        <v>11</v>
      </c>
      <c r="F1" s="266"/>
      <c r="G1" s="266"/>
      <c r="H1" s="139" t="s">
        <v>27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20</v>
      </c>
      <c r="E2" s="151" t="s">
        <v>2</v>
      </c>
      <c r="F2" s="152" t="s">
        <v>3</v>
      </c>
      <c r="G2" s="153" t="s">
        <v>4</v>
      </c>
      <c r="H2" s="154" t="s">
        <v>50</v>
      </c>
      <c r="I2" s="154" t="s">
        <v>51</v>
      </c>
      <c r="J2" s="154" t="s">
        <v>25</v>
      </c>
      <c r="K2" s="154" t="s">
        <v>52</v>
      </c>
      <c r="L2" s="92" t="s">
        <v>32</v>
      </c>
      <c r="M2" s="183" t="s">
        <v>53</v>
      </c>
      <c r="N2" s="92" t="s">
        <v>54</v>
      </c>
      <c r="O2" s="154" t="s">
        <v>55</v>
      </c>
      <c r="P2" s="154" t="s">
        <v>56</v>
      </c>
      <c r="Q2" s="92" t="s">
        <v>30</v>
      </c>
      <c r="R2" s="154" t="s">
        <v>57</v>
      </c>
      <c r="S2" s="154" t="s">
        <v>58</v>
      </c>
      <c r="T2" s="155" t="s">
        <v>17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260" t="s">
        <v>39</v>
      </c>
      <c r="B4" s="3" t="s">
        <v>131</v>
      </c>
      <c r="C4" s="4"/>
      <c r="D4" s="52">
        <v>3303101</v>
      </c>
      <c r="E4" s="98">
        <v>45015</v>
      </c>
      <c r="F4" s="44" t="s">
        <v>21</v>
      </c>
      <c r="G4" s="61">
        <v>45015</v>
      </c>
      <c r="H4" s="42"/>
      <c r="I4" s="28"/>
      <c r="J4" s="28"/>
      <c r="K4" s="28"/>
      <c r="L4" s="28"/>
      <c r="M4" s="42"/>
      <c r="N4" s="28"/>
      <c r="O4" s="42"/>
      <c r="P4" s="7"/>
      <c r="Q4" s="43"/>
      <c r="R4" s="42">
        <v>110</v>
      </c>
      <c r="S4" s="43">
        <v>25</v>
      </c>
      <c r="T4" s="32">
        <v>11.28</v>
      </c>
      <c r="U4" s="53">
        <f t="shared" ref="U4:U46" si="0">SUM(H4:T4)</f>
        <v>146.28</v>
      </c>
      <c r="V4" s="64" t="s">
        <v>115</v>
      </c>
      <c r="W4" s="2" t="s">
        <v>5</v>
      </c>
      <c r="X4" s="65" t="s">
        <v>18</v>
      </c>
      <c r="Y4" s="105"/>
      <c r="Z4" s="189"/>
    </row>
    <row r="5" spans="1:26" s="2" customFormat="1" ht="14.1" customHeight="1" x14ac:dyDescent="0.35">
      <c r="A5" s="248" t="s">
        <v>38</v>
      </c>
      <c r="B5" s="227" t="s">
        <v>99</v>
      </c>
      <c r="C5" s="240"/>
      <c r="D5" s="238">
        <v>2063261</v>
      </c>
      <c r="E5" s="194">
        <v>44963</v>
      </c>
      <c r="F5" s="197" t="s">
        <v>71</v>
      </c>
      <c r="G5" s="228">
        <v>44963</v>
      </c>
      <c r="H5" s="203"/>
      <c r="I5" s="201"/>
      <c r="J5" s="201"/>
      <c r="K5" s="201"/>
      <c r="L5" s="201"/>
      <c r="M5" s="203"/>
      <c r="N5" s="201"/>
      <c r="O5" s="203"/>
      <c r="P5" s="229">
        <v>180</v>
      </c>
      <c r="Q5" s="206">
        <v>90</v>
      </c>
      <c r="R5" s="203"/>
      <c r="S5" s="206"/>
      <c r="T5" s="209"/>
      <c r="U5" s="212">
        <f t="shared" si="0"/>
        <v>270</v>
      </c>
      <c r="V5" s="215" t="s">
        <v>7</v>
      </c>
      <c r="W5" s="231" t="s">
        <v>38</v>
      </c>
      <c r="X5" s="65" t="s">
        <v>18</v>
      </c>
      <c r="Y5" s="105"/>
      <c r="Z5" s="189"/>
    </row>
    <row r="6" spans="1:26" s="2" customFormat="1" ht="14.1" customHeight="1" x14ac:dyDescent="0.35">
      <c r="A6" s="260" t="s">
        <v>39</v>
      </c>
      <c r="B6" s="3" t="s">
        <v>129</v>
      </c>
      <c r="C6" s="4"/>
      <c r="D6" s="52">
        <v>3293103</v>
      </c>
      <c r="E6" s="98">
        <v>45014</v>
      </c>
      <c r="F6" s="44" t="s">
        <v>21</v>
      </c>
      <c r="G6" s="61">
        <v>45014</v>
      </c>
      <c r="H6" s="42"/>
      <c r="I6" s="28"/>
      <c r="J6" s="28"/>
      <c r="K6" s="28"/>
      <c r="L6" s="28"/>
      <c r="M6" s="42"/>
      <c r="N6" s="28"/>
      <c r="O6" s="42"/>
      <c r="P6" s="7"/>
      <c r="Q6" s="43"/>
      <c r="R6" s="42">
        <v>208</v>
      </c>
      <c r="S6" s="43">
        <v>50</v>
      </c>
      <c r="T6" s="32">
        <v>17.940000000000001</v>
      </c>
      <c r="U6" s="53">
        <f t="shared" si="0"/>
        <v>275.94</v>
      </c>
      <c r="V6" s="64" t="s">
        <v>115</v>
      </c>
      <c r="W6" s="2" t="s">
        <v>59</v>
      </c>
      <c r="X6" s="65" t="s">
        <v>18</v>
      </c>
      <c r="Y6" s="105"/>
      <c r="Z6" s="189"/>
    </row>
    <row r="7" spans="1:26" s="2" customFormat="1" ht="14.1" customHeight="1" x14ac:dyDescent="0.35">
      <c r="A7" s="191" t="s">
        <v>8</v>
      </c>
      <c r="B7" s="232" t="s">
        <v>81</v>
      </c>
      <c r="C7" s="250"/>
      <c r="D7" s="237">
        <v>12192051</v>
      </c>
      <c r="E7" s="193">
        <v>44914</v>
      </c>
      <c r="F7" s="196" t="s">
        <v>40</v>
      </c>
      <c r="G7" s="233">
        <v>44914</v>
      </c>
      <c r="H7" s="202"/>
      <c r="I7" s="199"/>
      <c r="J7" s="199"/>
      <c r="K7" s="199"/>
      <c r="L7" s="199"/>
      <c r="M7" s="202">
        <v>750</v>
      </c>
      <c r="N7" s="199"/>
      <c r="O7" s="202"/>
      <c r="P7" s="234"/>
      <c r="Q7" s="205"/>
      <c r="R7" s="202"/>
      <c r="S7" s="205"/>
      <c r="T7" s="208"/>
      <c r="U7" s="211">
        <f t="shared" si="0"/>
        <v>750</v>
      </c>
      <c r="V7" s="213" t="s">
        <v>26</v>
      </c>
      <c r="W7" s="235" t="s">
        <v>8</v>
      </c>
      <c r="X7" s="65" t="s">
        <v>18</v>
      </c>
      <c r="Y7" s="105" t="s">
        <v>66</v>
      </c>
      <c r="Z7" s="189"/>
    </row>
    <row r="8" spans="1:26" s="2" customFormat="1" ht="14.1" customHeight="1" x14ac:dyDescent="0.35">
      <c r="A8" s="276" t="s">
        <v>39</v>
      </c>
      <c r="B8" s="216" t="s">
        <v>128</v>
      </c>
      <c r="C8" s="239"/>
      <c r="D8" s="236">
        <v>3283107</v>
      </c>
      <c r="E8" s="192">
        <v>45013</v>
      </c>
      <c r="F8" s="195" t="s">
        <v>21</v>
      </c>
      <c r="G8" s="217">
        <v>45013</v>
      </c>
      <c r="H8" s="200"/>
      <c r="I8" s="198"/>
      <c r="J8" s="198"/>
      <c r="K8" s="198"/>
      <c r="L8" s="198"/>
      <c r="M8" s="200"/>
      <c r="N8" s="198"/>
      <c r="O8" s="200"/>
      <c r="P8" s="218"/>
      <c r="Q8" s="204"/>
      <c r="R8" s="200">
        <v>376</v>
      </c>
      <c r="S8" s="204">
        <v>62.5</v>
      </c>
      <c r="T8" s="207">
        <v>34.78</v>
      </c>
      <c r="U8" s="210">
        <f t="shared" si="0"/>
        <v>473.28</v>
      </c>
      <c r="V8" s="214" t="s">
        <v>115</v>
      </c>
      <c r="W8" s="226" t="s">
        <v>59</v>
      </c>
      <c r="X8" s="65" t="s">
        <v>18</v>
      </c>
      <c r="Y8" s="105"/>
      <c r="Z8" s="189"/>
    </row>
    <row r="9" spans="1:26" s="2" customFormat="1" ht="14.1" customHeight="1" x14ac:dyDescent="0.35">
      <c r="A9" s="260" t="s">
        <v>39</v>
      </c>
      <c r="B9" s="3" t="s">
        <v>135</v>
      </c>
      <c r="C9" s="4" t="s">
        <v>132</v>
      </c>
      <c r="D9" s="52">
        <v>3313101</v>
      </c>
      <c r="E9" s="98">
        <v>45016</v>
      </c>
      <c r="F9" s="44" t="s">
        <v>21</v>
      </c>
      <c r="G9" s="61">
        <v>45016</v>
      </c>
      <c r="H9" s="42"/>
      <c r="I9" s="28"/>
      <c r="J9" s="28"/>
      <c r="K9" s="28"/>
      <c r="L9" s="28"/>
      <c r="M9" s="42"/>
      <c r="N9" s="28"/>
      <c r="O9" s="42"/>
      <c r="P9" s="7"/>
      <c r="Q9" s="43"/>
      <c r="R9" s="42">
        <v>-50</v>
      </c>
      <c r="S9" s="43"/>
      <c r="T9" s="32">
        <v>-4.63</v>
      </c>
      <c r="U9" s="53">
        <f t="shared" si="0"/>
        <v>-54.63</v>
      </c>
      <c r="V9" s="64" t="s">
        <v>34</v>
      </c>
      <c r="W9" s="2" t="s">
        <v>39</v>
      </c>
      <c r="X9" s="65" t="s">
        <v>18</v>
      </c>
      <c r="Y9" s="105"/>
      <c r="Z9" s="189"/>
    </row>
    <row r="10" spans="1:26" s="2" customFormat="1" ht="14.1" customHeight="1" x14ac:dyDescent="0.35">
      <c r="A10" s="248" t="s">
        <v>5</v>
      </c>
      <c r="B10" s="227" t="s">
        <v>35</v>
      </c>
      <c r="C10" s="240"/>
      <c r="D10" s="238">
        <v>2083062</v>
      </c>
      <c r="E10" s="194">
        <v>44965</v>
      </c>
      <c r="F10" s="197" t="s">
        <v>21</v>
      </c>
      <c r="G10" s="228">
        <v>44965</v>
      </c>
      <c r="H10" s="203"/>
      <c r="I10" s="201"/>
      <c r="J10" s="201"/>
      <c r="K10" s="201"/>
      <c r="L10" s="201"/>
      <c r="M10" s="203"/>
      <c r="N10" s="201"/>
      <c r="O10" s="203"/>
      <c r="P10" s="229"/>
      <c r="Q10" s="206"/>
      <c r="R10" s="203">
        <v>345</v>
      </c>
      <c r="S10" s="206"/>
      <c r="T10" s="209"/>
      <c r="U10" s="212">
        <f t="shared" si="0"/>
        <v>345</v>
      </c>
      <c r="V10" s="215" t="s">
        <v>31</v>
      </c>
      <c r="W10" s="231" t="s">
        <v>59</v>
      </c>
      <c r="X10" s="65" t="s">
        <v>18</v>
      </c>
      <c r="Y10" s="105"/>
      <c r="Z10" s="189"/>
    </row>
    <row r="11" spans="1:26" s="2" customFormat="1" ht="14.1" customHeight="1" thickBot="1" x14ac:dyDescent="0.4">
      <c r="A11" s="248" t="s">
        <v>5</v>
      </c>
      <c r="B11" s="227" t="s">
        <v>35</v>
      </c>
      <c r="C11" s="240"/>
      <c r="D11" s="238">
        <v>2083064</v>
      </c>
      <c r="E11" s="194">
        <v>44965</v>
      </c>
      <c r="F11" s="197" t="s">
        <v>21</v>
      </c>
      <c r="G11" s="228">
        <v>44965</v>
      </c>
      <c r="H11" s="203"/>
      <c r="I11" s="201"/>
      <c r="J11" s="201"/>
      <c r="K11" s="201"/>
      <c r="L11" s="201"/>
      <c r="M11" s="203"/>
      <c r="N11" s="201"/>
      <c r="O11" s="203"/>
      <c r="P11" s="229"/>
      <c r="Q11" s="206"/>
      <c r="R11" s="203">
        <v>79</v>
      </c>
      <c r="S11" s="206"/>
      <c r="T11" s="209"/>
      <c r="U11" s="212">
        <f t="shared" si="0"/>
        <v>79</v>
      </c>
      <c r="V11" s="215" t="s">
        <v>31</v>
      </c>
      <c r="W11" s="231" t="s">
        <v>59</v>
      </c>
      <c r="X11" s="65" t="s">
        <v>18</v>
      </c>
      <c r="Y11" s="105"/>
      <c r="Z11" s="189"/>
    </row>
    <row r="12" spans="1:26" s="2" customFormat="1" ht="14.1" customHeight="1" thickBot="1" x14ac:dyDescent="0.4">
      <c r="A12" s="336" t="s">
        <v>39</v>
      </c>
      <c r="B12" s="337" t="s">
        <v>82</v>
      </c>
      <c r="C12" s="338"/>
      <c r="D12" s="338">
        <v>12192104</v>
      </c>
      <c r="E12" s="339">
        <v>44914</v>
      </c>
      <c r="F12" s="340" t="s">
        <v>21</v>
      </c>
      <c r="G12" s="341">
        <v>44914</v>
      </c>
      <c r="H12" s="342"/>
      <c r="I12" s="342"/>
      <c r="J12" s="343"/>
      <c r="K12" s="343"/>
      <c r="L12" s="343"/>
      <c r="M12" s="342"/>
      <c r="N12" s="342"/>
      <c r="O12" s="342"/>
      <c r="P12" s="344"/>
      <c r="Q12" s="345"/>
      <c r="R12" s="342">
        <v>39</v>
      </c>
      <c r="S12" s="345">
        <v>10</v>
      </c>
      <c r="T12" s="346">
        <v>3.36</v>
      </c>
      <c r="U12" s="347">
        <f t="shared" si="0"/>
        <v>52.36</v>
      </c>
      <c r="V12" s="348" t="s">
        <v>31</v>
      </c>
      <c r="W12" s="349" t="s">
        <v>59</v>
      </c>
      <c r="X12" s="84" t="s">
        <v>18</v>
      </c>
      <c r="Y12" s="274" t="s">
        <v>65</v>
      </c>
      <c r="Z12" s="189"/>
    </row>
    <row r="13" spans="1:26" s="2" customFormat="1" ht="14.1" customHeight="1" x14ac:dyDescent="0.35">
      <c r="A13" s="277" t="s">
        <v>39</v>
      </c>
      <c r="B13" s="278" t="s">
        <v>95</v>
      </c>
      <c r="C13" s="279"/>
      <c r="D13" s="280">
        <v>1123104</v>
      </c>
      <c r="E13" s="281">
        <v>44938</v>
      </c>
      <c r="F13" s="282" t="s">
        <v>21</v>
      </c>
      <c r="G13" s="283">
        <v>44938</v>
      </c>
      <c r="H13" s="284"/>
      <c r="I13" s="285"/>
      <c r="J13" s="285"/>
      <c r="K13" s="285"/>
      <c r="L13" s="285"/>
      <c r="M13" s="284"/>
      <c r="N13" s="285"/>
      <c r="O13" s="284"/>
      <c r="P13" s="286"/>
      <c r="Q13" s="287"/>
      <c r="R13" s="284">
        <v>39</v>
      </c>
      <c r="S13" s="287">
        <v>10</v>
      </c>
      <c r="T13" s="288">
        <v>4</v>
      </c>
      <c r="U13" s="289">
        <f t="shared" si="0"/>
        <v>53</v>
      </c>
      <c r="V13" s="290" t="s">
        <v>31</v>
      </c>
      <c r="W13" s="291" t="s">
        <v>59</v>
      </c>
      <c r="X13" s="65" t="s">
        <v>18</v>
      </c>
      <c r="Y13" s="105" t="s">
        <v>65</v>
      </c>
      <c r="Z13" s="189"/>
    </row>
    <row r="14" spans="1:26" s="2" customFormat="1" ht="14.1" customHeight="1" x14ac:dyDescent="0.35">
      <c r="A14" s="276" t="s">
        <v>39</v>
      </c>
      <c r="B14" s="216" t="s">
        <v>76</v>
      </c>
      <c r="C14" s="239"/>
      <c r="D14" s="236">
        <v>3133101</v>
      </c>
      <c r="E14" s="192">
        <v>44998</v>
      </c>
      <c r="F14" s="195" t="s">
        <v>21</v>
      </c>
      <c r="G14" s="217">
        <v>44998</v>
      </c>
      <c r="H14" s="200"/>
      <c r="I14" s="198"/>
      <c r="J14" s="198"/>
      <c r="K14" s="198"/>
      <c r="L14" s="198"/>
      <c r="M14" s="200"/>
      <c r="N14" s="198"/>
      <c r="O14" s="200"/>
      <c r="P14" s="218"/>
      <c r="Q14" s="204"/>
      <c r="R14" s="200">
        <v>298</v>
      </c>
      <c r="S14" s="204">
        <v>62.5</v>
      </c>
      <c r="T14" s="207">
        <v>24.59</v>
      </c>
      <c r="U14" s="210">
        <f t="shared" si="0"/>
        <v>385.09</v>
      </c>
      <c r="V14" s="214" t="s">
        <v>115</v>
      </c>
      <c r="W14" s="226" t="s">
        <v>63</v>
      </c>
      <c r="X14" s="65" t="s">
        <v>18</v>
      </c>
      <c r="Y14" s="105"/>
      <c r="Z14" s="189"/>
    </row>
    <row r="15" spans="1:26" s="2" customFormat="1" ht="14.1" customHeight="1" x14ac:dyDescent="0.35">
      <c r="A15" s="248" t="s">
        <v>39</v>
      </c>
      <c r="B15" s="227" t="s">
        <v>104</v>
      </c>
      <c r="C15" s="240"/>
      <c r="D15" s="238">
        <v>2143103</v>
      </c>
      <c r="E15" s="194">
        <v>44971</v>
      </c>
      <c r="F15" s="197" t="s">
        <v>21</v>
      </c>
      <c r="G15" s="228">
        <v>44971</v>
      </c>
      <c r="H15" s="203"/>
      <c r="I15" s="201"/>
      <c r="J15" s="201"/>
      <c r="K15" s="201"/>
      <c r="L15" s="201"/>
      <c r="M15" s="203"/>
      <c r="N15" s="201"/>
      <c r="O15" s="203"/>
      <c r="P15" s="229"/>
      <c r="Q15" s="206"/>
      <c r="R15" s="203">
        <v>90</v>
      </c>
      <c r="S15" s="206">
        <v>10</v>
      </c>
      <c r="T15" s="209">
        <v>8.44</v>
      </c>
      <c r="U15" s="212">
        <f t="shared" si="0"/>
        <v>108.44</v>
      </c>
      <c r="V15" s="215" t="s">
        <v>31</v>
      </c>
      <c r="W15" s="231" t="s">
        <v>39</v>
      </c>
      <c r="X15" s="65" t="s">
        <v>18</v>
      </c>
      <c r="Y15" s="105"/>
      <c r="Z15" s="189"/>
    </row>
    <row r="16" spans="1:26" s="2" customFormat="1" ht="14.1" customHeight="1" x14ac:dyDescent="0.35">
      <c r="A16" s="276" t="s">
        <v>8</v>
      </c>
      <c r="B16" s="216" t="s">
        <v>119</v>
      </c>
      <c r="C16" s="239"/>
      <c r="D16" s="236">
        <v>3103012</v>
      </c>
      <c r="E16" s="192">
        <v>44995</v>
      </c>
      <c r="F16" s="195" t="s">
        <v>113</v>
      </c>
      <c r="G16" s="217">
        <v>44998</v>
      </c>
      <c r="H16" s="200">
        <v>225</v>
      </c>
      <c r="I16" s="198"/>
      <c r="J16" s="198"/>
      <c r="K16" s="198"/>
      <c r="L16" s="198"/>
      <c r="M16" s="200"/>
      <c r="N16" s="198"/>
      <c r="O16" s="200"/>
      <c r="P16" s="218"/>
      <c r="Q16" s="204"/>
      <c r="R16" s="200"/>
      <c r="S16" s="204"/>
      <c r="T16" s="207">
        <v>19.420000000000002</v>
      </c>
      <c r="U16" s="210">
        <f t="shared" si="0"/>
        <v>244.42000000000002</v>
      </c>
      <c r="V16" s="214" t="s">
        <v>7</v>
      </c>
      <c r="W16" s="226" t="s">
        <v>8</v>
      </c>
      <c r="X16" s="65" t="s">
        <v>18</v>
      </c>
      <c r="Y16" s="105"/>
      <c r="Z16" s="189"/>
    </row>
    <row r="17" spans="1:26 16384:16384" s="2" customFormat="1" ht="14.1" customHeight="1" x14ac:dyDescent="0.35">
      <c r="A17" s="276" t="s">
        <v>39</v>
      </c>
      <c r="B17" s="216" t="s">
        <v>125</v>
      </c>
      <c r="C17" s="239"/>
      <c r="D17" s="236">
        <v>3223103</v>
      </c>
      <c r="E17" s="192">
        <v>45007</v>
      </c>
      <c r="F17" s="195" t="s">
        <v>21</v>
      </c>
      <c r="G17" s="217">
        <v>45007</v>
      </c>
      <c r="H17" s="200"/>
      <c r="I17" s="198"/>
      <c r="J17" s="198"/>
      <c r="K17" s="198"/>
      <c r="L17" s="198"/>
      <c r="M17" s="200"/>
      <c r="N17" s="198"/>
      <c r="O17" s="200"/>
      <c r="P17" s="218"/>
      <c r="Q17" s="204"/>
      <c r="R17" s="200">
        <v>188</v>
      </c>
      <c r="S17" s="204">
        <v>50</v>
      </c>
      <c r="T17" s="207">
        <v>16.22</v>
      </c>
      <c r="U17" s="210">
        <f t="shared" si="0"/>
        <v>254.22</v>
      </c>
      <c r="V17" s="214" t="s">
        <v>115</v>
      </c>
      <c r="W17" s="226" t="s">
        <v>59</v>
      </c>
      <c r="X17" s="65" t="s">
        <v>18</v>
      </c>
      <c r="Y17" s="105"/>
      <c r="Z17" s="189"/>
    </row>
    <row r="18" spans="1:26 16384:16384" s="2" customFormat="1" ht="14.1" customHeight="1" thickBot="1" x14ac:dyDescent="0.4">
      <c r="A18" s="191" t="s">
        <v>39</v>
      </c>
      <c r="B18" s="232" t="s">
        <v>86</v>
      </c>
      <c r="C18" s="250"/>
      <c r="D18" s="237">
        <v>12272103</v>
      </c>
      <c r="E18" s="193">
        <v>44922</v>
      </c>
      <c r="F18" s="196" t="s">
        <v>21</v>
      </c>
      <c r="G18" s="233">
        <v>44922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149</v>
      </c>
      <c r="S18" s="205">
        <v>30</v>
      </c>
      <c r="T18" s="208">
        <v>12.67</v>
      </c>
      <c r="U18" s="211">
        <f t="shared" si="0"/>
        <v>191.67</v>
      </c>
      <c r="V18" s="213" t="s">
        <v>31</v>
      </c>
      <c r="W18" s="235" t="s">
        <v>59</v>
      </c>
      <c r="X18" s="65" t="s">
        <v>18</v>
      </c>
      <c r="Y18" s="105" t="s">
        <v>65</v>
      </c>
      <c r="Z18" s="189"/>
    </row>
    <row r="19" spans="1:26 16384:16384" s="2" customFormat="1" ht="14.1" customHeight="1" thickBot="1" x14ac:dyDescent="0.4">
      <c r="A19" s="336" t="s">
        <v>39</v>
      </c>
      <c r="B19" s="337" t="s">
        <v>87</v>
      </c>
      <c r="C19" s="338"/>
      <c r="D19" s="338">
        <v>12282103</v>
      </c>
      <c r="E19" s="339">
        <v>44923</v>
      </c>
      <c r="F19" s="340" t="s">
        <v>21</v>
      </c>
      <c r="G19" s="341">
        <v>44923</v>
      </c>
      <c r="H19" s="342"/>
      <c r="I19" s="342"/>
      <c r="J19" s="343"/>
      <c r="K19" s="343"/>
      <c r="L19" s="343"/>
      <c r="M19" s="342"/>
      <c r="N19" s="342"/>
      <c r="O19" s="342"/>
      <c r="P19" s="344"/>
      <c r="Q19" s="345"/>
      <c r="R19" s="342">
        <v>45</v>
      </c>
      <c r="S19" s="345">
        <v>10</v>
      </c>
      <c r="T19" s="346">
        <v>3.83</v>
      </c>
      <c r="U19" s="347">
        <f t="shared" si="0"/>
        <v>58.83</v>
      </c>
      <c r="V19" s="348" t="s">
        <v>31</v>
      </c>
      <c r="W19" s="349" t="s">
        <v>5</v>
      </c>
      <c r="X19" s="84" t="s">
        <v>18</v>
      </c>
      <c r="Y19" s="274" t="s">
        <v>65</v>
      </c>
      <c r="Z19" s="189"/>
    </row>
    <row r="20" spans="1:26 16384:16384" s="2" customFormat="1" ht="14.1" customHeight="1" x14ac:dyDescent="0.35">
      <c r="A20" s="276" t="s">
        <v>39</v>
      </c>
      <c r="B20" s="216" t="s">
        <v>126</v>
      </c>
      <c r="C20" s="239"/>
      <c r="D20" s="236">
        <v>3243102</v>
      </c>
      <c r="E20" s="192">
        <v>45009</v>
      </c>
      <c r="F20" s="195" t="s">
        <v>21</v>
      </c>
      <c r="G20" s="217">
        <v>45009</v>
      </c>
      <c r="H20" s="200"/>
      <c r="I20" s="198"/>
      <c r="J20" s="198"/>
      <c r="K20" s="198"/>
      <c r="L20" s="198"/>
      <c r="M20" s="200"/>
      <c r="N20" s="198"/>
      <c r="O20" s="200"/>
      <c r="P20" s="218"/>
      <c r="Q20" s="204"/>
      <c r="R20" s="200">
        <v>408</v>
      </c>
      <c r="S20" s="204">
        <v>87.5</v>
      </c>
      <c r="T20" s="207">
        <v>33.659999999999997</v>
      </c>
      <c r="U20" s="210">
        <f t="shared" si="0"/>
        <v>529.16</v>
      </c>
      <c r="V20" s="214" t="s">
        <v>115</v>
      </c>
      <c r="W20" s="226" t="s">
        <v>59</v>
      </c>
      <c r="X20" s="65" t="s">
        <v>18</v>
      </c>
      <c r="Y20" s="105"/>
      <c r="Z20" s="189"/>
    </row>
    <row r="21" spans="1:26 16384:16384" s="2" customFormat="1" ht="14.1" customHeight="1" x14ac:dyDescent="0.35">
      <c r="A21" s="276" t="s">
        <v>39</v>
      </c>
      <c r="B21" s="216" t="s">
        <v>120</v>
      </c>
      <c r="C21" s="239"/>
      <c r="D21" s="236">
        <v>3203101</v>
      </c>
      <c r="E21" s="192">
        <v>45005</v>
      </c>
      <c r="F21" s="195" t="s">
        <v>21</v>
      </c>
      <c r="G21" s="217">
        <v>45005</v>
      </c>
      <c r="H21" s="200"/>
      <c r="I21" s="198"/>
      <c r="J21" s="198"/>
      <c r="K21" s="198"/>
      <c r="L21" s="198"/>
      <c r="M21" s="200"/>
      <c r="N21" s="198"/>
      <c r="O21" s="200"/>
      <c r="P21" s="218"/>
      <c r="Q21" s="204"/>
      <c r="R21" s="200">
        <v>130</v>
      </c>
      <c r="S21" s="204">
        <v>25</v>
      </c>
      <c r="T21" s="207">
        <v>11.21</v>
      </c>
      <c r="U21" s="210">
        <f t="shared" si="0"/>
        <v>166.21</v>
      </c>
      <c r="V21" s="214" t="s">
        <v>115</v>
      </c>
      <c r="W21" s="226" t="s">
        <v>59</v>
      </c>
      <c r="X21" s="65" t="s">
        <v>18</v>
      </c>
      <c r="Y21" s="105"/>
      <c r="Z21" s="189"/>
    </row>
    <row r="22" spans="1:26 16384:16384" s="2" customFormat="1" ht="14.1" customHeight="1" x14ac:dyDescent="0.35">
      <c r="A22" s="276" t="s">
        <v>39</v>
      </c>
      <c r="B22" s="216" t="s">
        <v>120</v>
      </c>
      <c r="C22" s="239"/>
      <c r="D22" s="236">
        <v>3273102</v>
      </c>
      <c r="E22" s="192">
        <v>45012</v>
      </c>
      <c r="F22" s="195" t="s">
        <v>21</v>
      </c>
      <c r="G22" s="217">
        <v>45012</v>
      </c>
      <c r="H22" s="200"/>
      <c r="I22" s="198"/>
      <c r="J22" s="198"/>
      <c r="K22" s="198"/>
      <c r="L22" s="198"/>
      <c r="M22" s="200"/>
      <c r="N22" s="198"/>
      <c r="O22" s="200"/>
      <c r="P22" s="218"/>
      <c r="Q22" s="204"/>
      <c r="R22" s="200">
        <v>427</v>
      </c>
      <c r="S22" s="204">
        <v>87.5</v>
      </c>
      <c r="T22" s="207">
        <v>36.83</v>
      </c>
      <c r="U22" s="210">
        <f t="shared" si="0"/>
        <v>551.33000000000004</v>
      </c>
      <c r="V22" s="214" t="s">
        <v>115</v>
      </c>
      <c r="W22" s="226" t="s">
        <v>59</v>
      </c>
      <c r="X22" s="65" t="s">
        <v>18</v>
      </c>
      <c r="Y22" s="105"/>
      <c r="Z22" s="189"/>
    </row>
    <row r="23" spans="1:26 16384:16384" s="2" customFormat="1" ht="14.1" customHeight="1" x14ac:dyDescent="0.35">
      <c r="A23" s="191" t="s">
        <v>39</v>
      </c>
      <c r="B23" s="232" t="s">
        <v>94</v>
      </c>
      <c r="C23" s="250"/>
      <c r="D23" s="237">
        <v>1103101</v>
      </c>
      <c r="E23" s="193">
        <v>44936</v>
      </c>
      <c r="F23" s="196" t="s">
        <v>21</v>
      </c>
      <c r="G23" s="233">
        <v>44936</v>
      </c>
      <c r="H23" s="202"/>
      <c r="I23" s="199"/>
      <c r="J23" s="199"/>
      <c r="K23" s="199"/>
      <c r="L23" s="199"/>
      <c r="M23" s="202"/>
      <c r="N23" s="199"/>
      <c r="O23" s="202"/>
      <c r="P23" s="234"/>
      <c r="Q23" s="205"/>
      <c r="R23" s="202">
        <v>65</v>
      </c>
      <c r="S23" s="205">
        <v>10</v>
      </c>
      <c r="T23" s="208">
        <v>5.04</v>
      </c>
      <c r="U23" s="211">
        <f t="shared" si="0"/>
        <v>80.040000000000006</v>
      </c>
      <c r="V23" s="213" t="s">
        <v>31</v>
      </c>
      <c r="W23" s="235" t="s">
        <v>59</v>
      </c>
      <c r="X23" s="65" t="s">
        <v>18</v>
      </c>
      <c r="Y23" s="105" t="s">
        <v>65</v>
      </c>
      <c r="Z23" s="189"/>
    </row>
    <row r="24" spans="1:26 16384:16384" s="2" customFormat="1" ht="14.1" customHeight="1" x14ac:dyDescent="0.35">
      <c r="A24" s="276" t="s">
        <v>39</v>
      </c>
      <c r="B24" s="216" t="s">
        <v>118</v>
      </c>
      <c r="C24" s="239"/>
      <c r="D24" s="236">
        <v>3093104</v>
      </c>
      <c r="E24" s="192">
        <v>44994</v>
      </c>
      <c r="F24" s="195" t="s">
        <v>21</v>
      </c>
      <c r="G24" s="217">
        <v>44995</v>
      </c>
      <c r="H24" s="200"/>
      <c r="I24" s="198"/>
      <c r="J24" s="198"/>
      <c r="K24" s="198"/>
      <c r="L24" s="198"/>
      <c r="M24" s="200"/>
      <c r="N24" s="198"/>
      <c r="O24" s="200"/>
      <c r="P24" s="218"/>
      <c r="Q24" s="204"/>
      <c r="R24" s="200">
        <v>39</v>
      </c>
      <c r="S24" s="204">
        <v>12.5</v>
      </c>
      <c r="T24" s="207">
        <v>4</v>
      </c>
      <c r="U24" s="210">
        <f t="shared" si="0"/>
        <v>55.5</v>
      </c>
      <c r="V24" s="214" t="s">
        <v>115</v>
      </c>
      <c r="W24" s="226" t="s">
        <v>59</v>
      </c>
      <c r="X24" s="65" t="s">
        <v>18</v>
      </c>
      <c r="Y24" s="105"/>
      <c r="Z24" s="189"/>
    </row>
    <row r="25" spans="1:26 16384:16384" s="2" customFormat="1" ht="14.1" customHeight="1" x14ac:dyDescent="0.35">
      <c r="A25" s="191" t="s">
        <v>8</v>
      </c>
      <c r="B25" s="232" t="s">
        <v>91</v>
      </c>
      <c r="C25" s="250" t="s">
        <v>92</v>
      </c>
      <c r="D25" s="237">
        <v>1103063</v>
      </c>
      <c r="E25" s="193">
        <v>44936</v>
      </c>
      <c r="F25" s="196" t="s">
        <v>93</v>
      </c>
      <c r="G25" s="233">
        <v>44936</v>
      </c>
      <c r="H25" s="202"/>
      <c r="I25" s="199"/>
      <c r="J25" s="199"/>
      <c r="K25" s="199"/>
      <c r="L25" s="199"/>
      <c r="M25" s="202"/>
      <c r="N25" s="199"/>
      <c r="O25" s="202">
        <v>27.5</v>
      </c>
      <c r="P25" s="234"/>
      <c r="Q25" s="205">
        <v>10</v>
      </c>
      <c r="R25" s="202"/>
      <c r="S25" s="205"/>
      <c r="T25" s="208">
        <v>2.41</v>
      </c>
      <c r="U25" s="211">
        <f t="shared" si="0"/>
        <v>39.909999999999997</v>
      </c>
      <c r="V25" s="213" t="s">
        <v>31</v>
      </c>
      <c r="W25" s="235" t="s">
        <v>59</v>
      </c>
      <c r="X25" s="65" t="s">
        <v>18</v>
      </c>
      <c r="Y25" s="105" t="s">
        <v>66</v>
      </c>
      <c r="Z25" s="189"/>
    </row>
    <row r="26" spans="1:26 16384:16384" s="2" customFormat="1" ht="14.1" customHeight="1" x14ac:dyDescent="0.35">
      <c r="A26" s="248" t="s">
        <v>39</v>
      </c>
      <c r="B26" s="227" t="s">
        <v>105</v>
      </c>
      <c r="C26" s="240"/>
      <c r="D26" s="238">
        <v>2143104</v>
      </c>
      <c r="E26" s="194">
        <v>44971</v>
      </c>
      <c r="F26" s="197" t="s">
        <v>21</v>
      </c>
      <c r="G26" s="228">
        <v>44971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515</v>
      </c>
      <c r="S26" s="206">
        <v>90</v>
      </c>
      <c r="T26" s="209">
        <v>47.64</v>
      </c>
      <c r="U26" s="212">
        <f t="shared" si="0"/>
        <v>652.64</v>
      </c>
      <c r="V26" s="215" t="s">
        <v>31</v>
      </c>
      <c r="W26" s="231" t="s">
        <v>39</v>
      </c>
      <c r="X26" s="65" t="s">
        <v>18</v>
      </c>
      <c r="Y26" s="105"/>
      <c r="Z26" s="189"/>
    </row>
    <row r="27" spans="1:26 16384:16384" s="268" customFormat="1" ht="14.1" customHeight="1" x14ac:dyDescent="0.35">
      <c r="A27" s="322" t="s">
        <v>39</v>
      </c>
      <c r="B27" s="323" t="s">
        <v>110</v>
      </c>
      <c r="C27" s="324"/>
      <c r="D27" s="325">
        <v>2273101</v>
      </c>
      <c r="E27" s="326">
        <v>44984</v>
      </c>
      <c r="F27" s="327" t="s">
        <v>21</v>
      </c>
      <c r="G27" s="228">
        <v>44984</v>
      </c>
      <c r="H27" s="328"/>
      <c r="I27" s="329"/>
      <c r="J27" s="329"/>
      <c r="K27" s="329"/>
      <c r="L27" s="329"/>
      <c r="M27" s="328"/>
      <c r="N27" s="329"/>
      <c r="O27" s="328"/>
      <c r="P27" s="330"/>
      <c r="Q27" s="331"/>
      <c r="R27" s="328">
        <v>110</v>
      </c>
      <c r="S27" s="331"/>
      <c r="T27" s="332">
        <v>9.2200000000000006</v>
      </c>
      <c r="U27" s="333">
        <f t="shared" si="0"/>
        <v>119.22</v>
      </c>
      <c r="V27" s="334" t="s">
        <v>31</v>
      </c>
      <c r="W27" s="335" t="s">
        <v>5</v>
      </c>
      <c r="X27" s="271" t="s">
        <v>18</v>
      </c>
      <c r="Y27" s="269"/>
      <c r="Z27" s="270"/>
      <c r="XFD27" s="292">
        <f>SUM(H27:XFC27)</f>
        <v>238.44</v>
      </c>
    </row>
    <row r="28" spans="1:26 16384:16384" s="2" customFormat="1" ht="14.1" customHeight="1" x14ac:dyDescent="0.35">
      <c r="A28" s="276" t="s">
        <v>39</v>
      </c>
      <c r="B28" s="216" t="s">
        <v>122</v>
      </c>
      <c r="C28" s="239" t="s">
        <v>123</v>
      </c>
      <c r="D28" s="236">
        <v>3213106</v>
      </c>
      <c r="E28" s="192">
        <v>45006</v>
      </c>
      <c r="F28" s="195" t="s">
        <v>21</v>
      </c>
      <c r="G28" s="217">
        <v>45006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45</v>
      </c>
      <c r="S28" s="204">
        <v>12.5</v>
      </c>
      <c r="T28" s="207">
        <v>3.94</v>
      </c>
      <c r="U28" s="210">
        <f t="shared" si="0"/>
        <v>61.44</v>
      </c>
      <c r="V28" s="214" t="s">
        <v>115</v>
      </c>
      <c r="W28" s="226" t="s">
        <v>8</v>
      </c>
      <c r="X28" s="65" t="s">
        <v>18</v>
      </c>
      <c r="Y28" s="105"/>
      <c r="Z28" s="189"/>
    </row>
    <row r="29" spans="1:26 16384:16384" s="2" customFormat="1" ht="14.1" customHeight="1" thickBot="1" x14ac:dyDescent="0.4">
      <c r="A29" s="276" t="s">
        <v>39</v>
      </c>
      <c r="B29" s="216" t="s">
        <v>122</v>
      </c>
      <c r="C29" s="239" t="s">
        <v>123</v>
      </c>
      <c r="D29" s="236">
        <v>3243105</v>
      </c>
      <c r="E29" s="192">
        <v>45009</v>
      </c>
      <c r="F29" s="195" t="s">
        <v>21</v>
      </c>
      <c r="G29" s="217">
        <v>45009</v>
      </c>
      <c r="H29" s="200"/>
      <c r="I29" s="198"/>
      <c r="J29" s="198"/>
      <c r="K29" s="198"/>
      <c r="L29" s="198"/>
      <c r="M29" s="200"/>
      <c r="N29" s="198"/>
      <c r="O29" s="200"/>
      <c r="P29" s="218"/>
      <c r="Q29" s="204"/>
      <c r="R29" s="200">
        <v>45</v>
      </c>
      <c r="S29" s="204">
        <v>12.5</v>
      </c>
      <c r="T29" s="207">
        <v>3.94</v>
      </c>
      <c r="U29" s="210">
        <f t="shared" si="0"/>
        <v>61.44</v>
      </c>
      <c r="V29" s="214" t="s">
        <v>115</v>
      </c>
      <c r="W29" s="226" t="s">
        <v>59</v>
      </c>
      <c r="X29" s="65" t="s">
        <v>18</v>
      </c>
      <c r="Y29" s="105"/>
      <c r="Z29" s="189"/>
    </row>
    <row r="30" spans="1:26 16384:16384" s="2" customFormat="1" ht="14.1" customHeight="1" thickBot="1" x14ac:dyDescent="0.4">
      <c r="A30" s="336" t="s">
        <v>39</v>
      </c>
      <c r="B30" s="337" t="s">
        <v>74</v>
      </c>
      <c r="C30" s="338"/>
      <c r="D30" s="338">
        <v>12162102</v>
      </c>
      <c r="E30" s="339">
        <v>44911</v>
      </c>
      <c r="F30" s="340" t="s">
        <v>21</v>
      </c>
      <c r="G30" s="341">
        <v>44911</v>
      </c>
      <c r="H30" s="342"/>
      <c r="I30" s="342"/>
      <c r="J30" s="343"/>
      <c r="K30" s="343"/>
      <c r="L30" s="343"/>
      <c r="M30" s="342"/>
      <c r="N30" s="342"/>
      <c r="O30" s="342"/>
      <c r="P30" s="344"/>
      <c r="Q30" s="345"/>
      <c r="R30" s="342">
        <v>149</v>
      </c>
      <c r="S30" s="345"/>
      <c r="T30" s="346">
        <v>12.29</v>
      </c>
      <c r="U30" s="347">
        <f t="shared" si="0"/>
        <v>161.29</v>
      </c>
      <c r="V30" s="348" t="s">
        <v>34</v>
      </c>
      <c r="W30" s="349" t="s">
        <v>80</v>
      </c>
      <c r="X30" s="84" t="s">
        <v>18</v>
      </c>
      <c r="Y30" s="274" t="s">
        <v>65</v>
      </c>
      <c r="Z30" s="189"/>
    </row>
    <row r="31" spans="1:26 16384:16384" s="2" customFormat="1" ht="14.1" customHeight="1" x14ac:dyDescent="0.35">
      <c r="A31" s="248" t="s">
        <v>6</v>
      </c>
      <c r="B31" s="227" t="s">
        <v>107</v>
      </c>
      <c r="C31" s="240"/>
      <c r="D31" s="238">
        <v>2153071</v>
      </c>
      <c r="E31" s="194">
        <v>44972</v>
      </c>
      <c r="F31" s="197" t="s">
        <v>21</v>
      </c>
      <c r="G31" s="228">
        <v>44972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165</v>
      </c>
      <c r="S31" s="206">
        <v>30</v>
      </c>
      <c r="T31" s="209">
        <v>13.61</v>
      </c>
      <c r="U31" s="212">
        <f t="shared" si="0"/>
        <v>208.61</v>
      </c>
      <c r="V31" s="215" t="s">
        <v>31</v>
      </c>
      <c r="W31" s="231" t="s">
        <v>6</v>
      </c>
      <c r="X31" s="65" t="s">
        <v>18</v>
      </c>
      <c r="Y31" s="105"/>
      <c r="Z31" s="189"/>
    </row>
    <row r="32" spans="1:26 16384:16384" s="2" customFormat="1" ht="14.1" customHeight="1" x14ac:dyDescent="0.35">
      <c r="A32" s="276" t="s">
        <v>39</v>
      </c>
      <c r="B32" s="216" t="s">
        <v>85</v>
      </c>
      <c r="C32" s="239"/>
      <c r="D32" s="236">
        <v>3093103</v>
      </c>
      <c r="E32" s="192">
        <v>44994</v>
      </c>
      <c r="F32" s="195" t="s">
        <v>21</v>
      </c>
      <c r="G32" s="217">
        <v>44995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105</v>
      </c>
      <c r="S32" s="204">
        <v>37.5</v>
      </c>
      <c r="T32" s="207">
        <v>9.7100000000000009</v>
      </c>
      <c r="U32" s="210">
        <f t="shared" si="0"/>
        <v>152.21</v>
      </c>
      <c r="V32" s="214" t="s">
        <v>115</v>
      </c>
      <c r="W32" s="226" t="s">
        <v>59</v>
      </c>
      <c r="X32" s="65" t="s">
        <v>18</v>
      </c>
      <c r="Y32" s="105"/>
      <c r="Z32" s="189"/>
    </row>
    <row r="33" spans="1:27" s="2" customFormat="1" ht="14.1" customHeight="1" x14ac:dyDescent="0.35">
      <c r="A33" s="248" t="s">
        <v>39</v>
      </c>
      <c r="B33" s="227" t="s">
        <v>106</v>
      </c>
      <c r="C33" s="240" t="s">
        <v>108</v>
      </c>
      <c r="D33" s="238">
        <v>2163107</v>
      </c>
      <c r="E33" s="194">
        <v>44973</v>
      </c>
      <c r="F33" s="197" t="s">
        <v>109</v>
      </c>
      <c r="G33" s="228">
        <v>44973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37.5</v>
      </c>
      <c r="S33" s="206">
        <v>10</v>
      </c>
      <c r="T33" s="209">
        <v>50.92</v>
      </c>
      <c r="U33" s="212">
        <f t="shared" si="0"/>
        <v>98.42</v>
      </c>
      <c r="V33" s="215" t="s">
        <v>31</v>
      </c>
      <c r="W33" s="231" t="s">
        <v>59</v>
      </c>
      <c r="X33" s="65" t="s">
        <v>18</v>
      </c>
      <c r="Y33" s="105"/>
      <c r="Z33" s="189"/>
    </row>
    <row r="34" spans="1:27" s="2" customFormat="1" ht="14.1" customHeight="1" x14ac:dyDescent="0.35">
      <c r="A34" s="277" t="s">
        <v>5</v>
      </c>
      <c r="B34" s="278" t="s">
        <v>89</v>
      </c>
      <c r="C34" s="279"/>
      <c r="D34" s="280">
        <v>1043062</v>
      </c>
      <c r="E34" s="281">
        <v>44929</v>
      </c>
      <c r="F34" s="282" t="s">
        <v>21</v>
      </c>
      <c r="G34" s="283">
        <v>44929</v>
      </c>
      <c r="H34" s="284"/>
      <c r="I34" s="285"/>
      <c r="J34" s="285"/>
      <c r="K34" s="285"/>
      <c r="L34" s="285"/>
      <c r="M34" s="284"/>
      <c r="N34" s="285"/>
      <c r="O34" s="284"/>
      <c r="P34" s="286"/>
      <c r="Q34" s="287"/>
      <c r="R34" s="284">
        <v>243</v>
      </c>
      <c r="S34" s="287">
        <v>40</v>
      </c>
      <c r="T34" s="288">
        <v>20.96</v>
      </c>
      <c r="U34" s="289">
        <f t="shared" si="0"/>
        <v>303.95999999999998</v>
      </c>
      <c r="V34" s="290" t="s">
        <v>31</v>
      </c>
      <c r="W34" s="291" t="s">
        <v>59</v>
      </c>
      <c r="X34" s="65" t="s">
        <v>18</v>
      </c>
      <c r="Y34" s="105" t="s">
        <v>102</v>
      </c>
      <c r="Z34" s="189"/>
    </row>
    <row r="35" spans="1:27" s="2" customFormat="1" ht="14.1" customHeight="1" x14ac:dyDescent="0.35">
      <c r="A35" s="260" t="s">
        <v>38</v>
      </c>
      <c r="B35" s="3" t="s">
        <v>133</v>
      </c>
      <c r="C35" s="4" t="s">
        <v>134</v>
      </c>
      <c r="D35" s="52">
        <v>3303041</v>
      </c>
      <c r="E35" s="98">
        <v>45015</v>
      </c>
      <c r="F35" s="44" t="s">
        <v>71</v>
      </c>
      <c r="G35" s="61">
        <v>45016</v>
      </c>
      <c r="H35" s="42"/>
      <c r="I35" s="28"/>
      <c r="J35" s="28"/>
      <c r="K35" s="28"/>
      <c r="L35" s="28"/>
      <c r="M35" s="42"/>
      <c r="N35" s="28"/>
      <c r="O35" s="42"/>
      <c r="P35" s="7">
        <v>180</v>
      </c>
      <c r="Q35" s="43">
        <v>90</v>
      </c>
      <c r="R35" s="42"/>
      <c r="S35" s="43"/>
      <c r="T35" s="32"/>
      <c r="U35" s="53">
        <f t="shared" si="0"/>
        <v>270</v>
      </c>
      <c r="V35" s="64" t="s">
        <v>7</v>
      </c>
      <c r="W35" s="2" t="s">
        <v>38</v>
      </c>
      <c r="X35" s="65" t="s">
        <v>18</v>
      </c>
      <c r="Y35" s="105"/>
      <c r="Z35" s="189"/>
    </row>
    <row r="36" spans="1:27" s="2" customFormat="1" ht="14.1" customHeight="1" x14ac:dyDescent="0.35">
      <c r="A36" s="248" t="s">
        <v>5</v>
      </c>
      <c r="B36" s="227" t="s">
        <v>100</v>
      </c>
      <c r="C36" s="240"/>
      <c r="D36" s="238">
        <v>2072064</v>
      </c>
      <c r="E36" s="194">
        <v>44964</v>
      </c>
      <c r="F36" s="197" t="s">
        <v>21</v>
      </c>
      <c r="G36" s="228">
        <v>44964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79</v>
      </c>
      <c r="S36" s="206"/>
      <c r="T36" s="209"/>
      <c r="U36" s="212">
        <f t="shared" si="0"/>
        <v>79</v>
      </c>
      <c r="V36" s="215" t="s">
        <v>34</v>
      </c>
      <c r="W36" s="231" t="s">
        <v>101</v>
      </c>
      <c r="X36" s="65" t="s">
        <v>18</v>
      </c>
      <c r="Y36" s="105"/>
      <c r="Z36" s="189"/>
    </row>
    <row r="37" spans="1:27" s="2" customFormat="1" ht="14.1" customHeight="1" x14ac:dyDescent="0.35">
      <c r="A37" s="276" t="s">
        <v>39</v>
      </c>
      <c r="B37" s="216" t="s">
        <v>111</v>
      </c>
      <c r="C37" s="239" t="s">
        <v>127</v>
      </c>
      <c r="D37" s="236">
        <v>3283106</v>
      </c>
      <c r="E37" s="192">
        <v>45013</v>
      </c>
      <c r="F37" s="195" t="s">
        <v>21</v>
      </c>
      <c r="G37" s="217">
        <v>45013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650</v>
      </c>
      <c r="S37" s="204">
        <v>125</v>
      </c>
      <c r="T37" s="207">
        <v>56.88</v>
      </c>
      <c r="U37" s="210">
        <f t="shared" si="0"/>
        <v>831.88</v>
      </c>
      <c r="V37" s="214" t="s">
        <v>115</v>
      </c>
      <c r="W37" s="226" t="s">
        <v>59</v>
      </c>
      <c r="X37" s="65" t="s">
        <v>18</v>
      </c>
      <c r="Y37" s="105"/>
      <c r="Z37" s="189"/>
    </row>
    <row r="38" spans="1:27" s="2" customFormat="1" ht="14.1" customHeight="1" x14ac:dyDescent="0.35">
      <c r="A38" s="191" t="s">
        <v>39</v>
      </c>
      <c r="B38" s="232" t="s">
        <v>83</v>
      </c>
      <c r="C38" s="250"/>
      <c r="D38" s="237">
        <v>12212102</v>
      </c>
      <c r="E38" s="193">
        <v>44916</v>
      </c>
      <c r="F38" s="267" t="s">
        <v>21</v>
      </c>
      <c r="G38" s="233">
        <v>44916</v>
      </c>
      <c r="H38" s="202"/>
      <c r="I38" s="199"/>
      <c r="J38" s="199"/>
      <c r="K38" s="199"/>
      <c r="L38" s="199"/>
      <c r="M38" s="202"/>
      <c r="N38" s="199"/>
      <c r="O38" s="202"/>
      <c r="P38" s="234"/>
      <c r="Q38" s="205"/>
      <c r="R38" s="202">
        <v>233</v>
      </c>
      <c r="S38" s="205">
        <v>40</v>
      </c>
      <c r="T38" s="208">
        <v>23.88</v>
      </c>
      <c r="U38" s="211">
        <f t="shared" si="0"/>
        <v>296.88</v>
      </c>
      <c r="V38" s="213" t="s">
        <v>31</v>
      </c>
      <c r="W38" s="235" t="s">
        <v>59</v>
      </c>
      <c r="X38" s="65" t="s">
        <v>18</v>
      </c>
      <c r="Y38" s="105" t="s">
        <v>65</v>
      </c>
      <c r="Z38" s="189"/>
    </row>
    <row r="39" spans="1:27" s="2" customFormat="1" ht="14.1" customHeight="1" x14ac:dyDescent="0.35">
      <c r="A39" s="276" t="s">
        <v>39</v>
      </c>
      <c r="B39" s="216" t="s">
        <v>114</v>
      </c>
      <c r="C39" s="239"/>
      <c r="D39" s="236">
        <v>3023108</v>
      </c>
      <c r="E39" s="192">
        <v>44987</v>
      </c>
      <c r="F39" s="195" t="s">
        <v>21</v>
      </c>
      <c r="G39" s="217">
        <v>44987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213</v>
      </c>
      <c r="S39" s="204">
        <v>50</v>
      </c>
      <c r="T39" s="207">
        <v>21.83</v>
      </c>
      <c r="U39" s="210">
        <f t="shared" si="0"/>
        <v>284.83</v>
      </c>
      <c r="V39" s="214" t="s">
        <v>31</v>
      </c>
      <c r="W39" s="226" t="s">
        <v>59</v>
      </c>
      <c r="X39" s="65" t="s">
        <v>18</v>
      </c>
      <c r="Y39" s="105"/>
      <c r="Z39" s="189"/>
    </row>
    <row r="40" spans="1:27" s="2" customFormat="1" ht="14.1" customHeight="1" x14ac:dyDescent="0.35">
      <c r="A40" s="276" t="s">
        <v>39</v>
      </c>
      <c r="B40" s="216" t="s">
        <v>121</v>
      </c>
      <c r="C40" s="239"/>
      <c r="D40" s="236">
        <v>3203103</v>
      </c>
      <c r="E40" s="192">
        <v>45005</v>
      </c>
      <c r="F40" s="195" t="s">
        <v>21</v>
      </c>
      <c r="G40" s="217">
        <v>45005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156</v>
      </c>
      <c r="S40" s="204"/>
      <c r="T40" s="207">
        <v>13.65</v>
      </c>
      <c r="U40" s="210">
        <f t="shared" si="0"/>
        <v>169.65</v>
      </c>
      <c r="V40" s="214" t="s">
        <v>34</v>
      </c>
      <c r="W40" s="226" t="s">
        <v>117</v>
      </c>
      <c r="X40" s="65" t="s">
        <v>18</v>
      </c>
      <c r="Y40" s="105"/>
      <c r="Z40" s="189"/>
    </row>
    <row r="41" spans="1:27" s="268" customFormat="1" ht="14.1" customHeight="1" x14ac:dyDescent="0.35">
      <c r="A41" s="322" t="s">
        <v>39</v>
      </c>
      <c r="B41" s="323" t="s">
        <v>112</v>
      </c>
      <c r="C41" s="324"/>
      <c r="D41" s="325">
        <v>2273108</v>
      </c>
      <c r="E41" s="326">
        <v>44984</v>
      </c>
      <c r="F41" s="327" t="s">
        <v>21</v>
      </c>
      <c r="G41" s="228">
        <v>44985</v>
      </c>
      <c r="H41" s="328"/>
      <c r="I41" s="329"/>
      <c r="J41" s="329"/>
      <c r="K41" s="329"/>
      <c r="L41" s="329"/>
      <c r="M41" s="328"/>
      <c r="N41" s="329"/>
      <c r="O41" s="328"/>
      <c r="P41" s="330"/>
      <c r="Q41" s="331"/>
      <c r="R41" s="328">
        <v>120</v>
      </c>
      <c r="S41" s="331">
        <v>25</v>
      </c>
      <c r="T41" s="332">
        <v>10.199999999999999</v>
      </c>
      <c r="U41" s="333">
        <f t="shared" si="0"/>
        <v>155.19999999999999</v>
      </c>
      <c r="V41" s="334" t="s">
        <v>31</v>
      </c>
      <c r="W41" s="335" t="s">
        <v>59</v>
      </c>
      <c r="X41" s="271" t="s">
        <v>18</v>
      </c>
      <c r="Y41" s="269"/>
      <c r="Z41" s="270"/>
    </row>
    <row r="42" spans="1:27" s="2" customFormat="1" ht="14.1" customHeight="1" x14ac:dyDescent="0.35">
      <c r="A42" s="276" t="s">
        <v>39</v>
      </c>
      <c r="B42" s="216" t="s">
        <v>124</v>
      </c>
      <c r="C42" s="239"/>
      <c r="D42" s="236">
        <v>3223101</v>
      </c>
      <c r="E42" s="192">
        <v>45007</v>
      </c>
      <c r="F42" s="195" t="s">
        <v>21</v>
      </c>
      <c r="G42" s="217">
        <v>45007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247</v>
      </c>
      <c r="S42" s="204">
        <v>62.5</v>
      </c>
      <c r="T42" s="207">
        <v>21</v>
      </c>
      <c r="U42" s="210">
        <f t="shared" si="0"/>
        <v>330.5</v>
      </c>
      <c r="V42" s="214" t="s">
        <v>115</v>
      </c>
      <c r="W42" s="226" t="s">
        <v>59</v>
      </c>
      <c r="X42" s="65" t="s">
        <v>18</v>
      </c>
      <c r="Y42" s="105"/>
      <c r="Z42" s="189"/>
    </row>
    <row r="43" spans="1:27" s="2" customFormat="1" ht="14.1" customHeight="1" x14ac:dyDescent="0.35">
      <c r="A43" s="191" t="s">
        <v>63</v>
      </c>
      <c r="B43" s="232" t="s">
        <v>79</v>
      </c>
      <c r="C43" s="250"/>
      <c r="D43" s="237">
        <v>12052064</v>
      </c>
      <c r="E43" s="193">
        <v>44900</v>
      </c>
      <c r="F43" s="196" t="s">
        <v>78</v>
      </c>
      <c r="G43" s="233">
        <v>44902</v>
      </c>
      <c r="H43" s="202"/>
      <c r="I43" s="199"/>
      <c r="J43" s="199"/>
      <c r="K43" s="199"/>
      <c r="L43" s="199"/>
      <c r="M43" s="202"/>
      <c r="N43" s="199"/>
      <c r="O43" s="202">
        <v>25</v>
      </c>
      <c r="P43" s="234"/>
      <c r="Q43" s="205">
        <v>10</v>
      </c>
      <c r="R43" s="202"/>
      <c r="S43" s="205"/>
      <c r="T43" s="208">
        <v>2.16</v>
      </c>
      <c r="U43" s="211">
        <f t="shared" si="0"/>
        <v>37.159999999999997</v>
      </c>
      <c r="V43" s="213" t="s">
        <v>7</v>
      </c>
      <c r="W43" s="235" t="s">
        <v>63</v>
      </c>
      <c r="X43" s="65" t="s">
        <v>18</v>
      </c>
      <c r="Y43" s="105"/>
      <c r="Z43" s="189"/>
    </row>
    <row r="44" spans="1:27" s="2" customFormat="1" ht="14.1" customHeight="1" x14ac:dyDescent="0.35">
      <c r="A44" s="294" t="s">
        <v>39</v>
      </c>
      <c r="B44" s="295" t="s">
        <v>96</v>
      </c>
      <c r="C44" s="296"/>
      <c r="D44" s="297">
        <v>1203102</v>
      </c>
      <c r="E44" s="298">
        <v>44946</v>
      </c>
      <c r="F44" s="299" t="s">
        <v>21</v>
      </c>
      <c r="G44" s="300">
        <v>44946</v>
      </c>
      <c r="H44" s="301"/>
      <c r="I44" s="302"/>
      <c r="J44" s="302"/>
      <c r="K44" s="302"/>
      <c r="L44" s="302"/>
      <c r="M44" s="301"/>
      <c r="N44" s="302"/>
      <c r="O44" s="301"/>
      <c r="P44" s="303"/>
      <c r="Q44" s="304"/>
      <c r="R44" s="301">
        <v>65</v>
      </c>
      <c r="S44" s="304"/>
      <c r="T44" s="305">
        <v>5.69</v>
      </c>
      <c r="U44" s="306">
        <f t="shared" si="0"/>
        <v>70.69</v>
      </c>
      <c r="V44" s="307" t="s">
        <v>34</v>
      </c>
      <c r="W44" s="308" t="s">
        <v>97</v>
      </c>
      <c r="X44" s="65" t="s">
        <v>18</v>
      </c>
      <c r="Y44" s="105" t="s">
        <v>65</v>
      </c>
      <c r="Z44" s="189"/>
    </row>
    <row r="45" spans="1:27" s="2" customFormat="1" ht="14.1" customHeight="1" x14ac:dyDescent="0.35">
      <c r="A45" s="191" t="s">
        <v>39</v>
      </c>
      <c r="B45" s="232" t="s">
        <v>90</v>
      </c>
      <c r="C45" s="250"/>
      <c r="D45" s="237">
        <v>1093102</v>
      </c>
      <c r="E45" s="193">
        <v>44935</v>
      </c>
      <c r="F45" s="196" t="s">
        <v>21</v>
      </c>
      <c r="G45" s="233">
        <v>44935</v>
      </c>
      <c r="H45" s="202"/>
      <c r="I45" s="199"/>
      <c r="J45" s="199"/>
      <c r="K45" s="199"/>
      <c r="L45" s="199"/>
      <c r="M45" s="202"/>
      <c r="N45" s="199"/>
      <c r="O45" s="202"/>
      <c r="P45" s="234"/>
      <c r="Q45" s="205"/>
      <c r="R45" s="202">
        <v>169</v>
      </c>
      <c r="S45" s="205">
        <v>30</v>
      </c>
      <c r="T45" s="208">
        <v>13.94</v>
      </c>
      <c r="U45" s="211">
        <f t="shared" si="0"/>
        <v>212.94</v>
      </c>
      <c r="V45" s="213" t="s">
        <v>31</v>
      </c>
      <c r="W45" s="235" t="s">
        <v>59</v>
      </c>
      <c r="X45" s="65" t="s">
        <v>18</v>
      </c>
      <c r="Y45" s="105" t="s">
        <v>65</v>
      </c>
      <c r="Z45" s="189"/>
    </row>
    <row r="46" spans="1:27" s="2" customFormat="1" ht="14.1" customHeight="1" x14ac:dyDescent="0.35">
      <c r="A46" s="191" t="s">
        <v>39</v>
      </c>
      <c r="B46" s="232" t="s">
        <v>84</v>
      </c>
      <c r="C46" s="250"/>
      <c r="D46" s="237">
        <v>12222102</v>
      </c>
      <c r="E46" s="193">
        <v>44917</v>
      </c>
      <c r="F46" s="196" t="s">
        <v>21</v>
      </c>
      <c r="G46" s="233">
        <v>44917</v>
      </c>
      <c r="H46" s="202"/>
      <c r="I46" s="199"/>
      <c r="J46" s="199"/>
      <c r="K46" s="199"/>
      <c r="L46" s="199"/>
      <c r="M46" s="202"/>
      <c r="N46" s="199"/>
      <c r="O46" s="202"/>
      <c r="P46" s="234"/>
      <c r="Q46" s="205"/>
      <c r="R46" s="202">
        <v>323</v>
      </c>
      <c r="S46" s="205">
        <v>70</v>
      </c>
      <c r="T46" s="208">
        <v>30.28</v>
      </c>
      <c r="U46" s="211">
        <f t="shared" si="0"/>
        <v>423.28</v>
      </c>
      <c r="V46" s="213" t="s">
        <v>31</v>
      </c>
      <c r="W46" s="235" t="s">
        <v>59</v>
      </c>
      <c r="X46" s="65" t="s">
        <v>18</v>
      </c>
      <c r="Y46" s="105" t="s">
        <v>65</v>
      </c>
      <c r="Z46" s="189"/>
    </row>
    <row r="47" spans="1:27" s="2" customFormat="1" ht="14.1" customHeight="1" x14ac:dyDescent="0.2">
      <c r="A47" s="293"/>
      <c r="B47" s="3"/>
      <c r="C47" s="4"/>
      <c r="D47" s="52"/>
      <c r="E47" s="98"/>
      <c r="F47" s="44"/>
      <c r="G47" s="61"/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/>
      <c r="S47" s="43"/>
      <c r="T47" s="32"/>
      <c r="U47" s="53"/>
      <c r="V47" s="64"/>
      <c r="X47" s="65"/>
      <c r="Y47" s="350">
        <f>SUM(U39:U46)</f>
        <v>1684.25</v>
      </c>
      <c r="Z47" s="247" t="e">
        <f>Y47/V125</f>
        <v>#DIV/0!</v>
      </c>
      <c r="AA47" s="189"/>
    </row>
    <row r="48" spans="1:27" s="2" customFormat="1" ht="14.1" customHeight="1" x14ac:dyDescent="0.2">
      <c r="A48" s="293"/>
      <c r="B48" s="3"/>
      <c r="C48" s="4"/>
      <c r="D48" s="52"/>
      <c r="E48" s="98"/>
      <c r="F48" s="44"/>
      <c r="G48" s="61"/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/>
      <c r="S48" s="43"/>
      <c r="T48" s="32"/>
      <c r="U48" s="53"/>
      <c r="V48" s="64"/>
      <c r="X48" s="65"/>
      <c r="Y48" s="352">
        <f>SUM(U42:U47)</f>
        <v>1074.57</v>
      </c>
      <c r="Z48" s="247" t="e">
        <f>Y48/V143</f>
        <v>#DIV/0!</v>
      </c>
      <c r="AA48" s="189"/>
    </row>
    <row r="49" spans="1:29" s="2" customFormat="1" ht="14.1" customHeight="1" thickBot="1" x14ac:dyDescent="0.25">
      <c r="A49" s="293"/>
      <c r="B49" s="3"/>
      <c r="C49" s="4"/>
      <c r="D49" s="52"/>
      <c r="E49" s="98"/>
      <c r="F49" s="44"/>
      <c r="G49" s="61"/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/>
      <c r="S49" s="43"/>
      <c r="T49" s="32"/>
      <c r="U49" s="53"/>
      <c r="V49" s="64"/>
      <c r="X49" s="65"/>
      <c r="Y49" s="351">
        <f>SUM(U39:U48)</f>
        <v>1684.25</v>
      </c>
      <c r="Z49" s="247" t="e">
        <f>Y49/V152</f>
        <v>#DIV/0!</v>
      </c>
      <c r="AA49" s="189"/>
    </row>
    <row r="50" spans="1:29" s="2" customFormat="1" ht="14.1" customHeight="1" thickBot="1" x14ac:dyDescent="0.25">
      <c r="A50" s="184"/>
      <c r="B50" s="185"/>
      <c r="C50" s="186"/>
      <c r="D50" s="186"/>
      <c r="E50" s="219"/>
      <c r="F50" s="220"/>
      <c r="G50" s="187"/>
      <c r="H50" s="221"/>
      <c r="I50" s="221"/>
      <c r="J50" s="222"/>
      <c r="K50" s="222"/>
      <c r="L50" s="222"/>
      <c r="M50" s="221"/>
      <c r="N50" s="221"/>
      <c r="O50" s="221"/>
      <c r="P50" s="50"/>
      <c r="Q50" s="230"/>
      <c r="R50" s="221"/>
      <c r="S50" s="230"/>
      <c r="T50" s="223"/>
      <c r="U50" s="224"/>
      <c r="V50" s="225"/>
      <c r="W50" s="84"/>
      <c r="X50" s="84"/>
      <c r="Y50" s="251">
        <f>SUM(U20:U29)</f>
        <v>2316.89</v>
      </c>
      <c r="Z50" s="247">
        <f>Y50/V52</f>
        <v>0.23085124084696632</v>
      </c>
      <c r="AA50" s="189"/>
    </row>
    <row r="51" spans="1:29" s="2" customFormat="1" ht="19.5" customHeight="1" thickBot="1" x14ac:dyDescent="0.5">
      <c r="A51" s="158"/>
      <c r="B51" s="159"/>
      <c r="C51" s="159"/>
      <c r="D51" s="41"/>
      <c r="E51" s="41"/>
      <c r="F51" s="167"/>
      <c r="G51" s="41"/>
      <c r="H51" s="160">
        <f t="shared" ref="H51:U51" si="1">SUM(H4:H49)</f>
        <v>225</v>
      </c>
      <c r="I51" s="160">
        <f t="shared" si="1"/>
        <v>0</v>
      </c>
      <c r="J51" s="160">
        <f t="shared" si="1"/>
        <v>0</v>
      </c>
      <c r="K51" s="160">
        <f t="shared" si="1"/>
        <v>0</v>
      </c>
      <c r="L51" s="160">
        <f t="shared" si="1"/>
        <v>0</v>
      </c>
      <c r="M51" s="160">
        <f t="shared" si="1"/>
        <v>750</v>
      </c>
      <c r="N51" s="160">
        <f t="shared" si="1"/>
        <v>0</v>
      </c>
      <c r="O51" s="160">
        <f t="shared" si="1"/>
        <v>52.5</v>
      </c>
      <c r="P51" s="160">
        <f t="shared" si="1"/>
        <v>360</v>
      </c>
      <c r="Q51" s="160">
        <f t="shared" si="1"/>
        <v>200</v>
      </c>
      <c r="R51" s="160">
        <f t="shared" si="1"/>
        <v>6654.5</v>
      </c>
      <c r="S51" s="160">
        <f t="shared" si="1"/>
        <v>1177.5</v>
      </c>
      <c r="T51" s="160">
        <f t="shared" si="1"/>
        <v>616.79000000000008</v>
      </c>
      <c r="U51" s="160">
        <f t="shared" si="1"/>
        <v>10036.290000000001</v>
      </c>
      <c r="V51" s="161"/>
      <c r="W51" s="26"/>
      <c r="X51" s="26"/>
      <c r="Y51" s="4"/>
      <c r="Z51" s="3"/>
      <c r="AA51" s="135"/>
      <c r="AB51" s="135"/>
      <c r="AC51" s="135"/>
    </row>
    <row r="52" spans="1:29" s="2" customFormat="1" ht="14.1" customHeight="1" thickBot="1" x14ac:dyDescent="0.4">
      <c r="A52" s="3"/>
      <c r="B52" s="3"/>
      <c r="C52" s="3"/>
      <c r="D52" s="39"/>
      <c r="E52" s="5"/>
      <c r="F52" s="168"/>
      <c r="G52" s="38"/>
      <c r="H52" s="7"/>
      <c r="I52" s="7"/>
      <c r="J52" s="7"/>
      <c r="K52" s="7"/>
      <c r="L52" s="7"/>
      <c r="M52" s="7"/>
      <c r="N52" s="7"/>
      <c r="O52" s="7"/>
      <c r="P52" s="7"/>
      <c r="Q52" s="6"/>
      <c r="R52" s="3"/>
      <c r="T52" s="82"/>
      <c r="U52" s="37"/>
      <c r="V52" s="249">
        <f>SUM(H51:T51)</f>
        <v>10036.290000000001</v>
      </c>
      <c r="W52" s="3"/>
      <c r="X52" s="3"/>
      <c r="Y52" s="4"/>
      <c r="Z52" s="3"/>
      <c r="AA52" s="3"/>
      <c r="AB52" s="3"/>
      <c r="AC52" s="3"/>
    </row>
    <row r="53" spans="1:29" s="2" customFormat="1" ht="14.1" customHeight="1" x14ac:dyDescent="0.35">
      <c r="A53" s="3"/>
      <c r="B53" s="3"/>
      <c r="C53" s="3"/>
      <c r="D53" s="39"/>
      <c r="E53" s="5"/>
      <c r="F53" s="168"/>
      <c r="G53" s="38"/>
      <c r="H53" s="7"/>
      <c r="I53" s="7"/>
      <c r="J53" s="7"/>
      <c r="K53" s="7"/>
      <c r="L53" s="7"/>
      <c r="M53" s="7"/>
      <c r="N53" s="7"/>
      <c r="O53" s="7"/>
      <c r="P53" s="7"/>
      <c r="Q53" s="6"/>
      <c r="R53" s="3"/>
      <c r="T53" s="82"/>
      <c r="U53" s="37"/>
      <c r="V53" s="26"/>
      <c r="Y53" s="4"/>
      <c r="Z53" s="3"/>
      <c r="AA53" s="3"/>
      <c r="AB53" s="3"/>
      <c r="AC53" s="3"/>
    </row>
    <row r="54" spans="1:29" s="2" customFormat="1" ht="14.1" customHeight="1" x14ac:dyDescent="0.35">
      <c r="A54" s="3"/>
      <c r="B54" s="3"/>
      <c r="C54" s="3"/>
      <c r="D54" s="39"/>
      <c r="E54" s="5"/>
      <c r="F54" s="168"/>
      <c r="G54" s="38"/>
      <c r="H54" s="7"/>
      <c r="I54" s="7"/>
      <c r="J54" s="7"/>
      <c r="K54" s="7"/>
      <c r="L54" s="7"/>
      <c r="M54" s="7"/>
      <c r="N54" s="7"/>
      <c r="O54" s="7"/>
      <c r="P54" s="7"/>
      <c r="Q54" s="6"/>
      <c r="R54" s="3"/>
      <c r="T54" s="82"/>
      <c r="U54" s="37"/>
      <c r="V54" s="26"/>
      <c r="Y54" s="4"/>
      <c r="Z54" s="3"/>
      <c r="AA54" s="3"/>
      <c r="AB54" s="3"/>
      <c r="AC54" s="3"/>
    </row>
    <row r="55" spans="1:29" s="2" customFormat="1" ht="14.1" customHeight="1" x14ac:dyDescent="0.35">
      <c r="A55" s="3"/>
      <c r="B55" s="3"/>
      <c r="C55" s="3"/>
      <c r="D55" s="39"/>
      <c r="E55" s="5"/>
      <c r="F55" s="168"/>
      <c r="G55" s="38"/>
      <c r="H55" s="7"/>
      <c r="I55" s="7"/>
      <c r="J55" s="7"/>
      <c r="K55" s="7"/>
      <c r="L55" s="7"/>
      <c r="M55" s="7"/>
      <c r="N55" s="7"/>
      <c r="O55" s="7"/>
      <c r="P55" s="7"/>
      <c r="Q55" s="6"/>
      <c r="R55" s="3"/>
      <c r="T55" s="82"/>
      <c r="U55" s="37"/>
      <c r="V55" s="26"/>
      <c r="Y55" s="4"/>
      <c r="Z55" s="3"/>
      <c r="AA55" s="3"/>
      <c r="AB55" s="3"/>
      <c r="AC55" s="3"/>
    </row>
    <row r="56" spans="1:29" s="2" customFormat="1" ht="14.1" customHeight="1" x14ac:dyDescent="0.2">
      <c r="A56" s="3"/>
      <c r="B56" s="3"/>
      <c r="C56" s="4"/>
      <c r="D56" s="4"/>
      <c r="E56" s="5"/>
      <c r="F56" s="4"/>
      <c r="G56" s="6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6"/>
      <c r="U56" s="81"/>
      <c r="V56" s="3"/>
      <c r="Y56" s="169"/>
      <c r="Z56" s="190"/>
    </row>
    <row r="57" spans="1:29" s="2" customFormat="1" ht="14.1" customHeight="1" x14ac:dyDescent="0.2">
      <c r="A57" s="3"/>
      <c r="B57" s="3"/>
      <c r="C57" s="4"/>
      <c r="D57" s="4"/>
      <c r="E57" s="5"/>
      <c r="F57" s="4"/>
      <c r="G57" s="6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6"/>
      <c r="U57" s="81"/>
      <c r="V57" s="3"/>
      <c r="Y57" s="169"/>
      <c r="Z57" s="190"/>
    </row>
    <row r="58" spans="1:29" s="2" customFormat="1" ht="14.1" customHeight="1" x14ac:dyDescent="0.2">
      <c r="A58" s="3"/>
      <c r="B58" s="3"/>
      <c r="C58" s="4"/>
      <c r="D58" s="4"/>
      <c r="E58" s="5"/>
      <c r="F58" s="4"/>
      <c r="G58" s="6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6"/>
      <c r="U58" s="81"/>
      <c r="V58" s="3"/>
      <c r="Y58" s="169"/>
      <c r="Z58" s="190"/>
    </row>
    <row r="59" spans="1:29" s="2" customFormat="1" ht="14.1" customHeight="1" x14ac:dyDescent="0.2">
      <c r="A59" s="3"/>
      <c r="B59" s="3"/>
      <c r="C59" s="4"/>
      <c r="D59" s="4"/>
      <c r="E59" s="5"/>
      <c r="F59" s="4"/>
      <c r="G59" s="6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6"/>
      <c r="U59" s="81"/>
      <c r="V59" s="3"/>
      <c r="Y59" s="169"/>
      <c r="Z59" s="190"/>
    </row>
    <row r="60" spans="1:29" s="2" customFormat="1" ht="14.1" customHeight="1" x14ac:dyDescent="0.2">
      <c r="A60" s="3"/>
      <c r="B60" s="3"/>
      <c r="C60" s="4"/>
      <c r="D60" s="4"/>
      <c r="E60" s="5"/>
      <c r="F60" s="4"/>
      <c r="G60" s="61"/>
      <c r="H60" s="7" t="s">
        <v>28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3"/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35">
      <c r="A107" s="3"/>
      <c r="B107" s="3"/>
      <c r="C107" s="130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6"/>
      <c r="V107" s="131"/>
      <c r="W107" s="129"/>
      <c r="X107" s="129"/>
      <c r="Y107" s="245"/>
      <c r="Z107" s="3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35">
      <c r="A297" s="3"/>
      <c r="B297" s="3"/>
      <c r="C297" s="130"/>
      <c r="D297" s="4"/>
      <c r="E297" s="5"/>
      <c r="F297" s="4"/>
      <c r="G297" s="61"/>
      <c r="H297" s="7"/>
      <c r="I297" s="7"/>
      <c r="J297" s="7"/>
      <c r="K297" s="134"/>
      <c r="L297" s="7"/>
      <c r="M297" s="7"/>
      <c r="N297" s="7"/>
      <c r="O297" s="7"/>
      <c r="P297" s="7"/>
      <c r="Q297" s="7"/>
      <c r="R297" s="7"/>
      <c r="S297" s="6"/>
      <c r="T297" s="6"/>
      <c r="V297" s="131"/>
      <c r="W297" s="129"/>
      <c r="X297" s="129"/>
      <c r="Y297" s="245"/>
      <c r="Z297" s="3"/>
    </row>
    <row r="298" spans="1:26" s="135" customFormat="1" ht="26.25" customHeight="1" x14ac:dyDescent="0.45">
      <c r="A298" s="132"/>
      <c r="B298" s="133"/>
      <c r="C298" s="133"/>
      <c r="D298" s="2"/>
      <c r="E298" s="2"/>
      <c r="F298" s="169"/>
      <c r="G298" s="2"/>
      <c r="H298" s="134"/>
      <c r="I298" s="134"/>
      <c r="J298" s="134"/>
      <c r="K298" s="7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37"/>
      <c r="W298" s="26"/>
      <c r="X298" s="26"/>
      <c r="Y298" s="4"/>
      <c r="Z298" s="3"/>
    </row>
    <row r="299" spans="1:26" ht="15" customHeight="1" x14ac:dyDescent="0.35">
      <c r="V299" s="136"/>
      <c r="W299" s="3"/>
      <c r="X299" s="3"/>
    </row>
    <row r="307" spans="4:25" ht="9.75" customHeight="1" x14ac:dyDescent="0.2"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</row>
    <row r="308" spans="4:25" ht="10.5" customHeight="1" x14ac:dyDescent="0.2">
      <c r="D308" s="3"/>
      <c r="E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</row>
    <row r="309" spans="4:25" ht="9.75" customHeight="1" x14ac:dyDescent="0.2"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</row>
    <row r="310" spans="4:25" ht="15" customHeight="1" x14ac:dyDescent="0.35"/>
    <row r="313" spans="4:25" ht="15" customHeight="1" x14ac:dyDescent="0.35"/>
    <row r="316" spans="4:25" ht="10.5" customHeight="1" x14ac:dyDescent="0.35"/>
    <row r="318" spans="4:25" ht="10.5" customHeight="1" x14ac:dyDescent="0.35"/>
    <row r="322" spans="10:10" s="3" customFormat="1" ht="9.75" customHeight="1" x14ac:dyDescent="0.2">
      <c r="J322" s="5"/>
    </row>
  </sheetData>
  <sortState xmlns:xlrd2="http://schemas.microsoft.com/office/spreadsheetml/2017/richdata2" ref="A4:XFD49">
    <sortCondition ref="B4:B49"/>
    <sortCondition ref="G4:G49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XFD389"/>
  <sheetViews>
    <sheetView zoomScale="120" zoomScaleNormal="120" workbookViewId="0">
      <pane ySplit="1" topLeftCell="A33" activePane="bottomLeft" state="frozen"/>
      <selection pane="bottomLeft" activeCell="N15" sqref="N15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5.66406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3"/>
      <c r="B1" s="264">
        <v>45044</v>
      </c>
      <c r="C1" s="137"/>
      <c r="D1" s="138"/>
      <c r="E1" s="265" t="s">
        <v>11</v>
      </c>
      <c r="F1" s="266"/>
      <c r="G1" s="266"/>
      <c r="H1" s="139" t="s">
        <v>27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20</v>
      </c>
      <c r="E2" s="151" t="s">
        <v>2</v>
      </c>
      <c r="F2" s="152" t="s">
        <v>3</v>
      </c>
      <c r="G2" s="153" t="s">
        <v>4</v>
      </c>
      <c r="H2" s="154" t="s">
        <v>50</v>
      </c>
      <c r="I2" s="154" t="s">
        <v>51</v>
      </c>
      <c r="J2" s="154" t="s">
        <v>25</v>
      </c>
      <c r="K2" s="154" t="s">
        <v>52</v>
      </c>
      <c r="L2" s="92" t="s">
        <v>32</v>
      </c>
      <c r="M2" s="183" t="s">
        <v>53</v>
      </c>
      <c r="N2" s="92" t="s">
        <v>54</v>
      </c>
      <c r="O2" s="154" t="s">
        <v>55</v>
      </c>
      <c r="P2" s="154" t="s">
        <v>56</v>
      </c>
      <c r="Q2" s="92" t="s">
        <v>30</v>
      </c>
      <c r="R2" s="154" t="s">
        <v>57</v>
      </c>
      <c r="S2" s="154" t="s">
        <v>58</v>
      </c>
      <c r="T2" s="155" t="s">
        <v>17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191" t="s">
        <v>39</v>
      </c>
      <c r="B4" s="232" t="s">
        <v>74</v>
      </c>
      <c r="C4" s="250"/>
      <c r="D4" s="237">
        <v>12162102</v>
      </c>
      <c r="E4" s="193">
        <v>44911</v>
      </c>
      <c r="F4" s="196" t="s">
        <v>21</v>
      </c>
      <c r="G4" s="233">
        <v>44911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149</v>
      </c>
      <c r="S4" s="205"/>
      <c r="T4" s="208">
        <v>12.29</v>
      </c>
      <c r="U4" s="211">
        <f t="shared" ref="U4:U46" si="0">SUM(H4:T4)</f>
        <v>161.29</v>
      </c>
      <c r="V4" s="213" t="s">
        <v>34</v>
      </c>
      <c r="W4" s="235" t="s">
        <v>80</v>
      </c>
      <c r="X4" s="65" t="s">
        <v>18</v>
      </c>
      <c r="Y4" s="105" t="s">
        <v>65</v>
      </c>
      <c r="Z4" s="189"/>
    </row>
    <row r="5" spans="1:26" s="2" customFormat="1" ht="14.1" customHeight="1" x14ac:dyDescent="0.35">
      <c r="A5" s="191" t="s">
        <v>39</v>
      </c>
      <c r="B5" s="232" t="s">
        <v>82</v>
      </c>
      <c r="C5" s="250"/>
      <c r="D5" s="237">
        <v>12192104</v>
      </c>
      <c r="E5" s="193">
        <v>44914</v>
      </c>
      <c r="F5" s="196" t="s">
        <v>21</v>
      </c>
      <c r="G5" s="233">
        <v>44914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39</v>
      </c>
      <c r="S5" s="205">
        <v>10</v>
      </c>
      <c r="T5" s="208">
        <v>3.36</v>
      </c>
      <c r="U5" s="211">
        <f t="shared" si="0"/>
        <v>52.36</v>
      </c>
      <c r="V5" s="213" t="s">
        <v>31</v>
      </c>
      <c r="W5" s="235" t="s">
        <v>59</v>
      </c>
      <c r="X5" s="65" t="s">
        <v>18</v>
      </c>
      <c r="Y5" s="105" t="s">
        <v>65</v>
      </c>
      <c r="Z5" s="189"/>
    </row>
    <row r="6" spans="1:26" s="2" customFormat="1" ht="14.1" customHeight="1" x14ac:dyDescent="0.35">
      <c r="A6" s="191" t="s">
        <v>39</v>
      </c>
      <c r="B6" s="232" t="s">
        <v>83</v>
      </c>
      <c r="C6" s="250"/>
      <c r="D6" s="237">
        <v>12212102</v>
      </c>
      <c r="E6" s="193">
        <v>44916</v>
      </c>
      <c r="F6" s="267" t="s">
        <v>21</v>
      </c>
      <c r="G6" s="233">
        <v>44916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233</v>
      </c>
      <c r="S6" s="205">
        <v>40</v>
      </c>
      <c r="T6" s="208">
        <v>23.88</v>
      </c>
      <c r="U6" s="211">
        <f t="shared" si="0"/>
        <v>296.88</v>
      </c>
      <c r="V6" s="213" t="s">
        <v>31</v>
      </c>
      <c r="W6" s="235" t="s">
        <v>59</v>
      </c>
      <c r="X6" s="65" t="s">
        <v>18</v>
      </c>
      <c r="Y6" s="105" t="s">
        <v>65</v>
      </c>
      <c r="Z6" s="189"/>
    </row>
    <row r="7" spans="1:26" s="2" customFormat="1" ht="14.1" customHeight="1" x14ac:dyDescent="0.35">
      <c r="A7" s="191" t="s">
        <v>39</v>
      </c>
      <c r="B7" s="232" t="s">
        <v>84</v>
      </c>
      <c r="C7" s="250"/>
      <c r="D7" s="237">
        <v>12222102</v>
      </c>
      <c r="E7" s="193">
        <v>44917</v>
      </c>
      <c r="F7" s="196" t="s">
        <v>21</v>
      </c>
      <c r="G7" s="233">
        <v>44917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323</v>
      </c>
      <c r="S7" s="205">
        <v>70</v>
      </c>
      <c r="T7" s="208">
        <v>30.28</v>
      </c>
      <c r="U7" s="211">
        <f t="shared" si="0"/>
        <v>423.28</v>
      </c>
      <c r="V7" s="213" t="s">
        <v>31</v>
      </c>
      <c r="W7" s="235" t="s">
        <v>59</v>
      </c>
      <c r="X7" s="65" t="s">
        <v>18</v>
      </c>
      <c r="Y7" s="105" t="s">
        <v>65</v>
      </c>
      <c r="Z7" s="189"/>
    </row>
    <row r="8" spans="1:26" s="2" customFormat="1" ht="14.1" customHeight="1" x14ac:dyDescent="0.35">
      <c r="A8" s="191" t="s">
        <v>39</v>
      </c>
      <c r="B8" s="232" t="s">
        <v>86</v>
      </c>
      <c r="C8" s="250"/>
      <c r="D8" s="237">
        <v>12272103</v>
      </c>
      <c r="E8" s="193">
        <v>44922</v>
      </c>
      <c r="F8" s="196" t="s">
        <v>21</v>
      </c>
      <c r="G8" s="233">
        <v>44922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149</v>
      </c>
      <c r="S8" s="205">
        <v>30</v>
      </c>
      <c r="T8" s="208">
        <v>12.67</v>
      </c>
      <c r="U8" s="211">
        <f t="shared" si="0"/>
        <v>191.67</v>
      </c>
      <c r="V8" s="213" t="s">
        <v>31</v>
      </c>
      <c r="W8" s="235" t="s">
        <v>59</v>
      </c>
      <c r="X8" s="65" t="s">
        <v>18</v>
      </c>
      <c r="Y8" s="105" t="s">
        <v>65</v>
      </c>
      <c r="Z8" s="189"/>
    </row>
    <row r="9" spans="1:26" s="2" customFormat="1" ht="14.1" customHeight="1" x14ac:dyDescent="0.35">
      <c r="A9" s="191" t="s">
        <v>39</v>
      </c>
      <c r="B9" s="232" t="s">
        <v>87</v>
      </c>
      <c r="C9" s="250"/>
      <c r="D9" s="237">
        <v>12282103</v>
      </c>
      <c r="E9" s="193">
        <v>44923</v>
      </c>
      <c r="F9" s="196" t="s">
        <v>21</v>
      </c>
      <c r="G9" s="233">
        <v>44923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10</v>
      </c>
      <c r="T9" s="208">
        <v>3.83</v>
      </c>
      <c r="U9" s="211">
        <f t="shared" si="0"/>
        <v>58.83</v>
      </c>
      <c r="V9" s="213" t="s">
        <v>31</v>
      </c>
      <c r="W9" s="235" t="s">
        <v>5</v>
      </c>
      <c r="X9" s="65" t="s">
        <v>18</v>
      </c>
      <c r="Y9" s="105" t="s">
        <v>65</v>
      </c>
      <c r="Z9" s="189"/>
    </row>
    <row r="10" spans="1:26" s="2" customFormat="1" ht="14.1" customHeight="1" x14ac:dyDescent="0.35">
      <c r="A10" s="191" t="s">
        <v>39</v>
      </c>
      <c r="B10" s="232" t="s">
        <v>90</v>
      </c>
      <c r="C10" s="250"/>
      <c r="D10" s="237">
        <v>1093102</v>
      </c>
      <c r="E10" s="193">
        <v>44935</v>
      </c>
      <c r="F10" s="196" t="s">
        <v>21</v>
      </c>
      <c r="G10" s="233">
        <v>44935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169</v>
      </c>
      <c r="S10" s="205">
        <v>30</v>
      </c>
      <c r="T10" s="208">
        <v>13.94</v>
      </c>
      <c r="U10" s="211">
        <f t="shared" si="0"/>
        <v>212.94</v>
      </c>
      <c r="V10" s="213" t="s">
        <v>31</v>
      </c>
      <c r="W10" s="235" t="s">
        <v>59</v>
      </c>
      <c r="X10" s="65" t="s">
        <v>18</v>
      </c>
      <c r="Y10" s="105" t="s">
        <v>65</v>
      </c>
      <c r="Z10" s="189"/>
    </row>
    <row r="11" spans="1:26" s="2" customFormat="1" ht="14.1" customHeight="1" thickBot="1" x14ac:dyDescent="0.4">
      <c r="A11" s="191" t="s">
        <v>39</v>
      </c>
      <c r="B11" s="232" t="s">
        <v>94</v>
      </c>
      <c r="C11" s="250"/>
      <c r="D11" s="237">
        <v>1103101</v>
      </c>
      <c r="E11" s="193">
        <v>44936</v>
      </c>
      <c r="F11" s="196" t="s">
        <v>21</v>
      </c>
      <c r="G11" s="233">
        <v>44936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65</v>
      </c>
      <c r="S11" s="205">
        <v>10</v>
      </c>
      <c r="T11" s="208">
        <v>5.04</v>
      </c>
      <c r="U11" s="211">
        <f t="shared" si="0"/>
        <v>80.040000000000006</v>
      </c>
      <c r="V11" s="213" t="s">
        <v>31</v>
      </c>
      <c r="W11" s="235" t="s">
        <v>59</v>
      </c>
      <c r="X11" s="65" t="s">
        <v>18</v>
      </c>
      <c r="Y11" s="105" t="s">
        <v>65</v>
      </c>
      <c r="Z11" s="189"/>
    </row>
    <row r="12" spans="1:26" s="2" customFormat="1" ht="14.1" customHeight="1" thickBot="1" x14ac:dyDescent="0.4">
      <c r="A12" s="353" t="s">
        <v>39</v>
      </c>
      <c r="B12" s="354" t="s">
        <v>95</v>
      </c>
      <c r="C12" s="355"/>
      <c r="D12" s="355">
        <v>1123104</v>
      </c>
      <c r="E12" s="356">
        <v>44938</v>
      </c>
      <c r="F12" s="357" t="s">
        <v>21</v>
      </c>
      <c r="G12" s="358">
        <v>44938</v>
      </c>
      <c r="H12" s="359"/>
      <c r="I12" s="359"/>
      <c r="J12" s="360"/>
      <c r="K12" s="360"/>
      <c r="L12" s="360"/>
      <c r="M12" s="359"/>
      <c r="N12" s="359"/>
      <c r="O12" s="359"/>
      <c r="P12" s="361"/>
      <c r="Q12" s="362"/>
      <c r="R12" s="359">
        <v>39</v>
      </c>
      <c r="S12" s="362">
        <v>10</v>
      </c>
      <c r="T12" s="363">
        <v>4</v>
      </c>
      <c r="U12" s="364">
        <f t="shared" si="0"/>
        <v>53</v>
      </c>
      <c r="V12" s="365" t="s">
        <v>31</v>
      </c>
      <c r="W12" s="366" t="s">
        <v>59</v>
      </c>
      <c r="X12" s="84" t="s">
        <v>18</v>
      </c>
      <c r="Y12" s="274" t="s">
        <v>65</v>
      </c>
      <c r="Z12" s="189"/>
    </row>
    <row r="13" spans="1:26" s="2" customFormat="1" ht="14.1" customHeight="1" x14ac:dyDescent="0.35">
      <c r="A13" s="294" t="s">
        <v>39</v>
      </c>
      <c r="B13" s="295" t="s">
        <v>96</v>
      </c>
      <c r="C13" s="296"/>
      <c r="D13" s="297">
        <v>1203102</v>
      </c>
      <c r="E13" s="298">
        <v>44946</v>
      </c>
      <c r="F13" s="299" t="s">
        <v>21</v>
      </c>
      <c r="G13" s="300">
        <v>44946</v>
      </c>
      <c r="H13" s="301"/>
      <c r="I13" s="302"/>
      <c r="J13" s="302"/>
      <c r="K13" s="302"/>
      <c r="L13" s="302"/>
      <c r="M13" s="301"/>
      <c r="N13" s="302"/>
      <c r="O13" s="301"/>
      <c r="P13" s="303"/>
      <c r="Q13" s="304"/>
      <c r="R13" s="301">
        <v>65</v>
      </c>
      <c r="S13" s="304"/>
      <c r="T13" s="305">
        <v>5.69</v>
      </c>
      <c r="U13" s="306">
        <f t="shared" si="0"/>
        <v>70.69</v>
      </c>
      <c r="V13" s="307" t="s">
        <v>34</v>
      </c>
      <c r="W13" s="308" t="s">
        <v>97</v>
      </c>
      <c r="X13" s="65" t="s">
        <v>18</v>
      </c>
      <c r="Y13" s="105" t="s">
        <v>65</v>
      </c>
      <c r="Z13" s="189"/>
    </row>
    <row r="14" spans="1:26" s="2" customFormat="1" ht="14.1" customHeight="1" x14ac:dyDescent="0.35">
      <c r="A14" s="248" t="s">
        <v>39</v>
      </c>
      <c r="B14" s="227" t="s">
        <v>104</v>
      </c>
      <c r="C14" s="240"/>
      <c r="D14" s="238">
        <v>2143103</v>
      </c>
      <c r="E14" s="194">
        <v>44971</v>
      </c>
      <c r="F14" s="197" t="s">
        <v>21</v>
      </c>
      <c r="G14" s="228">
        <v>44971</v>
      </c>
      <c r="H14" s="203"/>
      <c r="I14" s="201"/>
      <c r="J14" s="201"/>
      <c r="K14" s="201"/>
      <c r="L14" s="201"/>
      <c r="M14" s="203"/>
      <c r="N14" s="201"/>
      <c r="O14" s="203"/>
      <c r="P14" s="229"/>
      <c r="Q14" s="206"/>
      <c r="R14" s="203">
        <v>90</v>
      </c>
      <c r="S14" s="206">
        <v>10</v>
      </c>
      <c r="T14" s="209">
        <v>8.44</v>
      </c>
      <c r="U14" s="212">
        <f t="shared" si="0"/>
        <v>108.44</v>
      </c>
      <c r="V14" s="215" t="s">
        <v>31</v>
      </c>
      <c r="W14" s="231" t="s">
        <v>39</v>
      </c>
      <c r="X14" s="65" t="s">
        <v>18</v>
      </c>
      <c r="Y14" s="105"/>
      <c r="Z14" s="189"/>
    </row>
    <row r="15" spans="1:26" s="2" customFormat="1" ht="14.1" customHeight="1" x14ac:dyDescent="0.35">
      <c r="A15" s="248" t="s">
        <v>39</v>
      </c>
      <c r="B15" s="227" t="s">
        <v>105</v>
      </c>
      <c r="C15" s="240"/>
      <c r="D15" s="238">
        <v>2143104</v>
      </c>
      <c r="E15" s="194">
        <v>44971</v>
      </c>
      <c r="F15" s="197" t="s">
        <v>21</v>
      </c>
      <c r="G15" s="228">
        <v>44971</v>
      </c>
      <c r="H15" s="203"/>
      <c r="I15" s="201"/>
      <c r="J15" s="201"/>
      <c r="K15" s="201"/>
      <c r="L15" s="201"/>
      <c r="M15" s="203"/>
      <c r="N15" s="201"/>
      <c r="O15" s="203"/>
      <c r="P15" s="229"/>
      <c r="Q15" s="206"/>
      <c r="R15" s="203">
        <v>515</v>
      </c>
      <c r="S15" s="206">
        <v>90</v>
      </c>
      <c r="T15" s="209">
        <v>47.64</v>
      </c>
      <c r="U15" s="212">
        <f t="shared" si="0"/>
        <v>652.64</v>
      </c>
      <c r="V15" s="215" t="s">
        <v>31</v>
      </c>
      <c r="W15" s="231" t="s">
        <v>39</v>
      </c>
      <c r="X15" s="65" t="s">
        <v>18</v>
      </c>
      <c r="Y15" s="105"/>
      <c r="Z15" s="189"/>
    </row>
    <row r="16" spans="1:26" s="2" customFormat="1" ht="14.1" customHeight="1" x14ac:dyDescent="0.35">
      <c r="A16" s="248" t="s">
        <v>39</v>
      </c>
      <c r="B16" s="227" t="s">
        <v>106</v>
      </c>
      <c r="C16" s="240" t="s">
        <v>108</v>
      </c>
      <c r="D16" s="238">
        <v>2163107</v>
      </c>
      <c r="E16" s="194">
        <v>44973</v>
      </c>
      <c r="F16" s="197" t="s">
        <v>109</v>
      </c>
      <c r="G16" s="228">
        <v>44973</v>
      </c>
      <c r="H16" s="203"/>
      <c r="I16" s="201"/>
      <c r="J16" s="201"/>
      <c r="K16" s="201"/>
      <c r="L16" s="201"/>
      <c r="M16" s="203"/>
      <c r="N16" s="201"/>
      <c r="O16" s="203"/>
      <c r="P16" s="229"/>
      <c r="Q16" s="206"/>
      <c r="R16" s="203">
        <v>37.5</v>
      </c>
      <c r="S16" s="206">
        <v>10</v>
      </c>
      <c r="T16" s="209">
        <v>50.92</v>
      </c>
      <c r="U16" s="212">
        <f t="shared" si="0"/>
        <v>98.42</v>
      </c>
      <c r="V16" s="215" t="s">
        <v>31</v>
      </c>
      <c r="W16" s="231" t="s">
        <v>59</v>
      </c>
      <c r="X16" s="65" t="s">
        <v>18</v>
      </c>
      <c r="Y16" s="105"/>
      <c r="Z16" s="189"/>
    </row>
    <row r="17" spans="1:26 16384:16384" s="268" customFormat="1" ht="14.1" customHeight="1" x14ac:dyDescent="0.35">
      <c r="A17" s="322" t="s">
        <v>39</v>
      </c>
      <c r="B17" s="323" t="s">
        <v>110</v>
      </c>
      <c r="C17" s="324"/>
      <c r="D17" s="325">
        <v>2273101</v>
      </c>
      <c r="E17" s="326">
        <v>44984</v>
      </c>
      <c r="F17" s="327" t="s">
        <v>21</v>
      </c>
      <c r="G17" s="228">
        <v>44984</v>
      </c>
      <c r="H17" s="328"/>
      <c r="I17" s="329"/>
      <c r="J17" s="329"/>
      <c r="K17" s="329"/>
      <c r="L17" s="329"/>
      <c r="M17" s="328"/>
      <c r="N17" s="329"/>
      <c r="O17" s="328"/>
      <c r="P17" s="330"/>
      <c r="Q17" s="331"/>
      <c r="R17" s="328">
        <v>110</v>
      </c>
      <c r="S17" s="331"/>
      <c r="T17" s="332">
        <v>9.2200000000000006</v>
      </c>
      <c r="U17" s="333">
        <f t="shared" si="0"/>
        <v>119.22</v>
      </c>
      <c r="V17" s="334" t="s">
        <v>31</v>
      </c>
      <c r="W17" s="335" t="s">
        <v>5</v>
      </c>
      <c r="X17" s="271" t="s">
        <v>18</v>
      </c>
      <c r="Y17" s="269"/>
      <c r="Z17" s="270"/>
      <c r="XFD17" s="292">
        <f>SUM(H17:XFC17)</f>
        <v>238.44</v>
      </c>
    </row>
    <row r="18" spans="1:26 16384:16384" s="268" customFormat="1" ht="14.1" customHeight="1" thickBot="1" x14ac:dyDescent="0.4">
      <c r="A18" s="322" t="s">
        <v>39</v>
      </c>
      <c r="B18" s="323" t="s">
        <v>112</v>
      </c>
      <c r="C18" s="324"/>
      <c r="D18" s="325">
        <v>2273108</v>
      </c>
      <c r="E18" s="326">
        <v>44984</v>
      </c>
      <c r="F18" s="327" t="s">
        <v>21</v>
      </c>
      <c r="G18" s="228">
        <v>44985</v>
      </c>
      <c r="H18" s="328"/>
      <c r="I18" s="329"/>
      <c r="J18" s="329"/>
      <c r="K18" s="329"/>
      <c r="L18" s="329"/>
      <c r="M18" s="328"/>
      <c r="N18" s="329"/>
      <c r="O18" s="328"/>
      <c r="P18" s="330"/>
      <c r="Q18" s="331"/>
      <c r="R18" s="328">
        <v>120</v>
      </c>
      <c r="S18" s="331">
        <v>25</v>
      </c>
      <c r="T18" s="332">
        <v>10.199999999999999</v>
      </c>
      <c r="U18" s="333">
        <f t="shared" si="0"/>
        <v>155.19999999999999</v>
      </c>
      <c r="V18" s="334" t="s">
        <v>31</v>
      </c>
      <c r="W18" s="335" t="s">
        <v>59</v>
      </c>
      <c r="X18" s="271" t="s">
        <v>18</v>
      </c>
      <c r="Y18" s="269"/>
      <c r="Z18" s="270"/>
    </row>
    <row r="19" spans="1:26 16384:16384" s="2" customFormat="1" ht="14.1" customHeight="1" thickBot="1" x14ac:dyDescent="0.4">
      <c r="A19" s="309" t="s">
        <v>39</v>
      </c>
      <c r="B19" s="310" t="s">
        <v>114</v>
      </c>
      <c r="C19" s="311"/>
      <c r="D19" s="311">
        <v>3023108</v>
      </c>
      <c r="E19" s="312">
        <v>44987</v>
      </c>
      <c r="F19" s="313" t="s">
        <v>21</v>
      </c>
      <c r="G19" s="273">
        <v>44987</v>
      </c>
      <c r="H19" s="314"/>
      <c r="I19" s="314"/>
      <c r="J19" s="315"/>
      <c r="K19" s="315"/>
      <c r="L19" s="315"/>
      <c r="M19" s="314"/>
      <c r="N19" s="314"/>
      <c r="O19" s="314"/>
      <c r="P19" s="316"/>
      <c r="Q19" s="317"/>
      <c r="R19" s="314">
        <v>213</v>
      </c>
      <c r="S19" s="317">
        <v>50</v>
      </c>
      <c r="T19" s="318">
        <v>21.83</v>
      </c>
      <c r="U19" s="319">
        <f t="shared" si="0"/>
        <v>284.83</v>
      </c>
      <c r="V19" s="320" t="s">
        <v>31</v>
      </c>
      <c r="W19" s="321" t="s">
        <v>59</v>
      </c>
      <c r="X19" s="84" t="s">
        <v>18</v>
      </c>
      <c r="Y19" s="274"/>
      <c r="Z19" s="189"/>
    </row>
    <row r="20" spans="1:26 16384:16384" s="2" customFormat="1" ht="14.1" customHeight="1" x14ac:dyDescent="0.35">
      <c r="A20" s="276" t="s">
        <v>39</v>
      </c>
      <c r="B20" s="216" t="s">
        <v>85</v>
      </c>
      <c r="C20" s="239"/>
      <c r="D20" s="236">
        <v>3093103</v>
      </c>
      <c r="E20" s="192">
        <v>44994</v>
      </c>
      <c r="F20" s="195" t="s">
        <v>21</v>
      </c>
      <c r="G20" s="217">
        <v>44995</v>
      </c>
      <c r="H20" s="200"/>
      <c r="I20" s="198"/>
      <c r="J20" s="198"/>
      <c r="K20" s="198"/>
      <c r="L20" s="198"/>
      <c r="M20" s="200"/>
      <c r="N20" s="198"/>
      <c r="O20" s="200"/>
      <c r="P20" s="218"/>
      <c r="Q20" s="204"/>
      <c r="R20" s="200">
        <v>105</v>
      </c>
      <c r="S20" s="204">
        <v>37.5</v>
      </c>
      <c r="T20" s="207">
        <v>9.7100000000000009</v>
      </c>
      <c r="U20" s="210">
        <f t="shared" si="0"/>
        <v>152.21</v>
      </c>
      <c r="V20" s="214" t="s">
        <v>115</v>
      </c>
      <c r="W20" s="226" t="s">
        <v>59</v>
      </c>
      <c r="X20" s="65" t="s">
        <v>18</v>
      </c>
      <c r="Y20" s="105"/>
      <c r="Z20" s="189"/>
    </row>
    <row r="21" spans="1:26 16384:16384" s="2" customFormat="1" ht="14.1" customHeight="1" x14ac:dyDescent="0.35">
      <c r="A21" s="276" t="s">
        <v>39</v>
      </c>
      <c r="B21" s="216" t="s">
        <v>118</v>
      </c>
      <c r="C21" s="239"/>
      <c r="D21" s="236">
        <v>3093104</v>
      </c>
      <c r="E21" s="192">
        <v>44994</v>
      </c>
      <c r="F21" s="195" t="s">
        <v>21</v>
      </c>
      <c r="G21" s="217">
        <v>44995</v>
      </c>
      <c r="H21" s="200"/>
      <c r="I21" s="198"/>
      <c r="J21" s="198"/>
      <c r="K21" s="198"/>
      <c r="L21" s="198"/>
      <c r="M21" s="200"/>
      <c r="N21" s="198"/>
      <c r="O21" s="200"/>
      <c r="P21" s="218"/>
      <c r="Q21" s="204"/>
      <c r="R21" s="200">
        <v>39</v>
      </c>
      <c r="S21" s="204">
        <v>12.5</v>
      </c>
      <c r="T21" s="207">
        <v>4</v>
      </c>
      <c r="U21" s="210">
        <f t="shared" si="0"/>
        <v>55.5</v>
      </c>
      <c r="V21" s="214" t="s">
        <v>115</v>
      </c>
      <c r="W21" s="226" t="s">
        <v>59</v>
      </c>
      <c r="X21" s="65" t="s">
        <v>18</v>
      </c>
      <c r="Y21" s="105"/>
      <c r="Z21" s="189"/>
    </row>
    <row r="22" spans="1:26 16384:16384" s="2" customFormat="1" ht="14.1" customHeight="1" x14ac:dyDescent="0.35">
      <c r="A22" s="276" t="s">
        <v>39</v>
      </c>
      <c r="B22" s="216" t="s">
        <v>76</v>
      </c>
      <c r="C22" s="239"/>
      <c r="D22" s="236">
        <v>3133101</v>
      </c>
      <c r="E22" s="192">
        <v>44998</v>
      </c>
      <c r="F22" s="195" t="s">
        <v>21</v>
      </c>
      <c r="G22" s="217">
        <v>44998</v>
      </c>
      <c r="H22" s="200"/>
      <c r="I22" s="198"/>
      <c r="J22" s="198"/>
      <c r="K22" s="198"/>
      <c r="L22" s="198"/>
      <c r="M22" s="200"/>
      <c r="N22" s="198"/>
      <c r="O22" s="200"/>
      <c r="P22" s="218"/>
      <c r="Q22" s="204"/>
      <c r="R22" s="200">
        <v>298</v>
      </c>
      <c r="S22" s="204">
        <v>62.5</v>
      </c>
      <c r="T22" s="207">
        <v>24.59</v>
      </c>
      <c r="U22" s="210">
        <f t="shared" si="0"/>
        <v>385.09</v>
      </c>
      <c r="V22" s="214" t="s">
        <v>115</v>
      </c>
      <c r="W22" s="226" t="s">
        <v>63</v>
      </c>
      <c r="X22" s="65" t="s">
        <v>18</v>
      </c>
      <c r="Y22" s="105"/>
      <c r="Z22" s="189"/>
    </row>
    <row r="23" spans="1:26 16384:16384" s="2" customFormat="1" ht="14.1" customHeight="1" x14ac:dyDescent="0.35">
      <c r="A23" s="276" t="s">
        <v>39</v>
      </c>
      <c r="B23" s="216" t="s">
        <v>120</v>
      </c>
      <c r="C23" s="239"/>
      <c r="D23" s="236">
        <v>3203101</v>
      </c>
      <c r="E23" s="192">
        <v>45005</v>
      </c>
      <c r="F23" s="195" t="s">
        <v>21</v>
      </c>
      <c r="G23" s="217">
        <v>45005</v>
      </c>
      <c r="H23" s="200"/>
      <c r="I23" s="198"/>
      <c r="J23" s="198"/>
      <c r="K23" s="198"/>
      <c r="L23" s="198"/>
      <c r="M23" s="200"/>
      <c r="N23" s="198"/>
      <c r="O23" s="200"/>
      <c r="P23" s="218"/>
      <c r="Q23" s="204"/>
      <c r="R23" s="200">
        <v>130</v>
      </c>
      <c r="S23" s="204">
        <v>25</v>
      </c>
      <c r="T23" s="207">
        <v>11.21</v>
      </c>
      <c r="U23" s="210">
        <f t="shared" si="0"/>
        <v>166.21</v>
      </c>
      <c r="V23" s="214" t="s">
        <v>115</v>
      </c>
      <c r="W23" s="226" t="s">
        <v>59</v>
      </c>
      <c r="X23" s="65" t="s">
        <v>18</v>
      </c>
      <c r="Y23" s="105"/>
      <c r="Z23" s="189"/>
    </row>
    <row r="24" spans="1:26 16384:16384" s="2" customFormat="1" ht="14.1" customHeight="1" x14ac:dyDescent="0.35">
      <c r="A24" s="276" t="s">
        <v>39</v>
      </c>
      <c r="B24" s="216" t="s">
        <v>121</v>
      </c>
      <c r="C24" s="239"/>
      <c r="D24" s="236">
        <v>3203103</v>
      </c>
      <c r="E24" s="192">
        <v>45005</v>
      </c>
      <c r="F24" s="195" t="s">
        <v>21</v>
      </c>
      <c r="G24" s="217">
        <v>45005</v>
      </c>
      <c r="H24" s="200"/>
      <c r="I24" s="198"/>
      <c r="J24" s="198"/>
      <c r="K24" s="198"/>
      <c r="L24" s="198"/>
      <c r="M24" s="200"/>
      <c r="N24" s="198"/>
      <c r="O24" s="200"/>
      <c r="P24" s="218"/>
      <c r="Q24" s="204"/>
      <c r="R24" s="200">
        <v>156</v>
      </c>
      <c r="S24" s="204"/>
      <c r="T24" s="207">
        <v>13.65</v>
      </c>
      <c r="U24" s="210">
        <f t="shared" si="0"/>
        <v>169.65</v>
      </c>
      <c r="V24" s="214" t="s">
        <v>34</v>
      </c>
      <c r="W24" s="226" t="s">
        <v>117</v>
      </c>
      <c r="X24" s="65" t="s">
        <v>18</v>
      </c>
      <c r="Y24" s="105"/>
      <c r="Z24" s="189"/>
    </row>
    <row r="25" spans="1:26 16384:16384" s="2" customFormat="1" ht="14.1" customHeight="1" x14ac:dyDescent="0.35">
      <c r="A25" s="276" t="s">
        <v>39</v>
      </c>
      <c r="B25" s="216" t="s">
        <v>122</v>
      </c>
      <c r="C25" s="239" t="s">
        <v>123</v>
      </c>
      <c r="D25" s="236">
        <v>3213106</v>
      </c>
      <c r="E25" s="192">
        <v>45006</v>
      </c>
      <c r="F25" s="195" t="s">
        <v>21</v>
      </c>
      <c r="G25" s="217">
        <v>45006</v>
      </c>
      <c r="H25" s="200"/>
      <c r="I25" s="198"/>
      <c r="J25" s="198"/>
      <c r="K25" s="198"/>
      <c r="L25" s="198"/>
      <c r="M25" s="200"/>
      <c r="N25" s="198"/>
      <c r="O25" s="200"/>
      <c r="P25" s="218"/>
      <c r="Q25" s="204"/>
      <c r="R25" s="200">
        <v>45</v>
      </c>
      <c r="S25" s="204">
        <v>12.5</v>
      </c>
      <c r="T25" s="207">
        <v>3.94</v>
      </c>
      <c r="U25" s="210">
        <f t="shared" si="0"/>
        <v>61.44</v>
      </c>
      <c r="V25" s="214" t="s">
        <v>115</v>
      </c>
      <c r="W25" s="226" t="s">
        <v>8</v>
      </c>
      <c r="X25" s="65" t="s">
        <v>18</v>
      </c>
      <c r="Y25" s="105"/>
      <c r="Z25" s="189"/>
    </row>
    <row r="26" spans="1:26 16384:16384" s="2" customFormat="1" ht="14.1" customHeight="1" x14ac:dyDescent="0.35">
      <c r="A26" s="276" t="s">
        <v>39</v>
      </c>
      <c r="B26" s="216" t="s">
        <v>124</v>
      </c>
      <c r="C26" s="239"/>
      <c r="D26" s="236">
        <v>3223101</v>
      </c>
      <c r="E26" s="192">
        <v>45007</v>
      </c>
      <c r="F26" s="195" t="s">
        <v>21</v>
      </c>
      <c r="G26" s="217">
        <v>45007</v>
      </c>
      <c r="H26" s="200"/>
      <c r="I26" s="198"/>
      <c r="J26" s="198"/>
      <c r="K26" s="198"/>
      <c r="L26" s="198"/>
      <c r="M26" s="200"/>
      <c r="N26" s="198"/>
      <c r="O26" s="200"/>
      <c r="P26" s="218"/>
      <c r="Q26" s="204"/>
      <c r="R26" s="200">
        <v>247</v>
      </c>
      <c r="S26" s="204">
        <v>62.5</v>
      </c>
      <c r="T26" s="207">
        <v>21</v>
      </c>
      <c r="U26" s="210">
        <f t="shared" si="0"/>
        <v>330.5</v>
      </c>
      <c r="V26" s="214" t="s">
        <v>115</v>
      </c>
      <c r="W26" s="226" t="s">
        <v>59</v>
      </c>
      <c r="X26" s="65" t="s">
        <v>18</v>
      </c>
      <c r="Y26" s="105"/>
      <c r="Z26" s="189"/>
    </row>
    <row r="27" spans="1:26 16384:16384" s="2" customFormat="1" ht="14.1" customHeight="1" x14ac:dyDescent="0.35">
      <c r="A27" s="276" t="s">
        <v>39</v>
      </c>
      <c r="B27" s="216" t="s">
        <v>125</v>
      </c>
      <c r="C27" s="239"/>
      <c r="D27" s="236">
        <v>3223103</v>
      </c>
      <c r="E27" s="192">
        <v>45007</v>
      </c>
      <c r="F27" s="195" t="s">
        <v>21</v>
      </c>
      <c r="G27" s="217">
        <v>45007</v>
      </c>
      <c r="H27" s="200"/>
      <c r="I27" s="198"/>
      <c r="J27" s="198"/>
      <c r="K27" s="198"/>
      <c r="L27" s="198"/>
      <c r="M27" s="200"/>
      <c r="N27" s="198"/>
      <c r="O27" s="200"/>
      <c r="P27" s="218"/>
      <c r="Q27" s="204"/>
      <c r="R27" s="200">
        <v>188</v>
      </c>
      <c r="S27" s="204">
        <v>50</v>
      </c>
      <c r="T27" s="207">
        <v>16.22</v>
      </c>
      <c r="U27" s="210">
        <f t="shared" si="0"/>
        <v>254.22</v>
      </c>
      <c r="V27" s="214" t="s">
        <v>115</v>
      </c>
      <c r="W27" s="226" t="s">
        <v>59</v>
      </c>
      <c r="X27" s="65" t="s">
        <v>18</v>
      </c>
      <c r="Y27" s="105"/>
      <c r="Z27" s="189"/>
    </row>
    <row r="28" spans="1:26 16384:16384" s="2" customFormat="1" ht="14.1" customHeight="1" x14ac:dyDescent="0.35">
      <c r="A28" s="276" t="s">
        <v>39</v>
      </c>
      <c r="B28" s="216" t="s">
        <v>126</v>
      </c>
      <c r="C28" s="239"/>
      <c r="D28" s="236">
        <v>3243102</v>
      </c>
      <c r="E28" s="192">
        <v>45009</v>
      </c>
      <c r="F28" s="195" t="s">
        <v>21</v>
      </c>
      <c r="G28" s="217">
        <v>45009</v>
      </c>
      <c r="H28" s="200"/>
      <c r="I28" s="198"/>
      <c r="J28" s="198"/>
      <c r="K28" s="198"/>
      <c r="L28" s="198"/>
      <c r="M28" s="200"/>
      <c r="N28" s="198"/>
      <c r="O28" s="200"/>
      <c r="P28" s="218"/>
      <c r="Q28" s="204"/>
      <c r="R28" s="200">
        <v>408</v>
      </c>
      <c r="S28" s="204">
        <v>87.5</v>
      </c>
      <c r="T28" s="207">
        <v>33.659999999999997</v>
      </c>
      <c r="U28" s="210">
        <f t="shared" si="0"/>
        <v>529.16</v>
      </c>
      <c r="V28" s="214" t="s">
        <v>115</v>
      </c>
      <c r="W28" s="226" t="s">
        <v>59</v>
      </c>
      <c r="X28" s="65" t="s">
        <v>18</v>
      </c>
      <c r="Y28" s="105"/>
      <c r="Z28" s="189"/>
    </row>
    <row r="29" spans="1:26 16384:16384" s="2" customFormat="1" ht="14.1" customHeight="1" thickBot="1" x14ac:dyDescent="0.4">
      <c r="A29" s="276" t="s">
        <v>39</v>
      </c>
      <c r="B29" s="216" t="s">
        <v>122</v>
      </c>
      <c r="C29" s="239" t="s">
        <v>123</v>
      </c>
      <c r="D29" s="236">
        <v>3243105</v>
      </c>
      <c r="E29" s="192">
        <v>45009</v>
      </c>
      <c r="F29" s="195" t="s">
        <v>21</v>
      </c>
      <c r="G29" s="217">
        <v>45009</v>
      </c>
      <c r="H29" s="200"/>
      <c r="I29" s="198"/>
      <c r="J29" s="198"/>
      <c r="K29" s="198"/>
      <c r="L29" s="198"/>
      <c r="M29" s="200"/>
      <c r="N29" s="198"/>
      <c r="O29" s="200"/>
      <c r="P29" s="218"/>
      <c r="Q29" s="204"/>
      <c r="R29" s="200">
        <v>45</v>
      </c>
      <c r="S29" s="204">
        <v>12.5</v>
      </c>
      <c r="T29" s="207">
        <v>3.94</v>
      </c>
      <c r="U29" s="210">
        <f t="shared" si="0"/>
        <v>61.44</v>
      </c>
      <c r="V29" s="214" t="s">
        <v>115</v>
      </c>
      <c r="W29" s="226" t="s">
        <v>59</v>
      </c>
      <c r="X29" s="65" t="s">
        <v>18</v>
      </c>
      <c r="Y29" s="105"/>
      <c r="Z29" s="189"/>
    </row>
    <row r="30" spans="1:26 16384:16384" s="2" customFormat="1" ht="14.1" customHeight="1" thickBot="1" x14ac:dyDescent="0.4">
      <c r="A30" s="309" t="s">
        <v>39</v>
      </c>
      <c r="B30" s="310" t="s">
        <v>120</v>
      </c>
      <c r="C30" s="311"/>
      <c r="D30" s="311">
        <v>3273102</v>
      </c>
      <c r="E30" s="312">
        <v>45012</v>
      </c>
      <c r="F30" s="313" t="s">
        <v>21</v>
      </c>
      <c r="G30" s="273">
        <v>45012</v>
      </c>
      <c r="H30" s="314"/>
      <c r="I30" s="314"/>
      <c r="J30" s="315"/>
      <c r="K30" s="315"/>
      <c r="L30" s="315"/>
      <c r="M30" s="314"/>
      <c r="N30" s="314"/>
      <c r="O30" s="314"/>
      <c r="P30" s="316"/>
      <c r="Q30" s="317"/>
      <c r="R30" s="314">
        <v>427</v>
      </c>
      <c r="S30" s="317">
        <v>87.5</v>
      </c>
      <c r="T30" s="318">
        <v>36.83</v>
      </c>
      <c r="U30" s="319">
        <f t="shared" si="0"/>
        <v>551.33000000000004</v>
      </c>
      <c r="V30" s="320" t="s">
        <v>115</v>
      </c>
      <c r="W30" s="321" t="s">
        <v>59</v>
      </c>
      <c r="X30" s="84" t="s">
        <v>18</v>
      </c>
      <c r="Y30" s="274"/>
      <c r="Z30" s="189"/>
    </row>
    <row r="31" spans="1:26 16384:16384" s="2" customFormat="1" ht="14.1" customHeight="1" x14ac:dyDescent="0.35">
      <c r="A31" s="276" t="s">
        <v>39</v>
      </c>
      <c r="B31" s="216" t="s">
        <v>111</v>
      </c>
      <c r="C31" s="239" t="s">
        <v>127</v>
      </c>
      <c r="D31" s="236">
        <v>3283106</v>
      </c>
      <c r="E31" s="192">
        <v>45013</v>
      </c>
      <c r="F31" s="195" t="s">
        <v>21</v>
      </c>
      <c r="G31" s="217">
        <v>45013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650</v>
      </c>
      <c r="S31" s="204">
        <v>125</v>
      </c>
      <c r="T31" s="207">
        <v>56.88</v>
      </c>
      <c r="U31" s="210">
        <f t="shared" si="0"/>
        <v>831.88</v>
      </c>
      <c r="V31" s="214" t="s">
        <v>115</v>
      </c>
      <c r="W31" s="226" t="s">
        <v>59</v>
      </c>
      <c r="X31" s="65" t="s">
        <v>18</v>
      </c>
      <c r="Y31" s="105"/>
      <c r="Z31" s="189"/>
    </row>
    <row r="32" spans="1:26 16384:16384" s="2" customFormat="1" ht="14.1" customHeight="1" x14ac:dyDescent="0.35">
      <c r="A32" s="276" t="s">
        <v>39</v>
      </c>
      <c r="B32" s="216" t="s">
        <v>128</v>
      </c>
      <c r="C32" s="239"/>
      <c r="D32" s="236">
        <v>3283107</v>
      </c>
      <c r="E32" s="192">
        <v>45013</v>
      </c>
      <c r="F32" s="195" t="s">
        <v>21</v>
      </c>
      <c r="G32" s="217">
        <v>45013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376</v>
      </c>
      <c r="S32" s="204">
        <v>62.5</v>
      </c>
      <c r="T32" s="207">
        <v>34.78</v>
      </c>
      <c r="U32" s="210">
        <f t="shared" si="0"/>
        <v>473.28</v>
      </c>
      <c r="V32" s="214" t="s">
        <v>115</v>
      </c>
      <c r="W32" s="226" t="s">
        <v>59</v>
      </c>
      <c r="X32" s="65" t="s">
        <v>18</v>
      </c>
      <c r="Y32" s="105"/>
      <c r="Z32" s="189"/>
    </row>
    <row r="33" spans="1:27" s="2" customFormat="1" ht="14.1" customHeight="1" x14ac:dyDescent="0.35">
      <c r="A33" s="260" t="s">
        <v>39</v>
      </c>
      <c r="B33" s="3" t="s">
        <v>129</v>
      </c>
      <c r="C33" s="4"/>
      <c r="D33" s="52">
        <v>3293103</v>
      </c>
      <c r="E33" s="98">
        <v>45014</v>
      </c>
      <c r="F33" s="44" t="s">
        <v>21</v>
      </c>
      <c r="G33" s="61">
        <v>45014</v>
      </c>
      <c r="H33" s="42"/>
      <c r="I33" s="28"/>
      <c r="J33" s="28"/>
      <c r="K33" s="28"/>
      <c r="L33" s="28"/>
      <c r="M33" s="42"/>
      <c r="N33" s="28"/>
      <c r="O33" s="42"/>
      <c r="P33" s="7"/>
      <c r="Q33" s="43"/>
      <c r="R33" s="42">
        <v>208</v>
      </c>
      <c r="S33" s="43">
        <v>50</v>
      </c>
      <c r="T33" s="32">
        <v>17.940000000000001</v>
      </c>
      <c r="U33" s="53">
        <f t="shared" si="0"/>
        <v>275.94</v>
      </c>
      <c r="V33" s="64" t="s">
        <v>115</v>
      </c>
      <c r="W33" s="2" t="s">
        <v>59</v>
      </c>
      <c r="X33" s="65" t="s">
        <v>18</v>
      </c>
      <c r="Y33" s="105"/>
      <c r="Z33" s="189"/>
    </row>
    <row r="34" spans="1:27" s="2" customFormat="1" ht="14.1" customHeight="1" x14ac:dyDescent="0.35">
      <c r="A34" s="260" t="s">
        <v>39</v>
      </c>
      <c r="B34" s="3" t="s">
        <v>131</v>
      </c>
      <c r="C34" s="4"/>
      <c r="D34" s="52">
        <v>3303101</v>
      </c>
      <c r="E34" s="98">
        <v>45015</v>
      </c>
      <c r="F34" s="44" t="s">
        <v>21</v>
      </c>
      <c r="G34" s="61">
        <v>45015</v>
      </c>
      <c r="H34" s="42"/>
      <c r="I34" s="28"/>
      <c r="J34" s="28"/>
      <c r="K34" s="28"/>
      <c r="L34" s="28"/>
      <c r="M34" s="42"/>
      <c r="N34" s="28"/>
      <c r="O34" s="42"/>
      <c r="P34" s="7"/>
      <c r="Q34" s="43"/>
      <c r="R34" s="42">
        <v>110</v>
      </c>
      <c r="S34" s="43">
        <v>25</v>
      </c>
      <c r="T34" s="32">
        <v>11.28</v>
      </c>
      <c r="U34" s="53">
        <f t="shared" si="0"/>
        <v>146.28</v>
      </c>
      <c r="V34" s="64" t="s">
        <v>115</v>
      </c>
      <c r="W34" s="2" t="s">
        <v>5</v>
      </c>
      <c r="X34" s="65" t="s">
        <v>18</v>
      </c>
      <c r="Y34" s="105"/>
      <c r="Z34" s="189"/>
    </row>
    <row r="35" spans="1:27" s="2" customFormat="1" ht="14.1" customHeight="1" x14ac:dyDescent="0.35">
      <c r="A35" s="260" t="s">
        <v>39</v>
      </c>
      <c r="B35" s="3" t="s">
        <v>135</v>
      </c>
      <c r="C35" s="4" t="s">
        <v>132</v>
      </c>
      <c r="D35" s="52">
        <v>3313101</v>
      </c>
      <c r="E35" s="98">
        <v>45016</v>
      </c>
      <c r="F35" s="44" t="s">
        <v>21</v>
      </c>
      <c r="G35" s="61">
        <v>45016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-50</v>
      </c>
      <c r="S35" s="43"/>
      <c r="T35" s="32">
        <v>-4.63</v>
      </c>
      <c r="U35" s="53">
        <f t="shared" si="0"/>
        <v>-54.63</v>
      </c>
      <c r="V35" s="64" t="s">
        <v>34</v>
      </c>
      <c r="W35" s="2" t="s">
        <v>39</v>
      </c>
      <c r="X35" s="65" t="s">
        <v>18</v>
      </c>
      <c r="Y35" s="105"/>
      <c r="Z35" s="189"/>
    </row>
    <row r="36" spans="1:27" s="2" customFormat="1" ht="14.1" customHeight="1" x14ac:dyDescent="0.35">
      <c r="A36" s="248" t="s">
        <v>6</v>
      </c>
      <c r="B36" s="227" t="s">
        <v>107</v>
      </c>
      <c r="C36" s="240"/>
      <c r="D36" s="238">
        <v>2153071</v>
      </c>
      <c r="E36" s="194">
        <v>44972</v>
      </c>
      <c r="F36" s="197" t="s">
        <v>21</v>
      </c>
      <c r="G36" s="228">
        <v>44972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165</v>
      </c>
      <c r="S36" s="206">
        <v>30</v>
      </c>
      <c r="T36" s="209">
        <v>13.61</v>
      </c>
      <c r="U36" s="212">
        <f t="shared" si="0"/>
        <v>208.61</v>
      </c>
      <c r="V36" s="215" t="s">
        <v>31</v>
      </c>
      <c r="W36" s="231" t="s">
        <v>6</v>
      </c>
      <c r="X36" s="65" t="s">
        <v>18</v>
      </c>
      <c r="Y36" s="105"/>
      <c r="Z36" s="189"/>
    </row>
    <row r="37" spans="1:27" s="2" customFormat="1" ht="14.1" customHeight="1" x14ac:dyDescent="0.35">
      <c r="A37" s="248" t="s">
        <v>38</v>
      </c>
      <c r="B37" s="227" t="s">
        <v>99</v>
      </c>
      <c r="C37" s="240"/>
      <c r="D37" s="238">
        <v>2063261</v>
      </c>
      <c r="E37" s="194">
        <v>44963</v>
      </c>
      <c r="F37" s="197" t="s">
        <v>71</v>
      </c>
      <c r="G37" s="228">
        <v>44963</v>
      </c>
      <c r="H37" s="203"/>
      <c r="I37" s="201"/>
      <c r="J37" s="201"/>
      <c r="K37" s="201"/>
      <c r="L37" s="201"/>
      <c r="M37" s="203"/>
      <c r="N37" s="201"/>
      <c r="O37" s="203"/>
      <c r="P37" s="229">
        <v>180</v>
      </c>
      <c r="Q37" s="206">
        <v>90</v>
      </c>
      <c r="R37" s="203"/>
      <c r="S37" s="206"/>
      <c r="T37" s="209"/>
      <c r="U37" s="212">
        <f t="shared" si="0"/>
        <v>270</v>
      </c>
      <c r="V37" s="215" t="s">
        <v>7</v>
      </c>
      <c r="W37" s="231" t="s">
        <v>38</v>
      </c>
      <c r="X37" s="65" t="s">
        <v>18</v>
      </c>
      <c r="Y37" s="105"/>
      <c r="Z37" s="189"/>
    </row>
    <row r="38" spans="1:27" s="2" customFormat="1" ht="14.1" customHeight="1" x14ac:dyDescent="0.35">
      <c r="A38" s="260" t="s">
        <v>38</v>
      </c>
      <c r="B38" s="3" t="s">
        <v>133</v>
      </c>
      <c r="C38" s="4" t="s">
        <v>134</v>
      </c>
      <c r="D38" s="52">
        <v>3303041</v>
      </c>
      <c r="E38" s="98">
        <v>45015</v>
      </c>
      <c r="F38" s="44" t="s">
        <v>71</v>
      </c>
      <c r="G38" s="61">
        <v>45016</v>
      </c>
      <c r="H38" s="42"/>
      <c r="I38" s="28"/>
      <c r="J38" s="28"/>
      <c r="K38" s="28"/>
      <c r="L38" s="28"/>
      <c r="M38" s="42"/>
      <c r="N38" s="28"/>
      <c r="O38" s="42"/>
      <c r="P38" s="7">
        <v>180</v>
      </c>
      <c r="Q38" s="43">
        <v>90</v>
      </c>
      <c r="R38" s="42"/>
      <c r="S38" s="43"/>
      <c r="T38" s="32"/>
      <c r="U38" s="53">
        <f t="shared" si="0"/>
        <v>270</v>
      </c>
      <c r="V38" s="64" t="s">
        <v>7</v>
      </c>
      <c r="W38" s="2" t="s">
        <v>38</v>
      </c>
      <c r="X38" s="65" t="s">
        <v>18</v>
      </c>
      <c r="Y38" s="105"/>
      <c r="Z38" s="189"/>
    </row>
    <row r="39" spans="1:27" s="2" customFormat="1" ht="14.1" customHeight="1" x14ac:dyDescent="0.35">
      <c r="A39" s="191" t="s">
        <v>63</v>
      </c>
      <c r="B39" s="232" t="s">
        <v>79</v>
      </c>
      <c r="C39" s="250"/>
      <c r="D39" s="237">
        <v>12052064</v>
      </c>
      <c r="E39" s="193">
        <v>44900</v>
      </c>
      <c r="F39" s="196" t="s">
        <v>78</v>
      </c>
      <c r="G39" s="233">
        <v>44902</v>
      </c>
      <c r="H39" s="202"/>
      <c r="I39" s="199"/>
      <c r="J39" s="199"/>
      <c r="K39" s="199"/>
      <c r="L39" s="199"/>
      <c r="M39" s="202"/>
      <c r="N39" s="199"/>
      <c r="O39" s="202">
        <v>25</v>
      </c>
      <c r="P39" s="234"/>
      <c r="Q39" s="205">
        <v>10</v>
      </c>
      <c r="R39" s="202"/>
      <c r="S39" s="205"/>
      <c r="T39" s="208">
        <v>2.16</v>
      </c>
      <c r="U39" s="211">
        <f t="shared" si="0"/>
        <v>37.159999999999997</v>
      </c>
      <c r="V39" s="213" t="s">
        <v>7</v>
      </c>
      <c r="W39" s="235" t="s">
        <v>63</v>
      </c>
      <c r="X39" s="65" t="s">
        <v>18</v>
      </c>
      <c r="Y39" s="105"/>
      <c r="Z39" s="189"/>
    </row>
    <row r="40" spans="1:27" s="2" customFormat="1" ht="14.1" customHeight="1" x14ac:dyDescent="0.35">
      <c r="A40" s="191" t="s">
        <v>8</v>
      </c>
      <c r="B40" s="232" t="s">
        <v>81</v>
      </c>
      <c r="C40" s="250"/>
      <c r="D40" s="237">
        <v>12192051</v>
      </c>
      <c r="E40" s="193">
        <v>44914</v>
      </c>
      <c r="F40" s="196" t="s">
        <v>40</v>
      </c>
      <c r="G40" s="233">
        <v>44914</v>
      </c>
      <c r="H40" s="202"/>
      <c r="I40" s="199"/>
      <c r="J40" s="199"/>
      <c r="K40" s="199"/>
      <c r="L40" s="199"/>
      <c r="M40" s="202">
        <v>750</v>
      </c>
      <c r="N40" s="199"/>
      <c r="O40" s="202"/>
      <c r="P40" s="234"/>
      <c r="Q40" s="205"/>
      <c r="R40" s="202"/>
      <c r="S40" s="205"/>
      <c r="T40" s="208"/>
      <c r="U40" s="211">
        <f t="shared" si="0"/>
        <v>750</v>
      </c>
      <c r="V40" s="213" t="s">
        <v>26</v>
      </c>
      <c r="W40" s="235" t="s">
        <v>8</v>
      </c>
      <c r="X40" s="65" t="s">
        <v>18</v>
      </c>
      <c r="Y40" s="105" t="s">
        <v>66</v>
      </c>
      <c r="Z40" s="189"/>
    </row>
    <row r="41" spans="1:27" s="2" customFormat="1" ht="14.1" customHeight="1" x14ac:dyDescent="0.35">
      <c r="A41" s="191" t="s">
        <v>8</v>
      </c>
      <c r="B41" s="232" t="s">
        <v>91</v>
      </c>
      <c r="C41" s="250" t="s">
        <v>92</v>
      </c>
      <c r="D41" s="237">
        <v>1103063</v>
      </c>
      <c r="E41" s="193">
        <v>44936</v>
      </c>
      <c r="F41" s="196" t="s">
        <v>93</v>
      </c>
      <c r="G41" s="233">
        <v>44936</v>
      </c>
      <c r="H41" s="202"/>
      <c r="I41" s="199"/>
      <c r="J41" s="199"/>
      <c r="K41" s="199"/>
      <c r="L41" s="199"/>
      <c r="M41" s="202"/>
      <c r="N41" s="199"/>
      <c r="O41" s="202">
        <v>27.5</v>
      </c>
      <c r="P41" s="234"/>
      <c r="Q41" s="205">
        <v>10</v>
      </c>
      <c r="R41" s="202"/>
      <c r="S41" s="205"/>
      <c r="T41" s="208">
        <v>2.41</v>
      </c>
      <c r="U41" s="211">
        <f t="shared" si="0"/>
        <v>39.909999999999997</v>
      </c>
      <c r="V41" s="213" t="s">
        <v>31</v>
      </c>
      <c r="W41" s="235" t="s">
        <v>59</v>
      </c>
      <c r="X41" s="65" t="s">
        <v>18</v>
      </c>
      <c r="Y41" s="105" t="s">
        <v>66</v>
      </c>
      <c r="Z41" s="189"/>
    </row>
    <row r="42" spans="1:27" s="2" customFormat="1" ht="14.1" customHeight="1" x14ac:dyDescent="0.35">
      <c r="A42" s="276" t="s">
        <v>8</v>
      </c>
      <c r="B42" s="216" t="s">
        <v>119</v>
      </c>
      <c r="C42" s="239"/>
      <c r="D42" s="236">
        <v>3103012</v>
      </c>
      <c r="E42" s="192">
        <v>44995</v>
      </c>
      <c r="F42" s="195" t="s">
        <v>113</v>
      </c>
      <c r="G42" s="217">
        <v>44998</v>
      </c>
      <c r="H42" s="200">
        <v>225</v>
      </c>
      <c r="I42" s="198"/>
      <c r="J42" s="198"/>
      <c r="K42" s="198"/>
      <c r="L42" s="198"/>
      <c r="M42" s="200"/>
      <c r="N42" s="198"/>
      <c r="O42" s="200"/>
      <c r="P42" s="218"/>
      <c r="Q42" s="204"/>
      <c r="R42" s="200"/>
      <c r="S42" s="204"/>
      <c r="T42" s="207">
        <v>19.420000000000002</v>
      </c>
      <c r="U42" s="210">
        <f t="shared" si="0"/>
        <v>244.42000000000002</v>
      </c>
      <c r="V42" s="214" t="s">
        <v>7</v>
      </c>
      <c r="W42" s="226" t="s">
        <v>8</v>
      </c>
      <c r="X42" s="65" t="s">
        <v>18</v>
      </c>
      <c r="Y42" s="105"/>
      <c r="Z42" s="189"/>
    </row>
    <row r="43" spans="1:27" s="2" customFormat="1" ht="14.1" customHeight="1" x14ac:dyDescent="0.35">
      <c r="A43" s="277" t="s">
        <v>5</v>
      </c>
      <c r="B43" s="278" t="s">
        <v>89</v>
      </c>
      <c r="C43" s="279"/>
      <c r="D43" s="280">
        <v>1043062</v>
      </c>
      <c r="E43" s="281">
        <v>44929</v>
      </c>
      <c r="F43" s="282" t="s">
        <v>21</v>
      </c>
      <c r="G43" s="283">
        <v>44929</v>
      </c>
      <c r="H43" s="284"/>
      <c r="I43" s="285"/>
      <c r="J43" s="285"/>
      <c r="K43" s="285"/>
      <c r="L43" s="285"/>
      <c r="M43" s="284"/>
      <c r="N43" s="285"/>
      <c r="O43" s="284"/>
      <c r="P43" s="286"/>
      <c r="Q43" s="287"/>
      <c r="R43" s="284">
        <v>243</v>
      </c>
      <c r="S43" s="287">
        <v>40</v>
      </c>
      <c r="T43" s="288">
        <v>20.96</v>
      </c>
      <c r="U43" s="289">
        <f t="shared" si="0"/>
        <v>303.95999999999998</v>
      </c>
      <c r="V43" s="290" t="s">
        <v>31</v>
      </c>
      <c r="W43" s="291" t="s">
        <v>59</v>
      </c>
      <c r="X43" s="65" t="s">
        <v>18</v>
      </c>
      <c r="Y43" s="105" t="s">
        <v>102</v>
      </c>
      <c r="Z43" s="189"/>
    </row>
    <row r="44" spans="1:27" s="2" customFormat="1" ht="14.1" customHeight="1" x14ac:dyDescent="0.35">
      <c r="A44" s="248" t="s">
        <v>5</v>
      </c>
      <c r="B44" s="227" t="s">
        <v>100</v>
      </c>
      <c r="C44" s="240"/>
      <c r="D44" s="238">
        <v>2072064</v>
      </c>
      <c r="E44" s="194">
        <v>44964</v>
      </c>
      <c r="F44" s="197" t="s">
        <v>21</v>
      </c>
      <c r="G44" s="228">
        <v>44964</v>
      </c>
      <c r="H44" s="203"/>
      <c r="I44" s="201"/>
      <c r="J44" s="201"/>
      <c r="K44" s="201"/>
      <c r="L44" s="201"/>
      <c r="M44" s="203"/>
      <c r="N44" s="201"/>
      <c r="O44" s="203"/>
      <c r="P44" s="229"/>
      <c r="Q44" s="206"/>
      <c r="R44" s="203">
        <v>79</v>
      </c>
      <c r="S44" s="206"/>
      <c r="T44" s="209"/>
      <c r="U44" s="212">
        <f t="shared" si="0"/>
        <v>79</v>
      </c>
      <c r="V44" s="215" t="s">
        <v>34</v>
      </c>
      <c r="W44" s="231" t="s">
        <v>101</v>
      </c>
      <c r="X44" s="65" t="s">
        <v>18</v>
      </c>
      <c r="Y44" s="105"/>
      <c r="Z44" s="189"/>
    </row>
    <row r="45" spans="1:27" s="2" customFormat="1" ht="14.1" customHeight="1" x14ac:dyDescent="0.35">
      <c r="A45" s="248" t="s">
        <v>5</v>
      </c>
      <c r="B45" s="227" t="s">
        <v>35</v>
      </c>
      <c r="C45" s="240"/>
      <c r="D45" s="238">
        <v>2083062</v>
      </c>
      <c r="E45" s="194">
        <v>44965</v>
      </c>
      <c r="F45" s="197" t="s">
        <v>21</v>
      </c>
      <c r="G45" s="228">
        <v>44965</v>
      </c>
      <c r="H45" s="203"/>
      <c r="I45" s="201"/>
      <c r="J45" s="201"/>
      <c r="K45" s="201"/>
      <c r="L45" s="201"/>
      <c r="M45" s="203"/>
      <c r="N45" s="201"/>
      <c r="O45" s="203"/>
      <c r="P45" s="229"/>
      <c r="Q45" s="206"/>
      <c r="R45" s="203">
        <v>345</v>
      </c>
      <c r="S45" s="206"/>
      <c r="T45" s="209"/>
      <c r="U45" s="212">
        <f t="shared" si="0"/>
        <v>345</v>
      </c>
      <c r="V45" s="215" t="s">
        <v>31</v>
      </c>
      <c r="W45" s="231" t="s">
        <v>59</v>
      </c>
      <c r="X45" s="65" t="s">
        <v>18</v>
      </c>
      <c r="Y45" s="105"/>
      <c r="Z45" s="189"/>
    </row>
    <row r="46" spans="1:27" s="2" customFormat="1" ht="14.1" customHeight="1" x14ac:dyDescent="0.35">
      <c r="A46" s="248" t="s">
        <v>5</v>
      </c>
      <c r="B46" s="227" t="s">
        <v>35</v>
      </c>
      <c r="C46" s="240"/>
      <c r="D46" s="238">
        <v>2083064</v>
      </c>
      <c r="E46" s="194">
        <v>44965</v>
      </c>
      <c r="F46" s="197" t="s">
        <v>21</v>
      </c>
      <c r="G46" s="228">
        <v>44965</v>
      </c>
      <c r="H46" s="203"/>
      <c r="I46" s="201"/>
      <c r="J46" s="201"/>
      <c r="K46" s="201"/>
      <c r="L46" s="201"/>
      <c r="M46" s="203"/>
      <c r="N46" s="201"/>
      <c r="O46" s="203"/>
      <c r="P46" s="229"/>
      <c r="Q46" s="206"/>
      <c r="R46" s="203">
        <v>79</v>
      </c>
      <c r="S46" s="206"/>
      <c r="T46" s="209"/>
      <c r="U46" s="212">
        <f t="shared" si="0"/>
        <v>79</v>
      </c>
      <c r="V46" s="215" t="s">
        <v>31</v>
      </c>
      <c r="W46" s="231" t="s">
        <v>59</v>
      </c>
      <c r="X46" s="65" t="s">
        <v>18</v>
      </c>
      <c r="Y46" s="105"/>
      <c r="Z46" s="189"/>
    </row>
    <row r="47" spans="1:27" s="2" customFormat="1" ht="14.1" customHeight="1" x14ac:dyDescent="0.2">
      <c r="A47" s="293"/>
      <c r="B47" s="3"/>
      <c r="C47" s="4"/>
      <c r="D47" s="52"/>
      <c r="E47" s="98"/>
      <c r="F47" s="44"/>
      <c r="G47" s="61"/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/>
      <c r="S47" s="43"/>
      <c r="T47" s="32"/>
      <c r="U47" s="53"/>
      <c r="V47" s="64"/>
      <c r="X47" s="65"/>
      <c r="Y47" s="350">
        <f>SUM(U39:U46)</f>
        <v>1878.45</v>
      </c>
      <c r="Z47" s="247" t="e">
        <f>Y47/V125</f>
        <v>#DIV/0!</v>
      </c>
      <c r="AA47" s="189"/>
    </row>
    <row r="48" spans="1:27" s="2" customFormat="1" ht="14.1" customHeight="1" x14ac:dyDescent="0.2">
      <c r="A48" s="293"/>
      <c r="B48" s="3"/>
      <c r="C48" s="4"/>
      <c r="D48" s="52"/>
      <c r="E48" s="98"/>
      <c r="F48" s="44"/>
      <c r="G48" s="61"/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/>
      <c r="S48" s="43"/>
      <c r="T48" s="32"/>
      <c r="U48" s="53"/>
      <c r="V48" s="64"/>
      <c r="X48" s="65"/>
      <c r="Y48" s="352">
        <f>SUM(U42:U47)</f>
        <v>1051.3800000000001</v>
      </c>
      <c r="Z48" s="247" t="e">
        <f>Y48/V143</f>
        <v>#DIV/0!</v>
      </c>
      <c r="AA48" s="189"/>
    </row>
    <row r="49" spans="1:29" s="2" customFormat="1" ht="14.1" customHeight="1" thickBot="1" x14ac:dyDescent="0.25">
      <c r="A49" s="293"/>
      <c r="B49" s="3"/>
      <c r="C49" s="4"/>
      <c r="D49" s="52"/>
      <c r="E49" s="98"/>
      <c r="F49" s="44"/>
      <c r="G49" s="61"/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/>
      <c r="S49" s="43"/>
      <c r="T49" s="32"/>
      <c r="U49" s="53"/>
      <c r="V49" s="64"/>
      <c r="X49" s="65"/>
      <c r="Y49" s="351">
        <f>SUM(U39:U48)</f>
        <v>1878.45</v>
      </c>
      <c r="Z49" s="247" t="e">
        <f>Y49/V152</f>
        <v>#DIV/0!</v>
      </c>
      <c r="AA49" s="189"/>
    </row>
    <row r="50" spans="1:29" s="2" customFormat="1" ht="14.1" customHeight="1" thickBot="1" x14ac:dyDescent="0.25">
      <c r="A50" s="184"/>
      <c r="B50" s="185"/>
      <c r="C50" s="186"/>
      <c r="D50" s="186"/>
      <c r="E50" s="219"/>
      <c r="F50" s="220"/>
      <c r="G50" s="187"/>
      <c r="H50" s="221"/>
      <c r="I50" s="221"/>
      <c r="J50" s="222"/>
      <c r="K50" s="222"/>
      <c r="L50" s="222"/>
      <c r="M50" s="221"/>
      <c r="N50" s="221"/>
      <c r="O50" s="221"/>
      <c r="P50" s="50"/>
      <c r="Q50" s="230"/>
      <c r="R50" s="221"/>
      <c r="S50" s="230"/>
      <c r="T50" s="223"/>
      <c r="U50" s="224"/>
      <c r="V50" s="225"/>
      <c r="W50" s="84"/>
      <c r="X50" s="84"/>
      <c r="Y50" s="251">
        <f>SUM(U20:U29)</f>
        <v>2165.42</v>
      </c>
      <c r="Z50" s="247">
        <f>Y50/V52</f>
        <v>0.21575901055071151</v>
      </c>
      <c r="AA50" s="189"/>
    </row>
    <row r="51" spans="1:29" s="2" customFormat="1" ht="19.5" customHeight="1" thickBot="1" x14ac:dyDescent="0.5">
      <c r="A51" s="158"/>
      <c r="B51" s="159"/>
      <c r="C51" s="159"/>
      <c r="D51" s="41"/>
      <c r="E51" s="41"/>
      <c r="F51" s="167"/>
      <c r="G51" s="41"/>
      <c r="H51" s="160">
        <f t="shared" ref="H51:U51" si="1">SUM(H4:H49)</f>
        <v>225</v>
      </c>
      <c r="I51" s="160">
        <f t="shared" si="1"/>
        <v>0</v>
      </c>
      <c r="J51" s="160">
        <f t="shared" si="1"/>
        <v>0</v>
      </c>
      <c r="K51" s="160">
        <f t="shared" si="1"/>
        <v>0</v>
      </c>
      <c r="L51" s="160">
        <f t="shared" si="1"/>
        <v>0</v>
      </c>
      <c r="M51" s="160">
        <f t="shared" si="1"/>
        <v>750</v>
      </c>
      <c r="N51" s="160">
        <f t="shared" si="1"/>
        <v>0</v>
      </c>
      <c r="O51" s="160">
        <f t="shared" si="1"/>
        <v>52.5</v>
      </c>
      <c r="P51" s="160">
        <f t="shared" si="1"/>
        <v>360</v>
      </c>
      <c r="Q51" s="160">
        <f t="shared" si="1"/>
        <v>200</v>
      </c>
      <c r="R51" s="160">
        <f t="shared" si="1"/>
        <v>6654.5</v>
      </c>
      <c r="S51" s="160">
        <f t="shared" si="1"/>
        <v>1177.5</v>
      </c>
      <c r="T51" s="160">
        <f t="shared" si="1"/>
        <v>616.78999999999985</v>
      </c>
      <c r="U51" s="160">
        <f t="shared" si="1"/>
        <v>10036.289999999997</v>
      </c>
      <c r="V51" s="161"/>
      <c r="W51" s="26"/>
      <c r="X51" s="26"/>
      <c r="Y51" s="4"/>
      <c r="Z51" s="3"/>
      <c r="AA51" s="135"/>
      <c r="AB51" s="135"/>
      <c r="AC51" s="135"/>
    </row>
    <row r="52" spans="1:29" s="2" customFormat="1" ht="14.1" customHeight="1" thickBot="1" x14ac:dyDescent="0.4">
      <c r="A52" s="3"/>
      <c r="B52" s="3"/>
      <c r="C52" s="3"/>
      <c r="D52" s="39"/>
      <c r="E52" s="5"/>
      <c r="F52" s="168"/>
      <c r="G52" s="38"/>
      <c r="H52" s="7"/>
      <c r="I52" s="7"/>
      <c r="J52" s="7"/>
      <c r="K52" s="7"/>
      <c r="L52" s="7"/>
      <c r="M52" s="7"/>
      <c r="N52" s="7"/>
      <c r="O52" s="7"/>
      <c r="P52" s="7"/>
      <c r="Q52" s="6"/>
      <c r="R52" s="3"/>
      <c r="T52" s="82"/>
      <c r="U52" s="37"/>
      <c r="V52" s="249">
        <f>SUM(H51:T51)</f>
        <v>10036.289999999999</v>
      </c>
      <c r="W52" s="3"/>
      <c r="X52" s="3"/>
      <c r="Y52" s="4"/>
      <c r="Z52" s="3"/>
      <c r="AA52" s="3"/>
      <c r="AB52" s="3"/>
      <c r="AC52" s="3"/>
    </row>
    <row r="53" spans="1:29" s="2" customFormat="1" ht="14.1" customHeight="1" x14ac:dyDescent="0.35">
      <c r="A53" s="3"/>
      <c r="B53" s="3"/>
      <c r="C53" s="3"/>
      <c r="D53" s="39"/>
      <c r="E53" s="5"/>
      <c r="F53" s="168"/>
      <c r="G53" s="38"/>
      <c r="H53" s="7"/>
      <c r="I53" s="7"/>
      <c r="J53" s="7"/>
      <c r="K53" s="7"/>
      <c r="L53" s="7"/>
      <c r="M53" s="7"/>
      <c r="N53" s="7"/>
      <c r="O53" s="7"/>
      <c r="P53" s="7"/>
      <c r="Q53" s="6"/>
      <c r="R53" s="3"/>
      <c r="T53" s="82"/>
      <c r="U53" s="37"/>
      <c r="V53" s="26"/>
      <c r="Y53" s="4"/>
      <c r="Z53" s="3"/>
      <c r="AA53" s="3"/>
      <c r="AB53" s="3"/>
      <c r="AC53" s="3"/>
    </row>
    <row r="54" spans="1:29" s="2" customFormat="1" ht="14.1" customHeight="1" x14ac:dyDescent="0.35">
      <c r="A54" s="3"/>
      <c r="B54" s="3"/>
      <c r="C54" s="3"/>
      <c r="D54" s="39"/>
      <c r="E54" s="5"/>
      <c r="F54" s="168"/>
      <c r="G54" s="38"/>
      <c r="H54" s="7"/>
      <c r="I54" s="7"/>
      <c r="J54" s="7"/>
      <c r="K54" s="7"/>
      <c r="L54" s="7"/>
      <c r="M54" s="7"/>
      <c r="N54" s="7"/>
      <c r="O54" s="7"/>
      <c r="P54" s="7"/>
      <c r="Q54" s="6"/>
      <c r="R54" s="3"/>
      <c r="T54" s="82"/>
      <c r="U54" s="37"/>
      <c r="V54" s="26"/>
      <c r="Y54" s="4"/>
      <c r="Z54" s="3"/>
      <c r="AA54" s="3"/>
      <c r="AB54" s="3"/>
      <c r="AC54" s="3"/>
    </row>
    <row r="55" spans="1:29" s="2" customFormat="1" ht="14.1" customHeight="1" x14ac:dyDescent="0.35">
      <c r="A55" s="3"/>
      <c r="B55" s="3"/>
      <c r="C55" s="3"/>
      <c r="D55" s="39"/>
      <c r="E55" s="5"/>
      <c r="F55" s="168"/>
      <c r="G55" s="38"/>
      <c r="H55" s="7"/>
      <c r="I55" s="7"/>
      <c r="J55" s="7"/>
      <c r="K55" s="7"/>
      <c r="L55" s="7"/>
      <c r="M55" s="7"/>
      <c r="N55" s="7"/>
      <c r="O55" s="7"/>
      <c r="P55" s="7"/>
      <c r="Q55" s="6"/>
      <c r="R55" s="3"/>
      <c r="T55" s="82"/>
      <c r="U55" s="37"/>
      <c r="V55" s="26"/>
      <c r="Y55" s="4"/>
      <c r="Z55" s="3"/>
      <c r="AA55" s="3"/>
      <c r="AB55" s="3"/>
      <c r="AC55" s="3"/>
    </row>
    <row r="56" spans="1:29" s="2" customFormat="1" ht="14.1" customHeight="1" x14ac:dyDescent="0.2">
      <c r="A56" s="3"/>
      <c r="B56" s="3"/>
      <c r="C56" s="4"/>
      <c r="D56" s="4"/>
      <c r="E56" s="5"/>
      <c r="F56" s="4"/>
      <c r="G56" s="6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6"/>
      <c r="U56" s="81"/>
      <c r="V56" s="3"/>
      <c r="Y56" s="169"/>
      <c r="Z56" s="190"/>
    </row>
    <row r="57" spans="1:29" s="2" customFormat="1" ht="14.1" customHeight="1" x14ac:dyDescent="0.2">
      <c r="A57" s="3"/>
      <c r="B57" s="3"/>
      <c r="C57" s="4"/>
      <c r="D57" s="4"/>
      <c r="E57" s="5"/>
      <c r="F57" s="4"/>
      <c r="G57" s="6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6"/>
      <c r="U57" s="81"/>
      <c r="V57" s="3"/>
      <c r="Y57" s="169"/>
      <c r="Z57" s="190"/>
    </row>
    <row r="58" spans="1:29" s="2" customFormat="1" ht="14.1" customHeight="1" x14ac:dyDescent="0.2">
      <c r="A58" s="3"/>
      <c r="B58" s="3"/>
      <c r="C58" s="4"/>
      <c r="D58" s="4"/>
      <c r="E58" s="5"/>
      <c r="F58" s="4"/>
      <c r="G58" s="6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6"/>
      <c r="U58" s="81"/>
      <c r="V58" s="3"/>
      <c r="Y58" s="169"/>
      <c r="Z58" s="190"/>
    </row>
    <row r="59" spans="1:29" s="2" customFormat="1" ht="14.1" customHeight="1" x14ac:dyDescent="0.2">
      <c r="A59" s="3"/>
      <c r="B59" s="3"/>
      <c r="C59" s="4"/>
      <c r="D59" s="4"/>
      <c r="E59" s="5"/>
      <c r="F59" s="4"/>
      <c r="G59" s="6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6"/>
      <c r="U59" s="81"/>
      <c r="V59" s="3"/>
      <c r="Y59" s="169"/>
      <c r="Z59" s="190"/>
    </row>
    <row r="60" spans="1:29" s="2" customFormat="1" ht="14.1" customHeight="1" x14ac:dyDescent="0.2">
      <c r="A60" s="3"/>
      <c r="B60" s="3"/>
      <c r="C60" s="4"/>
      <c r="D60" s="4"/>
      <c r="E60" s="5"/>
      <c r="F60" s="4"/>
      <c r="G60" s="61"/>
      <c r="H60" s="7" t="s">
        <v>28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6"/>
      <c r="U60" s="81"/>
      <c r="V60" s="3"/>
      <c r="Y60" s="169"/>
      <c r="Z60" s="190"/>
    </row>
    <row r="61" spans="1:29" s="2" customFormat="1" ht="14.1" customHeight="1" x14ac:dyDescent="0.2">
      <c r="A61" s="3"/>
      <c r="B61" s="3"/>
      <c r="C61" s="4"/>
      <c r="D61" s="4"/>
      <c r="E61" s="5"/>
      <c r="F61" s="4"/>
      <c r="G61" s="6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6"/>
      <c r="U61" s="81"/>
      <c r="V61" s="3"/>
      <c r="Y61" s="169"/>
      <c r="Z61" s="190"/>
    </row>
    <row r="62" spans="1:29" s="2" customFormat="1" ht="14.1" customHeight="1" x14ac:dyDescent="0.2">
      <c r="A62" s="3"/>
      <c r="B62" s="3"/>
      <c r="C62" s="4"/>
      <c r="D62" s="4"/>
      <c r="E62" s="5"/>
      <c r="F62" s="4"/>
      <c r="G62" s="6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6"/>
      <c r="U62" s="81"/>
      <c r="V62" s="3"/>
      <c r="Y62" s="169"/>
      <c r="Z62" s="190"/>
    </row>
    <row r="63" spans="1:29" s="2" customFormat="1" ht="14.1" customHeight="1" x14ac:dyDescent="0.2">
      <c r="A63" s="3"/>
      <c r="B63" s="3"/>
      <c r="C63" s="4"/>
      <c r="D63" s="4"/>
      <c r="E63" s="5"/>
      <c r="F63" s="4"/>
      <c r="G63" s="6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6"/>
      <c r="U63" s="81"/>
      <c r="V63" s="3"/>
      <c r="Y63" s="169"/>
      <c r="Z63" s="190"/>
    </row>
    <row r="64" spans="1:29" s="2" customFormat="1" ht="14.1" customHeight="1" x14ac:dyDescent="0.2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3"/>
      <c r="Y64" s="169"/>
      <c r="Z64" s="190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9"/>
      <c r="Z74" s="190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35">
      <c r="A107" s="3"/>
      <c r="B107" s="3"/>
      <c r="C107" s="130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6"/>
      <c r="T107" s="6"/>
      <c r="V107" s="131"/>
      <c r="W107" s="129"/>
      <c r="X107" s="129"/>
      <c r="Y107" s="245"/>
      <c r="Z107" s="3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35">
      <c r="A297" s="3"/>
      <c r="B297" s="3"/>
      <c r="C297" s="130"/>
      <c r="D297" s="4"/>
      <c r="E297" s="5"/>
      <c r="F297" s="4"/>
      <c r="G297" s="61"/>
      <c r="H297" s="7"/>
      <c r="I297" s="7"/>
      <c r="J297" s="7"/>
      <c r="K297" s="134"/>
      <c r="L297" s="7"/>
      <c r="M297" s="7"/>
      <c r="N297" s="7"/>
      <c r="O297" s="7"/>
      <c r="P297" s="7"/>
      <c r="Q297" s="7"/>
      <c r="R297" s="7"/>
      <c r="S297" s="6"/>
      <c r="T297" s="6"/>
      <c r="V297" s="131"/>
      <c r="W297" s="129"/>
      <c r="X297" s="129"/>
      <c r="Y297" s="245"/>
      <c r="Z297" s="3"/>
    </row>
    <row r="298" spans="1:26" s="135" customFormat="1" ht="26.25" customHeight="1" x14ac:dyDescent="0.45">
      <c r="A298" s="132"/>
      <c r="B298" s="133"/>
      <c r="C298" s="133"/>
      <c r="D298" s="2"/>
      <c r="E298" s="2"/>
      <c r="F298" s="169"/>
      <c r="G298" s="2"/>
      <c r="H298" s="134"/>
      <c r="I298" s="134"/>
      <c r="J298" s="134"/>
      <c r="K298" s="7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37"/>
      <c r="W298" s="26"/>
      <c r="X298" s="26"/>
      <c r="Y298" s="4"/>
      <c r="Z298" s="3"/>
    </row>
    <row r="299" spans="1:26" ht="15" customHeight="1" x14ac:dyDescent="0.35">
      <c r="V299" s="136"/>
      <c r="W299" s="3"/>
      <c r="X299" s="3"/>
    </row>
    <row r="300" spans="1:26" ht="9.75" customHeight="1" x14ac:dyDescent="0.35"/>
    <row r="301" spans="1:26" ht="9.75" customHeight="1" x14ac:dyDescent="0.35"/>
    <row r="302" spans="1:26" ht="9.75" customHeight="1" x14ac:dyDescent="0.35"/>
    <row r="303" spans="1:26" ht="9.75" customHeight="1" x14ac:dyDescent="0.35"/>
    <row r="304" spans="1:26" ht="9.75" customHeight="1" x14ac:dyDescent="0.35"/>
    <row r="305" spans="4:25" ht="9.75" customHeight="1" x14ac:dyDescent="0.35"/>
    <row r="306" spans="4:25" ht="9.75" customHeight="1" x14ac:dyDescent="0.35"/>
    <row r="307" spans="4:25" ht="9.75" customHeight="1" x14ac:dyDescent="0.2"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S307" s="3"/>
      <c r="T307" s="3"/>
      <c r="U307" s="3"/>
      <c r="V307" s="3"/>
      <c r="W307" s="3"/>
      <c r="X307" s="3"/>
      <c r="Y307" s="3"/>
    </row>
    <row r="308" spans="4:25" ht="10.5" customHeight="1" x14ac:dyDescent="0.2">
      <c r="D308" s="3"/>
      <c r="E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S308" s="3"/>
      <c r="T308" s="3"/>
      <c r="U308" s="3"/>
      <c r="V308" s="3"/>
      <c r="W308" s="3"/>
      <c r="X308" s="3"/>
      <c r="Y308" s="3"/>
    </row>
    <row r="309" spans="4:25" ht="9.75" customHeight="1" x14ac:dyDescent="0.2"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S309" s="3"/>
      <c r="T309" s="3"/>
      <c r="U309" s="3"/>
      <c r="V309" s="3"/>
      <c r="W309" s="3"/>
      <c r="X309" s="3"/>
      <c r="Y309" s="3"/>
    </row>
    <row r="310" spans="4:25" ht="9.75" customHeight="1" x14ac:dyDescent="0.35"/>
    <row r="311" spans="4:25" ht="9.75" customHeight="1" x14ac:dyDescent="0.35"/>
    <row r="312" spans="4:25" ht="9.75" customHeight="1" x14ac:dyDescent="0.35"/>
    <row r="313" spans="4:25" ht="9.75" customHeight="1" x14ac:dyDescent="0.35"/>
    <row r="314" spans="4:25" ht="9.75" customHeight="1" x14ac:dyDescent="0.35"/>
    <row r="315" spans="4:25" ht="9.75" customHeight="1" x14ac:dyDescent="0.35"/>
    <row r="316" spans="4:25" ht="10.5" customHeight="1" x14ac:dyDescent="0.35"/>
    <row r="317" spans="4:25" ht="9.75" customHeight="1" x14ac:dyDescent="0.35"/>
    <row r="318" spans="4:25" ht="9.75" customHeight="1" x14ac:dyDescent="0.35"/>
    <row r="319" spans="4:25" ht="9.75" customHeight="1" x14ac:dyDescent="0.35"/>
    <row r="320" spans="4:25" ht="9.75" customHeight="1" x14ac:dyDescent="0.35"/>
    <row r="321" spans="4:25" ht="9.75" customHeight="1" x14ac:dyDescent="0.35"/>
    <row r="322" spans="4:25" ht="9.75" customHeight="1" x14ac:dyDescent="0.2">
      <c r="D322" s="3"/>
      <c r="E322" s="3"/>
      <c r="F322" s="3"/>
      <c r="G322" s="3"/>
      <c r="H322" s="3"/>
      <c r="I322" s="3"/>
      <c r="J322" s="5"/>
      <c r="K322" s="3"/>
      <c r="L322" s="3"/>
      <c r="M322" s="3"/>
      <c r="N322" s="3"/>
      <c r="O322" s="3"/>
      <c r="P322" s="3"/>
      <c r="Q322" s="3"/>
      <c r="S322" s="3"/>
      <c r="T322" s="3"/>
      <c r="U322" s="3"/>
      <c r="V322" s="3"/>
      <c r="W322" s="3"/>
      <c r="X322" s="3"/>
      <c r="Y322" s="3"/>
    </row>
    <row r="323" spans="4:25" ht="9.75" customHeight="1" x14ac:dyDescent="0.35"/>
    <row r="324" spans="4:25" ht="9.75" customHeight="1" x14ac:dyDescent="0.35"/>
    <row r="325" spans="4:25" ht="9.75" customHeight="1" x14ac:dyDescent="0.35"/>
    <row r="326" spans="4:25" ht="9.75" customHeight="1" x14ac:dyDescent="0.35"/>
    <row r="327" spans="4:25" ht="9.75" customHeight="1" x14ac:dyDescent="0.35"/>
    <row r="328" spans="4:25" ht="9.75" customHeight="1" x14ac:dyDescent="0.35"/>
    <row r="329" spans="4:25" ht="9.75" customHeight="1" x14ac:dyDescent="0.35"/>
    <row r="330" spans="4:25" ht="9.75" customHeight="1" x14ac:dyDescent="0.35"/>
    <row r="331" spans="4:25" ht="9.75" customHeight="1" x14ac:dyDescent="0.35"/>
    <row r="332" spans="4:25" ht="9.75" customHeight="1" x14ac:dyDescent="0.35"/>
    <row r="333" spans="4:25" ht="9.75" customHeight="1" x14ac:dyDescent="0.35"/>
    <row r="334" spans="4:25" ht="9.75" customHeight="1" x14ac:dyDescent="0.35"/>
    <row r="335" spans="4:25" ht="9.75" customHeight="1" x14ac:dyDescent="0.35"/>
    <row r="336" spans="4:25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59" ht="9.75" customHeight="1" x14ac:dyDescent="0.35"/>
    <row r="360" ht="9.75" customHeight="1" x14ac:dyDescent="0.35"/>
    <row r="361" ht="9.75" customHeight="1" x14ac:dyDescent="0.35"/>
    <row r="362" ht="9.75" customHeight="1" x14ac:dyDescent="0.35"/>
    <row r="363" ht="9.75" customHeight="1" x14ac:dyDescent="0.35"/>
    <row r="364" ht="9.75" customHeight="1" x14ac:dyDescent="0.35"/>
    <row r="365" ht="9.75" customHeight="1" x14ac:dyDescent="0.35"/>
    <row r="366" ht="9.75" customHeight="1" x14ac:dyDescent="0.35"/>
    <row r="367" ht="9.75" customHeight="1" x14ac:dyDescent="0.35"/>
    <row r="368" ht="9.75" customHeight="1" x14ac:dyDescent="0.35"/>
    <row r="371" ht="9.75" customHeight="1" x14ac:dyDescent="0.35"/>
    <row r="374" ht="9.75" customHeight="1" x14ac:dyDescent="0.35"/>
    <row r="375" ht="9.75" customHeight="1" x14ac:dyDescent="0.35"/>
    <row r="376" ht="9.75" customHeight="1" x14ac:dyDescent="0.35"/>
    <row r="382" ht="9.75" customHeight="1" x14ac:dyDescent="0.35"/>
    <row r="389" ht="9.75" customHeight="1" x14ac:dyDescent="0.35"/>
  </sheetData>
  <sortState xmlns:xlrd2="http://schemas.microsoft.com/office/spreadsheetml/2017/richdata2" ref="A4:XFD49">
    <sortCondition ref="A4:A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E11" sqref="E11"/>
    </sheetView>
  </sheetViews>
  <sheetFormatPr defaultColWidth="6.6640625" defaultRowHeight="13.2" x14ac:dyDescent="0.2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35">
      <c r="A1" s="29">
        <v>45044</v>
      </c>
      <c r="B1" s="11" t="s">
        <v>28</v>
      </c>
      <c r="C1" s="12" t="s">
        <v>22</v>
      </c>
      <c r="D1" s="12"/>
    </row>
    <row r="2" spans="1:9" ht="13.65" customHeight="1" x14ac:dyDescent="0.3">
      <c r="A2" s="14"/>
      <c r="B2" s="12"/>
      <c r="C2" s="15"/>
      <c r="D2" s="16"/>
    </row>
    <row r="3" spans="1:9" s="17" customFormat="1" x14ac:dyDescent="0.25">
      <c r="A3" s="18"/>
      <c r="C3" s="18"/>
      <c r="E3" s="17" t="s">
        <v>23</v>
      </c>
      <c r="H3" s="49" t="s">
        <v>33</v>
      </c>
      <c r="I3" s="31"/>
    </row>
    <row r="4" spans="1:9" s="17" customFormat="1" ht="12" customHeight="1" x14ac:dyDescent="0.25">
      <c r="C4" s="18"/>
      <c r="D4" s="18"/>
      <c r="E4" s="17" t="s">
        <v>24</v>
      </c>
      <c r="H4" s="48"/>
      <c r="I4" s="31"/>
    </row>
    <row r="7" spans="1:9" ht="15.6" x14ac:dyDescent="0.3">
      <c r="A7" s="24"/>
      <c r="B7" s="19"/>
      <c r="C7" s="20"/>
      <c r="E7" s="23" t="s">
        <v>41</v>
      </c>
      <c r="F7" s="23"/>
      <c r="H7" s="104"/>
      <c r="I7" s="11"/>
    </row>
    <row r="8" spans="1:9" ht="15.6" x14ac:dyDescent="0.3">
      <c r="A8" s="22"/>
      <c r="B8" s="23"/>
      <c r="C8" s="22"/>
    </row>
    <row r="12" spans="1:9" x14ac:dyDescent="0.2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2023-03-31T20:03:15Z</cp:lastPrinted>
  <dcterms:created xsi:type="dcterms:W3CDTF">2002-09-03T16:34:09Z</dcterms:created>
  <dcterms:modified xsi:type="dcterms:W3CDTF">2023-04-28T21:14:16Z</dcterms:modified>
</cp:coreProperties>
</file>