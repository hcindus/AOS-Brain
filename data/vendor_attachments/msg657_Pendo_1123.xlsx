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617A1233-5F09-46CD-B855-46A03BF9A7DC}" xr6:coauthVersionLast="47" xr6:coauthVersionMax="47" xr10:uidLastSave="{00000000-0000-0000-0000-000000000000}"/>
  <bookViews>
    <workbookView xWindow="300" yWindow="264" windowWidth="22512" windowHeight="11484" tabRatio="569" activeTab="1" xr2:uid="{00000000-000D-0000-FFFF-FFFF00000000}"/>
  </bookViews>
  <sheets>
    <sheet name="NOV" sheetId="8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01" i="6" l="1"/>
  <c r="S101" i="6"/>
  <c r="R101" i="6"/>
  <c r="Q101" i="6"/>
  <c r="P101" i="6"/>
  <c r="O101" i="6"/>
  <c r="M101" i="6"/>
  <c r="L101" i="6"/>
  <c r="K101" i="6"/>
  <c r="J101" i="6"/>
  <c r="I101" i="6"/>
  <c r="H101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96" i="6"/>
  <c r="U95" i="6"/>
  <c r="U58" i="6"/>
  <c r="U77" i="6"/>
  <c r="U57" i="6"/>
  <c r="U76" i="6"/>
  <c r="U94" i="6"/>
  <c r="U56" i="6"/>
  <c r="U55" i="6"/>
  <c r="U54" i="6"/>
  <c r="U53" i="6"/>
  <c r="U52" i="6"/>
  <c r="U51" i="6"/>
  <c r="U86" i="6"/>
  <c r="U50" i="6"/>
  <c r="U93" i="6"/>
  <c r="U49" i="6"/>
  <c r="U48" i="6"/>
  <c r="U92" i="6"/>
  <c r="U91" i="6"/>
  <c r="U47" i="6"/>
  <c r="U46" i="6"/>
  <c r="U73" i="6"/>
  <c r="U45" i="6"/>
  <c r="U44" i="6"/>
  <c r="U43" i="6"/>
  <c r="U42" i="6"/>
  <c r="U85" i="6"/>
  <c r="U84" i="6"/>
  <c r="U80" i="6"/>
  <c r="U41" i="6"/>
  <c r="U40" i="6"/>
  <c r="U39" i="6"/>
  <c r="U38" i="6"/>
  <c r="U37" i="6"/>
  <c r="U90" i="6"/>
  <c r="U36" i="6"/>
  <c r="U83" i="6"/>
  <c r="U35" i="6"/>
  <c r="U34" i="6"/>
  <c r="U33" i="6"/>
  <c r="U32" i="6"/>
  <c r="U31" i="6"/>
  <c r="U30" i="6"/>
  <c r="U82" i="6"/>
  <c r="U29" i="6"/>
  <c r="U28" i="6"/>
  <c r="U27" i="6"/>
  <c r="U75" i="6"/>
  <c r="U26" i="6"/>
  <c r="U25" i="6"/>
  <c r="U79" i="6"/>
  <c r="U89" i="6"/>
  <c r="U88" i="6"/>
  <c r="U24" i="6"/>
  <c r="U87" i="6"/>
  <c r="U23" i="6"/>
  <c r="U22" i="6"/>
  <c r="U21" i="6"/>
  <c r="U81" i="6"/>
  <c r="U20" i="6"/>
  <c r="U19" i="6"/>
  <c r="U18" i="6"/>
  <c r="U17" i="6"/>
  <c r="U16" i="6"/>
  <c r="U15" i="6"/>
  <c r="U14" i="6"/>
  <c r="U13" i="6"/>
  <c r="U12" i="6"/>
  <c r="U11" i="6"/>
  <c r="U74" i="6"/>
  <c r="U10" i="6"/>
  <c r="U9" i="6"/>
  <c r="U8" i="6"/>
  <c r="U7" i="6"/>
  <c r="U78" i="6"/>
  <c r="U6" i="6"/>
  <c r="U5" i="6"/>
  <c r="U4" i="6"/>
  <c r="T101" i="3"/>
  <c r="S101" i="3"/>
  <c r="R101" i="3"/>
  <c r="Q101" i="3"/>
  <c r="P101" i="3"/>
  <c r="O101" i="3"/>
  <c r="M101" i="3"/>
  <c r="L101" i="3"/>
  <c r="K101" i="3"/>
  <c r="J101" i="3"/>
  <c r="I101" i="3"/>
  <c r="H101" i="3"/>
  <c r="U36" i="3"/>
  <c r="U84" i="3"/>
  <c r="U91" i="3"/>
  <c r="U90" i="3"/>
  <c r="U89" i="3"/>
  <c r="U88" i="3"/>
  <c r="U59" i="3"/>
  <c r="U43" i="3"/>
  <c r="U17" i="3"/>
  <c r="U81" i="3"/>
  <c r="U19" i="3"/>
  <c r="U57" i="3"/>
  <c r="U44" i="3"/>
  <c r="U71" i="3"/>
  <c r="U30" i="3"/>
  <c r="U29" i="3"/>
  <c r="U92" i="3"/>
  <c r="U50" i="3"/>
  <c r="U16" i="3"/>
  <c r="U48" i="3"/>
  <c r="U79" i="3"/>
  <c r="U9" i="3"/>
  <c r="U32" i="3"/>
  <c r="U37" i="3"/>
  <c r="U15" i="3"/>
  <c r="U12" i="3"/>
  <c r="U23" i="3"/>
  <c r="U93" i="3"/>
  <c r="U75" i="3"/>
  <c r="U20" i="3"/>
  <c r="U35" i="3"/>
  <c r="U5" i="3"/>
  <c r="U28" i="3"/>
  <c r="U27" i="3"/>
  <c r="U60" i="3"/>
  <c r="U87" i="3"/>
  <c r="U11" i="3"/>
  <c r="U78" i="3"/>
  <c r="U33" i="3"/>
  <c r="U86" i="3"/>
  <c r="U14" i="3"/>
  <c r="U6" i="3"/>
  <c r="U56" i="3"/>
  <c r="U53" i="3"/>
  <c r="U21" i="3"/>
  <c r="U46" i="3"/>
  <c r="U52" i="3"/>
  <c r="U65" i="3"/>
  <c r="U94" i="3"/>
  <c r="U26" i="3"/>
  <c r="U70" i="3"/>
  <c r="U7" i="3"/>
  <c r="U45" i="3"/>
  <c r="U18" i="3"/>
  <c r="U61" i="3"/>
  <c r="U83" i="3"/>
  <c r="U74" i="3"/>
  <c r="U69" i="3"/>
  <c r="U55" i="3"/>
  <c r="U68" i="3"/>
  <c r="U47" i="3"/>
  <c r="U4" i="3"/>
  <c r="U77" i="3"/>
  <c r="U66" i="3"/>
  <c r="U42" i="3"/>
  <c r="U22" i="3"/>
  <c r="U25" i="3"/>
  <c r="U24" i="3"/>
  <c r="U73" i="3"/>
  <c r="U96" i="3"/>
  <c r="U64" i="3"/>
  <c r="U95" i="3"/>
  <c r="U76" i="3"/>
  <c r="U54" i="3"/>
  <c r="U31" i="3"/>
  <c r="U51" i="3"/>
  <c r="U58" i="3"/>
  <c r="U82" i="3"/>
  <c r="U10" i="3"/>
  <c r="U62" i="3"/>
  <c r="U8" i="3"/>
  <c r="U34" i="3"/>
  <c r="U67" i="3"/>
  <c r="U41" i="3"/>
  <c r="U85" i="3"/>
  <c r="U63" i="3"/>
  <c r="U72" i="3"/>
  <c r="U40" i="3"/>
  <c r="U13" i="3"/>
  <c r="U80" i="3"/>
  <c r="U39" i="3"/>
  <c r="U38" i="3"/>
  <c r="U49" i="3"/>
  <c r="V35" i="8"/>
  <c r="V36" i="8"/>
  <c r="V37" i="8"/>
  <c r="V38" i="8"/>
  <c r="V33" i="8"/>
  <c r="V34" i="8"/>
  <c r="V39" i="8"/>
  <c r="V40" i="8"/>
  <c r="Y97" i="6" l="1"/>
  <c r="Z97" i="6" s="1"/>
  <c r="Y100" i="6"/>
  <c r="Z100" i="6" s="1"/>
  <c r="Y99" i="6"/>
  <c r="Z99" i="6" s="1"/>
  <c r="V102" i="6"/>
  <c r="U101" i="6"/>
  <c r="Y98" i="6"/>
  <c r="Z98" i="6" s="1"/>
  <c r="Y100" i="3"/>
  <c r="Y99" i="3"/>
  <c r="Z99" i="3" s="1"/>
  <c r="Y98" i="3"/>
  <c r="Z98" i="3" s="1"/>
  <c r="V102" i="3"/>
  <c r="U101" i="3"/>
  <c r="Y97" i="3"/>
  <c r="Z97" i="3" s="1"/>
  <c r="Z100" i="3" l="1"/>
  <c r="V30" i="8"/>
  <c r="V31" i="8"/>
  <c r="V32" i="8"/>
  <c r="V41" i="8"/>
  <c r="V42" i="8"/>
  <c r="V22" i="8"/>
  <c r="V23" i="8"/>
  <c r="V24" i="8"/>
  <c r="V25" i="8"/>
  <c r="V8" i="8" l="1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6" i="8"/>
  <c r="V27" i="8"/>
  <c r="V28" i="8"/>
  <c r="V29" i="8"/>
  <c r="V43" i="8"/>
  <c r="V44" i="8"/>
  <c r="V45" i="8"/>
  <c r="V7" i="8"/>
  <c r="V6" i="8"/>
  <c r="T101" i="2" l="1"/>
  <c r="S101" i="2"/>
  <c r="R101" i="2"/>
  <c r="Q101" i="2"/>
  <c r="P101" i="2"/>
  <c r="O101" i="2"/>
  <c r="M101" i="2"/>
  <c r="L101" i="2"/>
  <c r="K101" i="2"/>
  <c r="J101" i="2"/>
  <c r="I101" i="2"/>
  <c r="H101" i="2"/>
  <c r="U99" i="2" l="1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Y100" i="2" l="1"/>
  <c r="V102" i="2"/>
  <c r="AA46" i="8"/>
  <c r="U46" i="8"/>
  <c r="T46" i="8"/>
  <c r="S46" i="8"/>
  <c r="R46" i="8"/>
  <c r="Q46" i="8"/>
  <c r="P46" i="8"/>
  <c r="N46" i="8"/>
  <c r="M46" i="8"/>
  <c r="L46" i="8"/>
  <c r="K46" i="8"/>
  <c r="J46" i="8"/>
  <c r="I46" i="8"/>
  <c r="V46" i="8"/>
  <c r="Z100" i="2" l="1"/>
  <c r="U56" i="2" l="1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Y57" i="2" l="1"/>
  <c r="Z57" i="2" s="1"/>
  <c r="U28" i="2" l="1"/>
  <c r="U40" i="2" l="1"/>
  <c r="U39" i="2"/>
  <c r="U38" i="2"/>
  <c r="U37" i="2"/>
  <c r="U36" i="2"/>
  <c r="U35" i="2"/>
  <c r="U34" i="2"/>
  <c r="U33" i="2"/>
  <c r="U32" i="2"/>
  <c r="U31" i="2"/>
  <c r="U30" i="2"/>
  <c r="U29" i="2"/>
  <c r="U27" i="2"/>
  <c r="U26" i="2"/>
  <c r="Y41" i="2" l="1"/>
  <c r="Z41" i="2" s="1"/>
  <c r="U20" i="2" l="1"/>
  <c r="U24" i="2" l="1"/>
  <c r="U23" i="2"/>
  <c r="U22" i="2"/>
  <c r="U21" i="2"/>
  <c r="U19" i="2"/>
  <c r="U18" i="2"/>
  <c r="U17" i="2"/>
  <c r="U16" i="2"/>
  <c r="U15" i="2"/>
  <c r="U14" i="2"/>
  <c r="U13" i="2"/>
  <c r="U12" i="2"/>
  <c r="U11" i="2" l="1"/>
  <c r="U10" i="2"/>
  <c r="U9" i="2"/>
  <c r="U8" i="2" l="1"/>
  <c r="U7" i="2"/>
  <c r="U6" i="2" l="1"/>
  <c r="U5" i="2" l="1"/>
  <c r="U4" i="2"/>
  <c r="U101" i="2" l="1"/>
  <c r="Y25" i="2"/>
  <c r="Z25" i="2" s="1"/>
</calcChain>
</file>

<file path=xl/sharedStrings.xml><?xml version="1.0" encoding="utf-8"?>
<sst xmlns="http://schemas.openxmlformats.org/spreadsheetml/2006/main" count="2081" uniqueCount="219">
  <si>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</si>
  <si>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</si>
  <si>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</si>
  <si>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</si>
  <si>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</si>
  <si>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</si>
  <si>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</si>
  <si>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</si>
  <si>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</si>
  <si>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</si>
  <si>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</si>
  <si>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</si>
  <si>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</si>
  <si>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</si>
  <si>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</si>
  <si>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</si>
  <si>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</si>
  <si>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</si>
  <si>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</si>
  <si>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</si>
  <si>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</si>
  <si>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</si>
  <si>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</si>
  <si>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</si>
  <si>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</si>
  <si>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</si>
  <si>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</si>
  <si>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</si>
  <si>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</si>
  <si>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</si>
  <si>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</si>
  <si>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</si>
  <si>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</si>
  <si>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</si>
  <si>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</si>
  <si>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</si>
  <si>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</si>
  <si>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</si>
  <si>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</si>
  <si>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</si>
  <si>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</si>
  <si>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</si>
  <si>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</si>
  <si>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</si>
  <si>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</si>
  <si>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</si>
  <si>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</si>
  <si>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</si>
  <si>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</si>
  <si>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</si>
  <si>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</si>
  <si>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</si>
  <si>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</si>
  <si>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</si>
  <si>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</si>
  <si>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</si>
  <si>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</si>
  <si>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</si>
  <si>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</si>
  <si>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MN</t>
  </si>
  <si>
    <t>FARMSTEAD</t>
  </si>
  <si>
    <t>FATTORIA E MARE</t>
  </si>
  <si>
    <t>TERIYAKI MADNESS</t>
  </si>
  <si>
    <t>UPS</t>
  </si>
  <si>
    <t>KARTUNZ</t>
  </si>
  <si>
    <t>CANYON CREST</t>
  </si>
  <si>
    <t>DROP</t>
  </si>
  <si>
    <t>VESUVIO</t>
  </si>
  <si>
    <t>ALANA'S</t>
  </si>
  <si>
    <t>SUN'S MARKET</t>
  </si>
  <si>
    <t>CABLE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</si>
  <si>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</si>
  <si>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</si>
  <si>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</si>
  <si>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</si>
  <si>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</si>
  <si>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</si>
  <si>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PACIFICO RESTAURENTE</t>
  </si>
  <si>
    <t>THE TRIDENT</t>
  </si>
  <si>
    <t>DOLAN'S DEN</t>
  </si>
  <si>
    <t>ANAHEIM WHITE HOUSE</t>
  </si>
  <si>
    <t>ICON</t>
  </si>
  <si>
    <t>MAYFLOWER INN</t>
  </si>
  <si>
    <t>TONY</t>
  </si>
  <si>
    <t>ATWATER TAVERN</t>
  </si>
  <si>
    <t>KEY'S JAZZ BISTRO</t>
  </si>
  <si>
    <t>LE SANDWICH</t>
  </si>
  <si>
    <t>SARA'S SOUTHERN KITCHEN</t>
  </si>
  <si>
    <t>MONICA'S RIVERVIEW</t>
  </si>
  <si>
    <t>HELPDESK</t>
  </si>
  <si>
    <t>CLYDE'S LIQUOR</t>
  </si>
  <si>
    <t>TIBURON</t>
  </si>
  <si>
    <t xml:space="preserve">SALT AND PEPPER </t>
  </si>
  <si>
    <t>LOS CAPORALES TAQUERIA</t>
  </si>
  <si>
    <t>CHURCH STREET PRODUCE</t>
  </si>
  <si>
    <t>ONSITE</t>
  </si>
  <si>
    <t>CELIA'S/XALISCO CORP</t>
  </si>
  <si>
    <t>PWR COND</t>
  </si>
  <si>
    <t>MOUNTAIN MIKE'S</t>
  </si>
  <si>
    <t>VALLEJO</t>
  </si>
  <si>
    <t>SERVINO'S RESTAURANT</t>
  </si>
  <si>
    <t>ACRE RESTAURANT</t>
  </si>
  <si>
    <t>HI WAY BURGER &amp; FRY</t>
  </si>
  <si>
    <t>COLUMBUS</t>
  </si>
  <si>
    <t>PEPITO'S</t>
  </si>
  <si>
    <t>NCC POS</t>
  </si>
  <si>
    <t>PUB REPUBLIC</t>
  </si>
  <si>
    <t>BILLINGS</t>
  </si>
  <si>
    <t>DIST</t>
  </si>
  <si>
    <t>SAN RAFAEL JOE'S</t>
  </si>
  <si>
    <t>CYNTHIA</t>
  </si>
  <si>
    <t>SF</t>
  </si>
  <si>
    <t>OH</t>
  </si>
  <si>
    <t>THE FORGE HANDCRAFTED PIZZA</t>
  </si>
  <si>
    <t>MARISCOS EL AJOYANO</t>
  </si>
  <si>
    <t>CAFFE MACARONI</t>
  </si>
  <si>
    <t>RILEY'S BAR</t>
  </si>
  <si>
    <t>GRAZIE</t>
  </si>
  <si>
    <t>AMERICAN BULL</t>
  </si>
  <si>
    <t>PUNTO AZUL</t>
  </si>
  <si>
    <t>VALENCIA WHOLE FOODS</t>
  </si>
  <si>
    <t>MONTI'S ROTISERRIE &amp; BAR</t>
  </si>
  <si>
    <t>Y</t>
  </si>
  <si>
    <t>LAS GUITARRAS</t>
  </si>
  <si>
    <t>GROSSMAN'S NOSHERY &amp; BAR</t>
  </si>
  <si>
    <t>CHICKEN EXPRESS</t>
  </si>
  <si>
    <t>SUISIN</t>
  </si>
  <si>
    <t>LAS MONTANAS MKT</t>
  </si>
  <si>
    <t>HAYWARD NEW</t>
  </si>
  <si>
    <t>PRINTERS</t>
  </si>
  <si>
    <t>NCC WS</t>
  </si>
  <si>
    <t>JS</t>
  </si>
  <si>
    <t xml:space="preserve">BLUE BARN </t>
  </si>
  <si>
    <t>POLK</t>
  </si>
  <si>
    <t>FRANKY'S RESTAURANT</t>
  </si>
  <si>
    <t>TAGLIAFERRI DELI</t>
  </si>
  <si>
    <t>JEFF</t>
  </si>
  <si>
    <t>COUNTRY GABLES CAFÉ</t>
  </si>
  <si>
    <t>ROSEVILLE</t>
  </si>
  <si>
    <t xml:space="preserve">AH </t>
  </si>
  <si>
    <t>BISTRO 45</t>
  </si>
  <si>
    <t>THREE BROTHERS GRILL</t>
  </si>
  <si>
    <t>POTTSTOWN</t>
  </si>
  <si>
    <t>MAGNOLIA PARK KITCHEN</t>
  </si>
  <si>
    <t>RESALE</t>
  </si>
  <si>
    <t>DOLORES PARK</t>
  </si>
  <si>
    <t>SILBON</t>
  </si>
  <si>
    <t>UNION ESPANOLA formaly Patio Espanol</t>
  </si>
  <si>
    <t xml:space="preserve">CINCO DE MAYOU </t>
  </si>
  <si>
    <t>MARTINEZ</t>
  </si>
  <si>
    <t>BLUE WHALE</t>
  </si>
  <si>
    <t>UNION</t>
  </si>
  <si>
    <t>ERNEST</t>
  </si>
  <si>
    <t>COTOGNA AND QUINCE</t>
  </si>
  <si>
    <t>ANAHEIM WHITEHOUSE</t>
  </si>
  <si>
    <t>SPECIALTY'S</t>
  </si>
  <si>
    <t>ALL LOCATIONS</t>
  </si>
  <si>
    <t>INSALATA'S</t>
  </si>
  <si>
    <t>BRAVAS TAPAS</t>
  </si>
  <si>
    <t>KELLS</t>
  </si>
  <si>
    <t>UNCLE YU'S AT THE VINEYARD</t>
  </si>
  <si>
    <t>LIGHTHOUSE BAR &amp; GRILL</t>
  </si>
  <si>
    <t>MILL VALLEY</t>
  </si>
  <si>
    <t>KENNY</t>
  </si>
  <si>
    <t>BUNGALOW 44</t>
  </si>
  <si>
    <t>TOMATINA</t>
  </si>
  <si>
    <t>SANTA CLARA</t>
  </si>
  <si>
    <t>SANTA ROSA</t>
  </si>
  <si>
    <t>WALNUT CREEK</t>
  </si>
  <si>
    <t>DUBOCE PARK CAFÉ</t>
  </si>
  <si>
    <t>BURLINGAME</t>
  </si>
  <si>
    <t>BURL</t>
  </si>
  <si>
    <t>PARADISE PARK CAFÉ</t>
  </si>
  <si>
    <t>ALA</t>
  </si>
  <si>
    <t>ROCKRIDGE CAFÉ</t>
  </si>
  <si>
    <t>SLANTED DOOR</t>
  </si>
  <si>
    <t>NAPA</t>
  </si>
  <si>
    <t>SM</t>
  </si>
  <si>
    <t>LONE PALM</t>
  </si>
  <si>
    <t>NOVATO</t>
  </si>
  <si>
    <t>CC</t>
  </si>
  <si>
    <t>POGGIO TRATTORIA</t>
  </si>
  <si>
    <t>SAUS</t>
  </si>
  <si>
    <t>PD</t>
  </si>
  <si>
    <t>CINCO DE MAYO</t>
  </si>
  <si>
    <t>RETURN</t>
  </si>
  <si>
    <t>GUEST HOUSE RESTAURANT</t>
  </si>
  <si>
    <t>SEABREEZE</t>
  </si>
  <si>
    <t>MARIN</t>
  </si>
  <si>
    <t>GREAT FALLS</t>
  </si>
  <si>
    <t>O/S</t>
  </si>
  <si>
    <t>MI CASA CAFÉ</t>
  </si>
  <si>
    <t>SR</t>
  </si>
  <si>
    <t>FORGE IN THE FOREST</t>
  </si>
  <si>
    <t>MONT</t>
  </si>
  <si>
    <t>MI RANCHO MARKET</t>
  </si>
  <si>
    <t>MAX</t>
  </si>
  <si>
    <t>CASH</t>
  </si>
  <si>
    <t>ROSENDO</t>
  </si>
  <si>
    <t>HAPPY DONUT</t>
  </si>
  <si>
    <t>BERKERLEY</t>
  </si>
  <si>
    <t>REPAIR</t>
  </si>
  <si>
    <t>KHAM</t>
  </si>
  <si>
    <t>BALANCED DUE</t>
  </si>
  <si>
    <t>ROSE'S CAFÉ</t>
  </si>
  <si>
    <t>FIRESTONE</t>
  </si>
  <si>
    <t>LONGMONT</t>
  </si>
  <si>
    <t>MCINNIS PARK GOLF CENTER</t>
  </si>
  <si>
    <t>IGGY'S</t>
  </si>
  <si>
    <t>22ND &amp; IRVING MARKET</t>
  </si>
  <si>
    <t>EL TORO TAQUERIA</t>
  </si>
  <si>
    <t>SON</t>
  </si>
  <si>
    <t>KITCHEN DOOR</t>
  </si>
  <si>
    <t>KIMONO</t>
  </si>
  <si>
    <t>PLEASANTON</t>
  </si>
  <si>
    <t>SORELLA CAFFE</t>
  </si>
  <si>
    <t>FAIRFAX</t>
  </si>
  <si>
    <t>MARINITAS</t>
  </si>
  <si>
    <t>S.ANSEL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</si>
</sst>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19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0" fontId="3" fillId="0" borderId="3" xfId="0" applyFont="1" applyBorder="1"/>
    <xf numFmtId="169" fontId="9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" fontId="2" fillId="0" borderId="1" xfId="0" applyNumberFormat="1" applyFont="1" applyBorder="1"/>
    <xf numFmtId="1" fontId="8" fillId="0" borderId="1" xfId="0" applyNumberFormat="1" applyFont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right"/>
    </xf>
    <xf numFmtId="169" fontId="2" fillId="0" borderId="2" xfId="0" applyNumberFormat="1" applyFont="1" applyBorder="1"/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7" fontId="3" fillId="7" borderId="8" xfId="0" applyNumberFormat="1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0" fontId="2" fillId="0" borderId="0" xfId="0" applyFont="1" applyBorder="1"/>
    <xf numFmtId="2" fontId="2" fillId="9" borderId="0" xfId="0" applyNumberFormat="1" applyFont="1" applyFill="1" applyBorder="1" applyAlignment="1">
      <alignment horizontal="right"/>
    </xf>
    <xf numFmtId="2" fontId="2" fillId="8" borderId="0" xfId="0" applyNumberFormat="1" applyFont="1" applyFill="1" applyBorder="1" applyAlignment="1">
      <alignment horizontal="right"/>
    </xf>
    <xf numFmtId="2" fontId="2" fillId="7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99CC"/>
      <color rgb="FFFFFF99"/>
      <color rgb="FFCCFFCC"/>
      <color rgb="FFFF9999"/>
      <color rgb="FFCCFF99"/>
      <color rgb="FFFF99FF"/>
      <color rgb="FFFFCCFF"/>
      <color rgb="FFD8E4BC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004B-73DA-4F82-B131-9FFA98D507BB}">
  <sheetPr>
    <pageSetUpPr fitToPage="1"/>
  </sheetPr>
  <dimension ref="A1:AA49"/>
  <sheetViews>
    <sheetView zoomScale="131" zoomScaleNormal="131" workbookViewId="0">
      <pane ySplit="3" topLeftCell="A32" activePane="bottomLeft" state="frozen"/>
      <selection pane="bottomLeft" activeCell="M40" sqref="M40"/>
    </sheetView>
  </sheetViews>
  <sheetFormatPr defaultColWidth="9.109375" defaultRowHeight="9" customHeight="1" x14ac:dyDescent="0.35"/>
  <cols>
    <col min="1" max="1" width="5.5546875" style="243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66406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77" customWidth="1"/>
    <col min="28" max="16384" width="9.109375" style="3"/>
  </cols>
  <sheetData>
    <row r="1" spans="1:27" s="10" customFormat="1" ht="19.95" customHeight="1" thickBot="1" x14ac:dyDescent="0.4">
      <c r="A1" s="307">
        <v>45237</v>
      </c>
      <c r="B1" s="308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75"/>
    </row>
    <row r="2" spans="1:27" s="2" customFormat="1" ht="31.5" customHeight="1" thickBot="1" x14ac:dyDescent="0.4">
      <c r="A2" s="237"/>
      <c r="B2" s="9" t="s">
        <v>1</v>
      </c>
      <c r="C2" s="96" t="s">
        <v>28</v>
      </c>
      <c r="D2" s="51" t="s">
        <v>19</v>
      </c>
      <c r="E2" s="109" t="s">
        <v>34</v>
      </c>
      <c r="F2" s="77" t="s">
        <v>3</v>
      </c>
      <c r="G2" s="78" t="s">
        <v>35</v>
      </c>
      <c r="H2" s="254" t="s">
        <v>108</v>
      </c>
      <c r="I2" s="87" t="s">
        <v>42</v>
      </c>
      <c r="J2" s="110" t="s">
        <v>40</v>
      </c>
      <c r="K2" s="88" t="s">
        <v>41</v>
      </c>
      <c r="L2" s="93" t="s">
        <v>58</v>
      </c>
      <c r="M2" s="111" t="s">
        <v>30</v>
      </c>
      <c r="N2" s="94" t="s">
        <v>38</v>
      </c>
      <c r="O2" s="100" t="s">
        <v>46</v>
      </c>
      <c r="P2" s="95" t="s">
        <v>43</v>
      </c>
      <c r="Q2" s="95" t="s">
        <v>44</v>
      </c>
      <c r="R2" s="95" t="s">
        <v>45</v>
      </c>
      <c r="S2" s="102" t="s">
        <v>47</v>
      </c>
      <c r="T2" s="169" t="s">
        <v>56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76"/>
    </row>
    <row r="3" spans="1:27" s="2" customFormat="1" ht="6.75" customHeight="1" thickBot="1" x14ac:dyDescent="0.4">
      <c r="A3" s="238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76"/>
    </row>
    <row r="4" spans="1:27" ht="15.75" customHeight="1" thickBot="1" x14ac:dyDescent="0.4">
      <c r="A4" s="239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0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1" t="s">
        <v>8</v>
      </c>
      <c r="B6" s="3" t="s">
        <v>68</v>
      </c>
      <c r="C6" s="4" t="s">
        <v>170</v>
      </c>
      <c r="D6" s="52">
        <v>11013041</v>
      </c>
      <c r="E6" s="98">
        <v>45231</v>
      </c>
      <c r="F6" s="44" t="s">
        <v>72</v>
      </c>
      <c r="G6" s="61">
        <v>45232</v>
      </c>
      <c r="H6" s="255" t="s">
        <v>171</v>
      </c>
      <c r="I6" s="42"/>
      <c r="J6" s="28"/>
      <c r="K6" s="28"/>
      <c r="L6" s="28"/>
      <c r="M6" s="28"/>
      <c r="N6" s="42">
        <v>49</v>
      </c>
      <c r="O6" s="28">
        <v>39</v>
      </c>
      <c r="P6" s="42"/>
      <c r="Q6" s="7"/>
      <c r="R6" s="43"/>
      <c r="S6" s="42"/>
      <c r="T6" s="43"/>
      <c r="U6" s="32"/>
      <c r="V6" s="53">
        <f t="shared" ref="V6:V45" si="0">SUM(I6:U6)</f>
        <v>88</v>
      </c>
      <c r="W6" s="64" t="s">
        <v>25</v>
      </c>
      <c r="X6" s="2" t="s">
        <v>8</v>
      </c>
      <c r="Y6" s="65" t="s">
        <v>17</v>
      </c>
      <c r="Z6" s="128"/>
      <c r="AA6" s="176"/>
    </row>
    <row r="7" spans="1:27" s="2" customFormat="1" ht="14.1" customHeight="1" x14ac:dyDescent="0.35">
      <c r="A7" s="241" t="s">
        <v>6</v>
      </c>
      <c r="B7" s="3" t="s">
        <v>90</v>
      </c>
      <c r="C7" s="4"/>
      <c r="D7" s="52">
        <v>11013042</v>
      </c>
      <c r="E7" s="98">
        <v>45231</v>
      </c>
      <c r="F7" s="44" t="s">
        <v>89</v>
      </c>
      <c r="G7" s="61">
        <v>45232</v>
      </c>
      <c r="H7" s="255" t="s">
        <v>111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6</v>
      </c>
      <c r="Y7" s="65" t="s">
        <v>17</v>
      </c>
      <c r="Z7" s="128"/>
      <c r="AA7" s="176"/>
    </row>
    <row r="8" spans="1:27" s="2" customFormat="1" ht="14.1" customHeight="1" x14ac:dyDescent="0.35">
      <c r="A8" s="241" t="s">
        <v>37</v>
      </c>
      <c r="B8" s="3" t="s">
        <v>172</v>
      </c>
      <c r="C8" s="4"/>
      <c r="D8" s="52">
        <v>11013101</v>
      </c>
      <c r="E8" s="98">
        <v>45231</v>
      </c>
      <c r="F8" s="44" t="s">
        <v>20</v>
      </c>
      <c r="G8" s="61">
        <v>45232</v>
      </c>
      <c r="H8" s="255" t="s">
        <v>173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110</v>
      </c>
      <c r="T8" s="43">
        <v>25</v>
      </c>
      <c r="U8" s="32">
        <v>11.28</v>
      </c>
      <c r="V8" s="53">
        <f t="shared" si="0"/>
        <v>146.28</v>
      </c>
      <c r="W8" s="64" t="s">
        <v>63</v>
      </c>
      <c r="X8" s="2" t="s">
        <v>112</v>
      </c>
      <c r="Y8" s="65" t="s">
        <v>17</v>
      </c>
      <c r="Z8" s="128"/>
      <c r="AA8" s="176"/>
    </row>
    <row r="9" spans="1:27" s="2" customFormat="1" ht="14.1" customHeight="1" x14ac:dyDescent="0.35">
      <c r="A9" s="241" t="s">
        <v>37</v>
      </c>
      <c r="B9" s="3" t="s">
        <v>174</v>
      </c>
      <c r="C9" s="4"/>
      <c r="D9" s="52">
        <v>11013102</v>
      </c>
      <c r="E9" s="98">
        <v>45231</v>
      </c>
      <c r="F9" s="44" t="s">
        <v>20</v>
      </c>
      <c r="G9" s="61">
        <v>45232</v>
      </c>
      <c r="H9" s="255" t="s">
        <v>173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149</v>
      </c>
      <c r="T9" s="43">
        <v>37.5</v>
      </c>
      <c r="U9" s="32">
        <v>15.27</v>
      </c>
      <c r="V9" s="53">
        <f t="shared" si="0"/>
        <v>201.77</v>
      </c>
      <c r="W9" s="64" t="s">
        <v>63</v>
      </c>
      <c r="X9" s="2" t="s">
        <v>112</v>
      </c>
      <c r="Y9" s="65" t="s">
        <v>17</v>
      </c>
      <c r="Z9" s="128"/>
      <c r="AA9" s="176"/>
    </row>
    <row r="10" spans="1:27" s="2" customFormat="1" ht="14.1" customHeight="1" x14ac:dyDescent="0.35">
      <c r="A10" s="241" t="s">
        <v>37</v>
      </c>
      <c r="B10" s="3" t="s">
        <v>175</v>
      </c>
      <c r="C10" s="4" t="s">
        <v>176</v>
      </c>
      <c r="D10" s="52">
        <v>11013103</v>
      </c>
      <c r="E10" s="98">
        <v>45231</v>
      </c>
      <c r="F10" s="44" t="s">
        <v>20</v>
      </c>
      <c r="G10" s="61">
        <v>45232</v>
      </c>
      <c r="H10" s="255" t="s">
        <v>176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149</v>
      </c>
      <c r="T10" s="43">
        <v>37.5</v>
      </c>
      <c r="U10" s="32">
        <v>13.78</v>
      </c>
      <c r="V10" s="53">
        <f t="shared" si="0"/>
        <v>200.28</v>
      </c>
      <c r="W10" s="64" t="s">
        <v>63</v>
      </c>
      <c r="X10" s="2" t="s">
        <v>112</v>
      </c>
      <c r="Y10" s="65" t="s">
        <v>17</v>
      </c>
      <c r="Z10" s="128"/>
      <c r="AA10" s="176"/>
    </row>
    <row r="11" spans="1:27" s="2" customFormat="1" ht="14.1" customHeight="1" x14ac:dyDescent="0.35">
      <c r="A11" s="241" t="s">
        <v>37</v>
      </c>
      <c r="B11" s="3" t="s">
        <v>61</v>
      </c>
      <c r="C11" s="4"/>
      <c r="D11" s="52">
        <v>11013103</v>
      </c>
      <c r="E11" s="98">
        <v>45231</v>
      </c>
      <c r="F11" s="44" t="s">
        <v>20</v>
      </c>
      <c r="G11" s="61">
        <v>45232</v>
      </c>
      <c r="H11" s="255" t="s">
        <v>177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45</v>
      </c>
      <c r="T11" s="43">
        <v>12.5</v>
      </c>
      <c r="U11" s="32">
        <v>4.22</v>
      </c>
      <c r="V11" s="53">
        <f t="shared" si="0"/>
        <v>61.72</v>
      </c>
      <c r="W11" s="64" t="s">
        <v>63</v>
      </c>
      <c r="X11" s="2" t="s">
        <v>112</v>
      </c>
      <c r="Y11" s="65" t="s">
        <v>17</v>
      </c>
      <c r="Z11" s="128"/>
      <c r="AA11" s="176"/>
    </row>
    <row r="12" spans="1:27" s="2" customFormat="1" ht="14.1" customHeight="1" x14ac:dyDescent="0.35">
      <c r="A12" s="241" t="s">
        <v>37</v>
      </c>
      <c r="B12" s="3" t="s">
        <v>178</v>
      </c>
      <c r="C12" s="4"/>
      <c r="D12" s="52">
        <v>11013106</v>
      </c>
      <c r="E12" s="98">
        <v>45231</v>
      </c>
      <c r="F12" s="44" t="s">
        <v>20</v>
      </c>
      <c r="G12" s="61">
        <v>45232</v>
      </c>
      <c r="H12" s="255" t="s">
        <v>179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85</v>
      </c>
      <c r="T12" s="43">
        <v>15</v>
      </c>
      <c r="U12" s="32">
        <v>7.23</v>
      </c>
      <c r="V12" s="53">
        <f t="shared" si="0"/>
        <v>107.23</v>
      </c>
      <c r="W12" s="64" t="s">
        <v>63</v>
      </c>
      <c r="X12" s="2" t="s">
        <v>112</v>
      </c>
      <c r="Y12" s="65" t="s">
        <v>183</v>
      </c>
      <c r="Z12" s="128" t="s">
        <v>180</v>
      </c>
      <c r="AA12" s="176"/>
    </row>
    <row r="13" spans="1:27" s="2" customFormat="1" ht="14.1" customHeight="1" x14ac:dyDescent="0.35">
      <c r="A13" s="241" t="s">
        <v>37</v>
      </c>
      <c r="B13" s="3" t="s">
        <v>181</v>
      </c>
      <c r="C13" s="4"/>
      <c r="D13" s="52">
        <v>11013108</v>
      </c>
      <c r="E13" s="98">
        <v>45231</v>
      </c>
      <c r="F13" s="44" t="s">
        <v>20</v>
      </c>
      <c r="G13" s="61">
        <v>45232</v>
      </c>
      <c r="H13" s="255" t="s">
        <v>182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584</v>
      </c>
      <c r="T13" s="43">
        <v>87.5</v>
      </c>
      <c r="U13" s="32">
        <v>54.02</v>
      </c>
      <c r="V13" s="53">
        <f t="shared" si="0"/>
        <v>725.52</v>
      </c>
      <c r="W13" s="64" t="s">
        <v>63</v>
      </c>
      <c r="X13" s="2" t="s">
        <v>112</v>
      </c>
      <c r="Y13" s="65" t="s">
        <v>17</v>
      </c>
      <c r="Z13" s="128"/>
      <c r="AA13" s="176"/>
    </row>
    <row r="14" spans="1:27" s="2" customFormat="1" ht="14.1" customHeight="1" x14ac:dyDescent="0.35">
      <c r="A14" s="241" t="s">
        <v>37</v>
      </c>
      <c r="B14" s="3" t="s">
        <v>184</v>
      </c>
      <c r="C14" s="4" t="s">
        <v>149</v>
      </c>
      <c r="D14" s="52">
        <v>10163104</v>
      </c>
      <c r="E14" s="98">
        <v>45215</v>
      </c>
      <c r="F14" s="44" t="s">
        <v>20</v>
      </c>
      <c r="G14" s="61">
        <v>45232</v>
      </c>
      <c r="H14" s="255" t="s">
        <v>180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-61.5</v>
      </c>
      <c r="T14" s="43"/>
      <c r="U14" s="32">
        <v>-6</v>
      </c>
      <c r="V14" s="53">
        <f t="shared" si="0"/>
        <v>-67.5</v>
      </c>
      <c r="W14" s="64" t="s">
        <v>25</v>
      </c>
      <c r="X14" s="2" t="s">
        <v>5</v>
      </c>
      <c r="Y14" s="65" t="s">
        <v>183</v>
      </c>
      <c r="Z14" s="128" t="s">
        <v>185</v>
      </c>
      <c r="AA14" s="176"/>
    </row>
    <row r="15" spans="1:27" s="2" customFormat="1" ht="14.1" customHeight="1" x14ac:dyDescent="0.35">
      <c r="A15" s="241" t="s">
        <v>37</v>
      </c>
      <c r="B15" s="3" t="s">
        <v>186</v>
      </c>
      <c r="C15" s="4"/>
      <c r="D15" s="52">
        <v>11023101</v>
      </c>
      <c r="E15" s="98">
        <v>45232</v>
      </c>
      <c r="F15" s="44" t="s">
        <v>20</v>
      </c>
      <c r="G15" s="61">
        <v>45232</v>
      </c>
      <c r="H15" s="255" t="s">
        <v>188</v>
      </c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>
        <v>156</v>
      </c>
      <c r="T15" s="43">
        <v>12.5</v>
      </c>
      <c r="U15" s="32">
        <v>12.87</v>
      </c>
      <c r="V15" s="53">
        <f t="shared" si="0"/>
        <v>181.37</v>
      </c>
      <c r="W15" s="64" t="s">
        <v>63</v>
      </c>
      <c r="X15" s="2" t="s">
        <v>57</v>
      </c>
      <c r="Y15" s="65" t="s">
        <v>17</v>
      </c>
      <c r="Z15" s="128"/>
      <c r="AA15" s="176"/>
    </row>
    <row r="16" spans="1:27" s="2" customFormat="1" ht="14.1" customHeight="1" x14ac:dyDescent="0.35">
      <c r="A16" s="241" t="s">
        <v>37</v>
      </c>
      <c r="B16" s="3" t="s">
        <v>187</v>
      </c>
      <c r="C16" s="4"/>
      <c r="D16" s="52">
        <v>11023102</v>
      </c>
      <c r="E16" s="98">
        <v>45232</v>
      </c>
      <c r="F16" s="44" t="s">
        <v>20</v>
      </c>
      <c r="G16" s="61">
        <v>45232</v>
      </c>
      <c r="H16" s="255" t="s">
        <v>111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110</v>
      </c>
      <c r="T16" s="43">
        <v>25</v>
      </c>
      <c r="U16" s="32">
        <v>9.49</v>
      </c>
      <c r="V16" s="53">
        <f t="shared" si="0"/>
        <v>144.49</v>
      </c>
      <c r="W16" s="64" t="s">
        <v>63</v>
      </c>
      <c r="X16" s="2" t="s">
        <v>57</v>
      </c>
      <c r="Y16" s="65" t="s">
        <v>17</v>
      </c>
      <c r="Z16" s="128"/>
      <c r="AA16" s="176"/>
    </row>
    <row r="17" spans="1:27" s="2" customFormat="1" ht="14.1" customHeight="1" x14ac:dyDescent="0.35">
      <c r="A17" s="241" t="s">
        <v>37</v>
      </c>
      <c r="B17" s="3" t="s">
        <v>62</v>
      </c>
      <c r="C17" s="4" t="s">
        <v>189</v>
      </c>
      <c r="D17" s="52">
        <v>11023103</v>
      </c>
      <c r="E17" s="98">
        <v>45232</v>
      </c>
      <c r="F17" s="44" t="s">
        <v>20</v>
      </c>
      <c r="G17" s="61">
        <v>45232</v>
      </c>
      <c r="H17" s="255" t="s">
        <v>190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78</v>
      </c>
      <c r="T17" s="43">
        <v>15</v>
      </c>
      <c r="U17" s="32"/>
      <c r="V17" s="53">
        <f t="shared" si="0"/>
        <v>93</v>
      </c>
      <c r="W17" s="64" t="s">
        <v>63</v>
      </c>
      <c r="X17" s="2" t="s">
        <v>57</v>
      </c>
      <c r="Y17" s="65" t="s">
        <v>17</v>
      </c>
      <c r="Z17" s="128"/>
      <c r="AA17" s="176"/>
    </row>
    <row r="18" spans="1:27" s="2" customFormat="1" ht="14.1" customHeight="1" x14ac:dyDescent="0.35">
      <c r="A18" s="241" t="s">
        <v>37</v>
      </c>
      <c r="B18" s="3" t="s">
        <v>191</v>
      </c>
      <c r="C18" s="4"/>
      <c r="D18" s="52">
        <v>11033101</v>
      </c>
      <c r="E18" s="98">
        <v>45233</v>
      </c>
      <c r="F18" s="44" t="s">
        <v>20</v>
      </c>
      <c r="G18" s="61">
        <v>45233</v>
      </c>
      <c r="H18" s="255" t="s">
        <v>192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175</v>
      </c>
      <c r="T18" s="43">
        <v>37.5</v>
      </c>
      <c r="U18" s="32">
        <v>16.190000000000001</v>
      </c>
      <c r="V18" s="53">
        <f t="shared" si="0"/>
        <v>228.69</v>
      </c>
      <c r="W18" s="64" t="s">
        <v>7</v>
      </c>
      <c r="X18" s="2" t="s">
        <v>37</v>
      </c>
      <c r="Y18" s="65" t="s">
        <v>17</v>
      </c>
      <c r="Z18" s="128"/>
      <c r="AA18" s="176"/>
    </row>
    <row r="19" spans="1:27" s="2" customFormat="1" ht="14.1" customHeight="1" x14ac:dyDescent="0.35">
      <c r="A19" s="241" t="s">
        <v>37</v>
      </c>
      <c r="B19" s="3" t="s">
        <v>193</v>
      </c>
      <c r="C19" s="4"/>
      <c r="D19" s="52">
        <v>11033102</v>
      </c>
      <c r="E19" s="98">
        <v>45233</v>
      </c>
      <c r="F19" s="44" t="s">
        <v>20</v>
      </c>
      <c r="G19" s="61">
        <v>45233</v>
      </c>
      <c r="H19" s="255" t="s">
        <v>194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195</v>
      </c>
      <c r="T19" s="43">
        <v>82.5</v>
      </c>
      <c r="U19" s="32">
        <v>15.36</v>
      </c>
      <c r="V19" s="53">
        <f t="shared" si="0"/>
        <v>292.86</v>
      </c>
      <c r="W19" s="64" t="s">
        <v>63</v>
      </c>
      <c r="X19" s="2" t="s">
        <v>112</v>
      </c>
      <c r="Y19" s="65" t="s">
        <v>17</v>
      </c>
      <c r="Z19" s="128"/>
      <c r="AA19" s="176"/>
    </row>
    <row r="20" spans="1:27" s="2" customFormat="1" ht="14.1" customHeight="1" x14ac:dyDescent="0.35">
      <c r="A20" s="241" t="s">
        <v>37</v>
      </c>
      <c r="B20" s="3" t="s">
        <v>195</v>
      </c>
      <c r="C20" s="4"/>
      <c r="D20" s="52">
        <v>11033103</v>
      </c>
      <c r="E20" s="98">
        <v>45233</v>
      </c>
      <c r="F20" s="44" t="s">
        <v>20</v>
      </c>
      <c r="G20" s="61">
        <v>45233</v>
      </c>
      <c r="H20" s="255" t="s">
        <v>192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169</v>
      </c>
      <c r="T20" s="43"/>
      <c r="U20" s="32">
        <v>15.63</v>
      </c>
      <c r="V20" s="53">
        <f t="shared" si="0"/>
        <v>184.63</v>
      </c>
      <c r="W20" s="64" t="s">
        <v>32</v>
      </c>
      <c r="X20" s="2" t="s">
        <v>196</v>
      </c>
      <c r="Y20" s="65" t="s">
        <v>183</v>
      </c>
      <c r="Z20" s="128" t="s">
        <v>197</v>
      </c>
      <c r="AA20" s="176"/>
    </row>
    <row r="21" spans="1:27" s="2" customFormat="1" ht="14.1" customHeight="1" x14ac:dyDescent="0.35">
      <c r="A21" s="241" t="s">
        <v>5</v>
      </c>
      <c r="B21" s="3" t="s">
        <v>96</v>
      </c>
      <c r="C21" s="4"/>
      <c r="D21" s="52">
        <v>11063062</v>
      </c>
      <c r="E21" s="98">
        <v>45236</v>
      </c>
      <c r="F21" s="44" t="s">
        <v>20</v>
      </c>
      <c r="G21" s="61">
        <v>45236</v>
      </c>
      <c r="H21" s="255" t="s">
        <v>144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550</v>
      </c>
      <c r="T21" s="43"/>
      <c r="U21" s="32"/>
      <c r="V21" s="53">
        <f t="shared" si="0"/>
        <v>550</v>
      </c>
      <c r="W21" s="64" t="s">
        <v>32</v>
      </c>
      <c r="X21" s="2" t="s">
        <v>198</v>
      </c>
      <c r="Y21" s="65" t="s">
        <v>17</v>
      </c>
      <c r="Z21" s="128"/>
      <c r="AA21" s="176"/>
    </row>
    <row r="22" spans="1:27" s="2" customFormat="1" ht="14.1" customHeight="1" x14ac:dyDescent="0.35">
      <c r="A22" s="241" t="s">
        <v>37</v>
      </c>
      <c r="B22" s="3" t="s">
        <v>199</v>
      </c>
      <c r="C22" s="4" t="s">
        <v>200</v>
      </c>
      <c r="D22" s="52">
        <v>11063106</v>
      </c>
      <c r="E22" s="98">
        <v>45236</v>
      </c>
      <c r="F22" s="44" t="s">
        <v>201</v>
      </c>
      <c r="G22" s="61">
        <v>45236</v>
      </c>
      <c r="H22" s="255" t="s">
        <v>173</v>
      </c>
      <c r="I22" s="42"/>
      <c r="J22" s="28"/>
      <c r="K22" s="28"/>
      <c r="L22" s="28"/>
      <c r="M22" s="28"/>
      <c r="N22" s="42"/>
      <c r="O22" s="28"/>
      <c r="P22" s="42"/>
      <c r="Q22" s="7">
        <v>90</v>
      </c>
      <c r="R22" s="43"/>
      <c r="S22" s="42"/>
      <c r="T22" s="43"/>
      <c r="U22" s="32"/>
      <c r="V22" s="53">
        <f t="shared" si="0"/>
        <v>90</v>
      </c>
      <c r="W22" s="64" t="s">
        <v>32</v>
      </c>
      <c r="X22" s="2" t="s">
        <v>202</v>
      </c>
      <c r="Y22" s="65" t="s">
        <v>183</v>
      </c>
      <c r="Z22" s="128" t="s">
        <v>180</v>
      </c>
      <c r="AA22" s="176"/>
    </row>
    <row r="23" spans="1:27" s="2" customFormat="1" ht="14.1" customHeight="1" x14ac:dyDescent="0.35">
      <c r="A23" s="241" t="s">
        <v>5</v>
      </c>
      <c r="B23" s="3" t="s">
        <v>33</v>
      </c>
      <c r="C23" s="4"/>
      <c r="D23" s="52">
        <v>11063064</v>
      </c>
      <c r="E23" s="98">
        <v>45236</v>
      </c>
      <c r="F23" s="44" t="s">
        <v>20</v>
      </c>
      <c r="G23" s="61">
        <v>45236</v>
      </c>
      <c r="H23" s="255" t="s">
        <v>144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512</v>
      </c>
      <c r="T23" s="43"/>
      <c r="U23" s="32"/>
      <c r="V23" s="53">
        <f t="shared" si="0"/>
        <v>512</v>
      </c>
      <c r="W23" s="64" t="s">
        <v>63</v>
      </c>
      <c r="X23" s="2" t="s">
        <v>37</v>
      </c>
      <c r="Y23" s="65" t="s">
        <v>17</v>
      </c>
      <c r="Z23" s="128"/>
      <c r="AA23" s="176"/>
    </row>
    <row r="24" spans="1:27" s="2" customFormat="1" ht="14.1" customHeight="1" x14ac:dyDescent="0.35">
      <c r="A24" s="241" t="s">
        <v>37</v>
      </c>
      <c r="B24" s="3" t="s">
        <v>204</v>
      </c>
      <c r="C24" s="4"/>
      <c r="D24" s="52">
        <v>11063101</v>
      </c>
      <c r="E24" s="98">
        <v>45236</v>
      </c>
      <c r="F24" s="44" t="s">
        <v>20</v>
      </c>
      <c r="G24" s="61">
        <v>45236</v>
      </c>
      <c r="H24" s="255" t="s">
        <v>111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289</v>
      </c>
      <c r="T24" s="43">
        <v>62.5</v>
      </c>
      <c r="U24" s="32">
        <v>24.93</v>
      </c>
      <c r="V24" s="53">
        <f t="shared" si="0"/>
        <v>376.43</v>
      </c>
      <c r="W24" s="64" t="s">
        <v>63</v>
      </c>
      <c r="X24" s="2" t="s">
        <v>37</v>
      </c>
      <c r="Y24" s="65" t="s">
        <v>17</v>
      </c>
      <c r="Z24" s="128"/>
      <c r="AA24" s="176"/>
    </row>
    <row r="25" spans="1:27" s="2" customFormat="1" ht="14.1" customHeight="1" x14ac:dyDescent="0.35">
      <c r="A25" s="241" t="s">
        <v>37</v>
      </c>
      <c r="B25" s="3" t="s">
        <v>62</v>
      </c>
      <c r="C25" s="4" t="s">
        <v>205</v>
      </c>
      <c r="D25" s="52">
        <v>11063102</v>
      </c>
      <c r="E25" s="98">
        <v>45236</v>
      </c>
      <c r="F25" s="44" t="s">
        <v>20</v>
      </c>
      <c r="G25" s="61">
        <v>45236</v>
      </c>
      <c r="H25" s="255" t="s">
        <v>190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170</v>
      </c>
      <c r="T25" s="43">
        <v>30</v>
      </c>
      <c r="U25" s="32"/>
      <c r="V25" s="53">
        <f t="shared" si="0"/>
        <v>200</v>
      </c>
      <c r="W25" s="64" t="s">
        <v>63</v>
      </c>
      <c r="X25" s="2" t="s">
        <v>37</v>
      </c>
      <c r="Y25" s="65" t="s">
        <v>183</v>
      </c>
      <c r="Z25" s="128" t="s">
        <v>180</v>
      </c>
      <c r="AA25" s="176"/>
    </row>
    <row r="26" spans="1:27" s="2" customFormat="1" ht="14.1" customHeight="1" x14ac:dyDescent="0.35">
      <c r="A26" s="241" t="s">
        <v>37</v>
      </c>
      <c r="B26" s="3" t="s">
        <v>62</v>
      </c>
      <c r="C26" s="4" t="s">
        <v>206</v>
      </c>
      <c r="D26" s="52">
        <v>11063103</v>
      </c>
      <c r="E26" s="98">
        <v>45236</v>
      </c>
      <c r="F26" s="44" t="s">
        <v>20</v>
      </c>
      <c r="G26" s="61">
        <v>45236</v>
      </c>
      <c r="H26" s="255" t="s">
        <v>190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170</v>
      </c>
      <c r="T26" s="43">
        <v>30</v>
      </c>
      <c r="U26" s="32"/>
      <c r="V26" s="53">
        <f t="shared" si="0"/>
        <v>200</v>
      </c>
      <c r="W26" s="64" t="s">
        <v>63</v>
      </c>
      <c r="X26" s="2" t="s">
        <v>37</v>
      </c>
      <c r="Y26" s="65" t="s">
        <v>183</v>
      </c>
      <c r="Z26" s="128" t="s">
        <v>180</v>
      </c>
      <c r="AA26" s="176"/>
    </row>
    <row r="27" spans="1:27" s="2" customFormat="1" ht="14.1" customHeight="1" x14ac:dyDescent="0.35">
      <c r="A27" s="241" t="s">
        <v>37</v>
      </c>
      <c r="B27" s="3" t="s">
        <v>207</v>
      </c>
      <c r="C27" s="4"/>
      <c r="D27" s="52">
        <v>11063104</v>
      </c>
      <c r="E27" s="98">
        <v>45236</v>
      </c>
      <c r="F27" s="44" t="s">
        <v>20</v>
      </c>
      <c r="G27" s="61">
        <v>45236</v>
      </c>
      <c r="H27" s="255" t="s">
        <v>192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188</v>
      </c>
      <c r="T27" s="43">
        <v>50</v>
      </c>
      <c r="U27" s="32">
        <v>17.39</v>
      </c>
      <c r="V27" s="53">
        <f t="shared" si="0"/>
        <v>255.39</v>
      </c>
      <c r="W27" s="64" t="s">
        <v>63</v>
      </c>
      <c r="X27" s="2" t="s">
        <v>37</v>
      </c>
      <c r="Y27" s="65" t="s">
        <v>17</v>
      </c>
      <c r="Z27" s="128"/>
      <c r="AA27" s="176"/>
    </row>
    <row r="28" spans="1:27" s="2" customFormat="1" ht="14.1" customHeight="1" x14ac:dyDescent="0.35">
      <c r="A28" s="241" t="s">
        <v>37</v>
      </c>
      <c r="B28" s="3" t="s">
        <v>208</v>
      </c>
      <c r="C28" s="4"/>
      <c r="D28" s="52">
        <v>11063105</v>
      </c>
      <c r="E28" s="98">
        <v>45236</v>
      </c>
      <c r="F28" s="44" t="s">
        <v>20</v>
      </c>
      <c r="G28" s="61">
        <v>45236</v>
      </c>
      <c r="H28" s="255" t="s">
        <v>111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159</v>
      </c>
      <c r="T28" s="43">
        <v>37.5</v>
      </c>
      <c r="U28" s="32">
        <v>13.71</v>
      </c>
      <c r="V28" s="53">
        <f t="shared" si="0"/>
        <v>210.21</v>
      </c>
      <c r="W28" s="64" t="s">
        <v>63</v>
      </c>
      <c r="X28" s="2" t="s">
        <v>37</v>
      </c>
      <c r="Y28" s="65" t="s">
        <v>183</v>
      </c>
      <c r="Z28" s="128" t="s">
        <v>180</v>
      </c>
      <c r="AA28" s="176"/>
    </row>
    <row r="29" spans="1:27" s="2" customFormat="1" ht="14.1" customHeight="1" x14ac:dyDescent="0.35">
      <c r="A29" s="241" t="s">
        <v>37</v>
      </c>
      <c r="B29" s="3" t="s">
        <v>209</v>
      </c>
      <c r="C29" s="4"/>
      <c r="D29" s="52">
        <v>11063107</v>
      </c>
      <c r="E29" s="98">
        <v>45236</v>
      </c>
      <c r="F29" s="44" t="s">
        <v>20</v>
      </c>
      <c r="G29" s="61">
        <v>45236</v>
      </c>
      <c r="H29" s="255" t="s">
        <v>111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65</v>
      </c>
      <c r="T29" s="43">
        <v>12.5</v>
      </c>
      <c r="U29" s="32">
        <v>5.61</v>
      </c>
      <c r="V29" s="53">
        <f t="shared" si="0"/>
        <v>83.11</v>
      </c>
      <c r="W29" s="64" t="s">
        <v>63</v>
      </c>
      <c r="X29" s="2" t="s">
        <v>37</v>
      </c>
      <c r="Y29" s="65" t="s">
        <v>17</v>
      </c>
      <c r="Z29" s="128"/>
      <c r="AA29" s="176"/>
    </row>
    <row r="30" spans="1:27" s="2" customFormat="1" ht="14.1" customHeight="1" x14ac:dyDescent="0.35">
      <c r="A30" s="241" t="s">
        <v>37</v>
      </c>
      <c r="B30" s="3" t="s">
        <v>210</v>
      </c>
      <c r="C30" s="4"/>
      <c r="D30" s="52">
        <v>11063108</v>
      </c>
      <c r="E30" s="98">
        <v>45236</v>
      </c>
      <c r="F30" s="44" t="s">
        <v>20</v>
      </c>
      <c r="G30" s="61">
        <v>45236</v>
      </c>
      <c r="H30" s="255" t="s">
        <v>111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130</v>
      </c>
      <c r="T30" s="43">
        <v>25</v>
      </c>
      <c r="U30" s="32">
        <v>11.21</v>
      </c>
      <c r="V30" s="53">
        <f t="shared" si="0"/>
        <v>166.21</v>
      </c>
      <c r="W30" s="64" t="s">
        <v>63</v>
      </c>
      <c r="X30" s="2" t="s">
        <v>37</v>
      </c>
      <c r="Y30" s="65" t="s">
        <v>17</v>
      </c>
      <c r="Z30" s="128"/>
      <c r="AA30" s="176"/>
    </row>
    <row r="31" spans="1:27" s="2" customFormat="1" ht="14.1" customHeight="1" x14ac:dyDescent="0.35">
      <c r="A31" s="241" t="s">
        <v>37</v>
      </c>
      <c r="B31" s="3" t="s">
        <v>124</v>
      </c>
      <c r="C31" s="4"/>
      <c r="D31" s="52">
        <v>11063110</v>
      </c>
      <c r="E31" s="98">
        <v>45236</v>
      </c>
      <c r="F31" s="44" t="s">
        <v>20</v>
      </c>
      <c r="G31" s="61">
        <v>45237</v>
      </c>
      <c r="H31" s="255" t="s">
        <v>211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220</v>
      </c>
      <c r="T31" s="43">
        <v>50</v>
      </c>
      <c r="U31" s="32">
        <v>20.239999999999998</v>
      </c>
      <c r="V31" s="53">
        <f t="shared" si="0"/>
        <v>290.24</v>
      </c>
      <c r="W31" s="64" t="s">
        <v>63</v>
      </c>
      <c r="X31" s="2" t="s">
        <v>37</v>
      </c>
      <c r="Y31" s="65" t="s">
        <v>17</v>
      </c>
      <c r="Z31" s="128"/>
      <c r="AA31" s="176"/>
    </row>
    <row r="32" spans="1:27" s="2" customFormat="1" ht="14.1" customHeight="1" x14ac:dyDescent="0.35">
      <c r="A32" s="241" t="s">
        <v>37</v>
      </c>
      <c r="B32" s="3" t="s">
        <v>212</v>
      </c>
      <c r="C32" s="4"/>
      <c r="D32" s="52">
        <v>11063109</v>
      </c>
      <c r="E32" s="98">
        <v>45236</v>
      </c>
      <c r="F32" s="44" t="s">
        <v>20</v>
      </c>
      <c r="G32" s="61">
        <v>45237</v>
      </c>
      <c r="H32" s="255" t="s">
        <v>176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298</v>
      </c>
      <c r="T32" s="43">
        <v>62.5</v>
      </c>
      <c r="U32" s="32">
        <v>23.1</v>
      </c>
      <c r="V32" s="53">
        <f t="shared" si="0"/>
        <v>383.6</v>
      </c>
      <c r="W32" s="64" t="s">
        <v>63</v>
      </c>
      <c r="X32" s="2" t="s">
        <v>37</v>
      </c>
      <c r="Y32" s="65" t="s">
        <v>17</v>
      </c>
      <c r="Z32" s="128"/>
      <c r="AA32" s="176"/>
    </row>
    <row r="33" spans="1:27" s="2" customFormat="1" ht="14.1" customHeight="1" x14ac:dyDescent="0.35">
      <c r="A33" s="241" t="s">
        <v>37</v>
      </c>
      <c r="B33" s="3" t="s">
        <v>213</v>
      </c>
      <c r="C33" s="4" t="s">
        <v>214</v>
      </c>
      <c r="D33" s="52">
        <v>11063111</v>
      </c>
      <c r="E33" s="98">
        <v>45236</v>
      </c>
      <c r="F33" s="44" t="s">
        <v>20</v>
      </c>
      <c r="G33" s="61">
        <v>45237</v>
      </c>
      <c r="H33" s="255" t="s">
        <v>173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110</v>
      </c>
      <c r="T33" s="43">
        <v>25</v>
      </c>
      <c r="U33" s="32">
        <v>11.28</v>
      </c>
      <c r="V33" s="53">
        <f t="shared" si="0"/>
        <v>146.28</v>
      </c>
      <c r="W33" s="64" t="s">
        <v>63</v>
      </c>
      <c r="X33" s="2" t="s">
        <v>37</v>
      </c>
      <c r="Y33" s="65" t="s">
        <v>17</v>
      </c>
      <c r="Z33" s="128"/>
      <c r="AA33" s="176"/>
    </row>
    <row r="34" spans="1:27" s="2" customFormat="1" ht="14.1" customHeight="1" x14ac:dyDescent="0.35">
      <c r="A34" s="241" t="s">
        <v>5</v>
      </c>
      <c r="B34" s="3" t="s">
        <v>33</v>
      </c>
      <c r="C34" s="4"/>
      <c r="D34" s="52">
        <v>11073065</v>
      </c>
      <c r="E34" s="98">
        <v>45237</v>
      </c>
      <c r="F34" s="44" t="s">
        <v>20</v>
      </c>
      <c r="G34" s="61">
        <v>45237</v>
      </c>
      <c r="H34" s="255" t="s">
        <v>144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897</v>
      </c>
      <c r="T34" s="43"/>
      <c r="U34" s="32"/>
      <c r="V34" s="53">
        <f t="shared" si="0"/>
        <v>897</v>
      </c>
      <c r="W34" s="64" t="s">
        <v>63</v>
      </c>
      <c r="X34" s="2" t="s">
        <v>37</v>
      </c>
      <c r="Y34" s="65" t="s">
        <v>17</v>
      </c>
      <c r="Z34" s="128"/>
      <c r="AA34" s="176"/>
    </row>
    <row r="35" spans="1:27" s="2" customFormat="1" ht="14.1" customHeight="1" x14ac:dyDescent="0.35">
      <c r="A35" s="241" t="s">
        <v>37</v>
      </c>
      <c r="B35" s="3" t="s">
        <v>215</v>
      </c>
      <c r="C35" s="4"/>
      <c r="D35" s="52">
        <v>11073101</v>
      </c>
      <c r="E35" s="98">
        <v>45237</v>
      </c>
      <c r="F35" s="44" t="s">
        <v>20</v>
      </c>
      <c r="G35" s="61">
        <v>45237</v>
      </c>
      <c r="H35" s="255" t="s">
        <v>216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240</v>
      </c>
      <c r="T35" s="43">
        <v>50</v>
      </c>
      <c r="U35" s="32">
        <v>21.6</v>
      </c>
      <c r="V35" s="53">
        <f t="shared" si="0"/>
        <v>311.60000000000002</v>
      </c>
      <c r="W35" s="64" t="s">
        <v>63</v>
      </c>
      <c r="X35" s="2" t="s">
        <v>37</v>
      </c>
      <c r="Y35" s="65" t="s">
        <v>17</v>
      </c>
      <c r="Z35" s="128"/>
      <c r="AA35" s="176"/>
    </row>
    <row r="36" spans="1:27" s="2" customFormat="1" ht="14.1" customHeight="1" x14ac:dyDescent="0.35">
      <c r="A36" s="241" t="s">
        <v>37</v>
      </c>
      <c r="B36" s="3" t="s">
        <v>120</v>
      </c>
      <c r="C36" s="4"/>
      <c r="D36" s="52">
        <v>11073103</v>
      </c>
      <c r="E36" s="98">
        <v>45237</v>
      </c>
      <c r="F36" s="44" t="s">
        <v>20</v>
      </c>
      <c r="G36" s="61">
        <v>45237</v>
      </c>
      <c r="H36" s="255" t="s">
        <v>111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117</v>
      </c>
      <c r="T36" s="43">
        <v>37.5</v>
      </c>
      <c r="U36" s="32">
        <v>10.09</v>
      </c>
      <c r="V36" s="53">
        <f t="shared" si="0"/>
        <v>164.59</v>
      </c>
      <c r="W36" s="64" t="s">
        <v>63</v>
      </c>
      <c r="X36" s="2" t="s">
        <v>37</v>
      </c>
      <c r="Y36" s="65" t="s">
        <v>17</v>
      </c>
      <c r="Z36" s="128"/>
      <c r="AA36" s="176"/>
    </row>
    <row r="37" spans="1:27" s="2" customFormat="1" ht="14.1" customHeight="1" x14ac:dyDescent="0.35">
      <c r="A37" s="241" t="s">
        <v>37</v>
      </c>
      <c r="B37" s="3" t="s">
        <v>217</v>
      </c>
      <c r="C37" s="4"/>
      <c r="D37" s="52">
        <v>11073104</v>
      </c>
      <c r="E37" s="98">
        <v>45237</v>
      </c>
      <c r="F37" s="44" t="s">
        <v>20</v>
      </c>
      <c r="G37" s="61">
        <v>45237</v>
      </c>
      <c r="H37" s="255" t="s">
        <v>218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65</v>
      </c>
      <c r="T37" s="43"/>
      <c r="U37" s="32">
        <v>6.01</v>
      </c>
      <c r="V37" s="53">
        <f t="shared" si="0"/>
        <v>71.010000000000005</v>
      </c>
      <c r="W37" s="64" t="s">
        <v>63</v>
      </c>
      <c r="X37" s="2" t="s">
        <v>37</v>
      </c>
      <c r="Y37" s="65" t="s">
        <v>17</v>
      </c>
      <c r="Z37" s="128"/>
      <c r="AA37" s="176"/>
    </row>
    <row r="38" spans="1:27" s="2" customFormat="1" ht="14.1" customHeight="1" x14ac:dyDescent="0.35">
      <c r="A38" s="241"/>
      <c r="B38" s="3"/>
      <c r="C38" s="4"/>
      <c r="D38" s="52"/>
      <c r="E38" s="98"/>
      <c r="F38" s="44"/>
      <c r="G38" s="61"/>
      <c r="H38" s="255"/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/>
      <c r="T38" s="43"/>
      <c r="U38" s="32"/>
      <c r="V38" s="53">
        <f t="shared" si="0"/>
        <v>0</v>
      </c>
      <c r="W38" s="64"/>
      <c r="Y38" s="65"/>
      <c r="Z38" s="128"/>
      <c r="AA38" s="176"/>
    </row>
    <row r="39" spans="1:27" s="2" customFormat="1" ht="14.1" customHeight="1" x14ac:dyDescent="0.35">
      <c r="A39" s="241"/>
      <c r="B39" s="3"/>
      <c r="C39" s="4"/>
      <c r="D39" s="52"/>
      <c r="E39" s="98"/>
      <c r="F39" s="44"/>
      <c r="G39" s="61"/>
      <c r="H39" s="255"/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/>
      <c r="T39" s="43"/>
      <c r="U39" s="32"/>
      <c r="V39" s="53">
        <f t="shared" si="0"/>
        <v>0</v>
      </c>
      <c r="W39" s="64"/>
      <c r="Y39" s="65"/>
      <c r="Z39" s="128"/>
      <c r="AA39" s="176"/>
    </row>
    <row r="40" spans="1:27" s="2" customFormat="1" ht="14.1" customHeight="1" x14ac:dyDescent="0.35">
      <c r="A40" s="241"/>
      <c r="B40" s="3"/>
      <c r="C40" s="4"/>
      <c r="D40" s="52"/>
      <c r="E40" s="98"/>
      <c r="F40" s="44"/>
      <c r="G40" s="61"/>
      <c r="H40" s="255"/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/>
      <c r="T40" s="43"/>
      <c r="U40" s="32"/>
      <c r="V40" s="53">
        <f t="shared" si="0"/>
        <v>0</v>
      </c>
      <c r="W40" s="64"/>
      <c r="Y40" s="65"/>
      <c r="Z40" s="128"/>
      <c r="AA40" s="176"/>
    </row>
    <row r="41" spans="1:27" s="2" customFormat="1" ht="14.1" customHeight="1" x14ac:dyDescent="0.35">
      <c r="A41" s="241"/>
      <c r="B41" s="3"/>
      <c r="C41" s="4"/>
      <c r="D41" s="52"/>
      <c r="E41" s="98"/>
      <c r="F41" s="44"/>
      <c r="G41" s="61"/>
      <c r="H41" s="255"/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/>
      <c r="T41" s="43"/>
      <c r="U41" s="32"/>
      <c r="V41" s="53">
        <f t="shared" si="0"/>
        <v>0</v>
      </c>
      <c r="W41" s="64"/>
      <c r="Y41" s="65"/>
      <c r="Z41" s="128"/>
      <c r="AA41" s="176"/>
    </row>
    <row r="42" spans="1:27" s="2" customFormat="1" ht="14.1" customHeight="1" x14ac:dyDescent="0.35">
      <c r="A42" s="241"/>
      <c r="B42" s="3"/>
      <c r="C42" s="4"/>
      <c r="D42" s="52"/>
      <c r="E42" s="98"/>
      <c r="F42" s="44"/>
      <c r="G42" s="61"/>
      <c r="H42" s="255"/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/>
      <c r="T42" s="43"/>
      <c r="U42" s="32"/>
      <c r="V42" s="53">
        <f t="shared" si="0"/>
        <v>0</v>
      </c>
      <c r="W42" s="64"/>
      <c r="Y42" s="65"/>
      <c r="Z42" s="128"/>
      <c r="AA42" s="176"/>
    </row>
    <row r="43" spans="1:27" s="2" customFormat="1" ht="14.1" customHeight="1" x14ac:dyDescent="0.35">
      <c r="A43" s="241"/>
      <c r="B43" s="3"/>
      <c r="C43" s="4"/>
      <c r="D43" s="52"/>
      <c r="E43" s="98"/>
      <c r="F43" s="44"/>
      <c r="G43" s="61"/>
      <c r="H43" s="255"/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/>
      <c r="T43" s="43"/>
      <c r="U43" s="32"/>
      <c r="V43" s="53">
        <f t="shared" si="0"/>
        <v>0</v>
      </c>
      <c r="W43" s="64"/>
      <c r="Y43" s="65"/>
      <c r="Z43" s="128"/>
      <c r="AA43" s="176"/>
    </row>
    <row r="44" spans="1:27" s="2" customFormat="1" ht="14.1" customHeight="1" x14ac:dyDescent="0.35">
      <c r="A44" s="241"/>
      <c r="B44" s="3"/>
      <c r="C44" s="4"/>
      <c r="D44" s="52"/>
      <c r="E44" s="98"/>
      <c r="F44" s="44"/>
      <c r="G44" s="61"/>
      <c r="H44" s="255"/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/>
      <c r="T44" s="43"/>
      <c r="U44" s="32"/>
      <c r="V44" s="53">
        <f t="shared" si="0"/>
        <v>0</v>
      </c>
      <c r="W44" s="64"/>
      <c r="Y44" s="65"/>
      <c r="Z44" s="128"/>
      <c r="AA44" s="176"/>
    </row>
    <row r="45" spans="1:27" s="2" customFormat="1" ht="14.1" customHeight="1" thickBot="1" x14ac:dyDescent="0.4">
      <c r="A45" s="241"/>
      <c r="B45" s="3"/>
      <c r="C45" s="4"/>
      <c r="D45" s="52"/>
      <c r="E45" s="98"/>
      <c r="F45" s="44"/>
      <c r="G45" s="61"/>
      <c r="H45" s="255"/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/>
      <c r="T45" s="43"/>
      <c r="U45" s="32"/>
      <c r="V45" s="53">
        <f t="shared" si="0"/>
        <v>0</v>
      </c>
      <c r="W45" s="64"/>
      <c r="Y45" s="65"/>
      <c r="Z45" s="128"/>
      <c r="AA45" s="176"/>
    </row>
    <row r="46" spans="1:27" s="2" customFormat="1" ht="14.1" customHeight="1" thickBot="1" x14ac:dyDescent="0.4">
      <c r="A46" s="242"/>
      <c r="B46" s="158" t="s">
        <v>10</v>
      </c>
      <c r="C46" s="45"/>
      <c r="D46" s="89"/>
      <c r="E46" s="90"/>
      <c r="F46" s="45"/>
      <c r="G46" s="91"/>
      <c r="H46" s="91"/>
      <c r="I46" s="159">
        <f>SUM(I5:I45)</f>
        <v>0</v>
      </c>
      <c r="J46" s="159">
        <f>SUM(J5:J45)</f>
        <v>0</v>
      </c>
      <c r="K46" s="159">
        <f>SUM(K5:K45)</f>
        <v>0</v>
      </c>
      <c r="L46" s="160">
        <f>SUM(L5:L45)</f>
        <v>0</v>
      </c>
      <c r="M46" s="161">
        <f>SUM(M5:M45)</f>
        <v>0</v>
      </c>
      <c r="N46" s="309">
        <f>SUM(N5:O45)</f>
        <v>137</v>
      </c>
      <c r="O46" s="310"/>
      <c r="P46" s="167">
        <f t="shared" ref="P46:V46" si="1">SUM(P5:P45)</f>
        <v>0</v>
      </c>
      <c r="Q46" s="167">
        <f t="shared" si="1"/>
        <v>90</v>
      </c>
      <c r="R46" s="167">
        <f t="shared" si="1"/>
        <v>0</v>
      </c>
      <c r="S46" s="168">
        <f t="shared" si="1"/>
        <v>6123.5</v>
      </c>
      <c r="T46" s="168">
        <f t="shared" si="1"/>
        <v>860</v>
      </c>
      <c r="U46" s="166">
        <f t="shared" si="1"/>
        <v>334.51000000000005</v>
      </c>
      <c r="V46" s="162">
        <f t="shared" si="1"/>
        <v>7545.0100000000011</v>
      </c>
      <c r="W46" s="50"/>
      <c r="X46" s="92"/>
      <c r="Y46" s="165"/>
      <c r="Z46" s="248"/>
      <c r="AA46" s="166">
        <f>SUM(AA5:AA45)</f>
        <v>0</v>
      </c>
    </row>
    <row r="47" spans="1:27" s="6" customFormat="1" ht="12.75" customHeight="1" x14ac:dyDescent="0.35">
      <c r="A47" s="243"/>
      <c r="C47" s="234"/>
      <c r="D47" s="234"/>
      <c r="F47" s="234"/>
      <c r="G47" s="235"/>
      <c r="H47" s="235"/>
      <c r="X47" s="81"/>
      <c r="Y47" s="81"/>
      <c r="Z47" s="236"/>
    </row>
    <row r="48" spans="1:27" ht="14.25" customHeight="1" x14ac:dyDescent="0.35">
      <c r="S48" s="6"/>
    </row>
    <row r="49" spans="19:19" ht="9" customHeight="1" x14ac:dyDescent="0.35">
      <c r="S49" s="6"/>
    </row>
  </sheetData>
  <mergeCells count="2">
    <mergeCell ref="A1:B1"/>
    <mergeCell ref="N46:O46"/>
  </mergeCells>
  <printOptions gridLines="1"/>
  <pageMargins left="0" right="0" top="0.5" bottom="0" header="0.25" footer="0.5"/>
  <pageSetup scale="68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16"/>
  <sheetViews>
    <sheetView tabSelected="1" zoomScale="120" zoomScaleNormal="120" workbookViewId="0">
      <pane ySplit="2" topLeftCell="A89" activePane="bottomLeft" state="frozen"/>
      <selection pane="bottomLeft" activeCell="D102" sqref="D102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45237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6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>SUM(H5:T5)</f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6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>SUM(H6:T6)</f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6" s="2" customFormat="1" ht="14.1" customHeight="1" x14ac:dyDescent="0.35">
      <c r="A7" s="251" t="s">
        <v>36</v>
      </c>
      <c r="B7" s="218" t="s">
        <v>69</v>
      </c>
      <c r="C7" s="233"/>
      <c r="D7" s="223">
        <v>5013262</v>
      </c>
      <c r="E7" s="179">
        <v>45047</v>
      </c>
      <c r="F7" s="182" t="s">
        <v>70</v>
      </c>
      <c r="G7" s="219">
        <v>45047</v>
      </c>
      <c r="H7" s="188"/>
      <c r="I7" s="185"/>
      <c r="J7" s="185"/>
      <c r="K7" s="185"/>
      <c r="L7" s="185"/>
      <c r="M7" s="188"/>
      <c r="N7" s="185"/>
      <c r="O7" s="188">
        <v>37.5</v>
      </c>
      <c r="P7" s="220"/>
      <c r="Q7" s="191"/>
      <c r="R7" s="188"/>
      <c r="S7" s="191">
        <v>12.5</v>
      </c>
      <c r="T7" s="194">
        <v>3.52</v>
      </c>
      <c r="U7" s="197">
        <f>SUM(H7:T7)</f>
        <v>53.52</v>
      </c>
      <c r="V7" s="199" t="s">
        <v>7</v>
      </c>
      <c r="W7" s="221" t="s">
        <v>36</v>
      </c>
      <c r="X7" s="65" t="s">
        <v>17</v>
      </c>
      <c r="Y7" s="105"/>
      <c r="Z7" s="176"/>
    </row>
    <row r="8" spans="1:26" s="2" customFormat="1" ht="14.1" customHeight="1" x14ac:dyDescent="0.35">
      <c r="A8" s="251" t="s">
        <v>37</v>
      </c>
      <c r="B8" s="218" t="s">
        <v>73</v>
      </c>
      <c r="C8" s="233"/>
      <c r="D8" s="223">
        <v>5303104</v>
      </c>
      <c r="E8" s="179">
        <v>45076</v>
      </c>
      <c r="F8" s="182" t="s">
        <v>20</v>
      </c>
      <c r="G8" s="219">
        <v>45076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29</v>
      </c>
      <c r="S8" s="191">
        <v>12.5</v>
      </c>
      <c r="T8" s="194">
        <v>2.5</v>
      </c>
      <c r="U8" s="197">
        <f t="shared" ref="U8" si="0">SUM(H8:T8)</f>
        <v>44</v>
      </c>
      <c r="V8" s="199" t="s">
        <v>63</v>
      </c>
      <c r="W8" s="221" t="s">
        <v>37</v>
      </c>
      <c r="X8" s="65" t="s">
        <v>17</v>
      </c>
      <c r="Y8" s="105"/>
      <c r="Z8" s="176"/>
    </row>
    <row r="9" spans="1:26" s="2" customFormat="1" ht="14.1" customHeight="1" x14ac:dyDescent="0.35">
      <c r="A9" s="251" t="s">
        <v>37</v>
      </c>
      <c r="B9" s="218" t="s">
        <v>60</v>
      </c>
      <c r="C9" s="233"/>
      <c r="D9" s="223">
        <v>6063102</v>
      </c>
      <c r="E9" s="179">
        <v>45083</v>
      </c>
      <c r="F9" s="182" t="s">
        <v>20</v>
      </c>
      <c r="G9" s="219">
        <v>45083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415</v>
      </c>
      <c r="S9" s="191">
        <v>62.5</v>
      </c>
      <c r="T9" s="194">
        <v>34.24</v>
      </c>
      <c r="U9" s="197">
        <f t="shared" ref="U9:U11" si="1">SUM(H9:T9)</f>
        <v>511.74</v>
      </c>
      <c r="V9" s="199" t="s">
        <v>63</v>
      </c>
      <c r="W9" s="221" t="s">
        <v>57</v>
      </c>
      <c r="X9" s="65" t="s">
        <v>17</v>
      </c>
      <c r="Y9" s="105"/>
      <c r="Z9" s="176"/>
    </row>
    <row r="10" spans="1:26" s="2" customFormat="1" ht="14.1" customHeight="1" x14ac:dyDescent="0.35">
      <c r="A10" s="251" t="s">
        <v>37</v>
      </c>
      <c r="B10" s="218" t="s">
        <v>74</v>
      </c>
      <c r="C10" s="233"/>
      <c r="D10" s="223">
        <v>6233103</v>
      </c>
      <c r="E10" s="179">
        <v>45100</v>
      </c>
      <c r="F10" s="182" t="s">
        <v>20</v>
      </c>
      <c r="G10" s="219">
        <v>45100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110</v>
      </c>
      <c r="S10" s="191">
        <v>25</v>
      </c>
      <c r="T10" s="194">
        <v>9.35</v>
      </c>
      <c r="U10" s="197">
        <f t="shared" si="1"/>
        <v>144.35</v>
      </c>
      <c r="V10" s="199" t="s">
        <v>63</v>
      </c>
      <c r="W10" s="221" t="s">
        <v>37</v>
      </c>
      <c r="X10" s="65" t="s">
        <v>17</v>
      </c>
      <c r="Y10" s="105"/>
      <c r="Z10" s="176"/>
    </row>
    <row r="11" spans="1:26" s="2" customFormat="1" ht="14.1" customHeight="1" x14ac:dyDescent="0.35">
      <c r="A11" s="251" t="s">
        <v>37</v>
      </c>
      <c r="B11" s="218" t="s">
        <v>75</v>
      </c>
      <c r="C11" s="233"/>
      <c r="D11" s="223">
        <v>6263103</v>
      </c>
      <c r="E11" s="179">
        <v>45103</v>
      </c>
      <c r="F11" s="182" t="s">
        <v>20</v>
      </c>
      <c r="G11" s="219">
        <v>45103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204</v>
      </c>
      <c r="S11" s="191">
        <v>50</v>
      </c>
      <c r="T11" s="194">
        <v>18.36</v>
      </c>
      <c r="U11" s="197">
        <f t="shared" si="1"/>
        <v>272.36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6" s="2" customFormat="1" ht="14.1" customHeight="1" x14ac:dyDescent="0.35">
      <c r="A12" s="251" t="s">
        <v>6</v>
      </c>
      <c r="B12" s="218" t="s">
        <v>78</v>
      </c>
      <c r="C12" s="233"/>
      <c r="D12" s="223">
        <v>7103067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726</v>
      </c>
      <c r="S12" s="191">
        <v>75</v>
      </c>
      <c r="T12" s="194">
        <v>67.16</v>
      </c>
      <c r="U12" s="197">
        <f t="shared" ref="U12:U15" si="2">SUM(H12:T12)</f>
        <v>868.16</v>
      </c>
      <c r="V12" s="199" t="s">
        <v>7</v>
      </c>
      <c r="W12" s="221" t="s">
        <v>6</v>
      </c>
      <c r="X12" s="65" t="s">
        <v>17</v>
      </c>
      <c r="Y12" s="105"/>
      <c r="Z12" s="176"/>
    </row>
    <row r="13" spans="1:26" s="2" customFormat="1" ht="14.1" customHeight="1" x14ac:dyDescent="0.35">
      <c r="A13" s="251" t="s">
        <v>37</v>
      </c>
      <c r="B13" s="218" t="s">
        <v>60</v>
      </c>
      <c r="C13" s="233"/>
      <c r="D13" s="223">
        <v>7103102</v>
      </c>
      <c r="E13" s="179">
        <v>45117</v>
      </c>
      <c r="F13" s="182" t="s">
        <v>20</v>
      </c>
      <c r="G13" s="219">
        <v>45117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220</v>
      </c>
      <c r="S13" s="191">
        <v>50</v>
      </c>
      <c r="T13" s="194">
        <v>18.149999999999999</v>
      </c>
      <c r="U13" s="197">
        <f t="shared" si="2"/>
        <v>288.14999999999998</v>
      </c>
      <c r="V13" s="199" t="s">
        <v>63</v>
      </c>
      <c r="W13" s="221" t="s">
        <v>5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37</v>
      </c>
      <c r="B14" s="218" t="s">
        <v>77</v>
      </c>
      <c r="C14" s="233"/>
      <c r="D14" s="223">
        <v>7103107</v>
      </c>
      <c r="E14" s="179">
        <v>45117</v>
      </c>
      <c r="F14" s="182" t="s">
        <v>20</v>
      </c>
      <c r="G14" s="219">
        <v>45117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130</v>
      </c>
      <c r="S14" s="191">
        <v>25</v>
      </c>
      <c r="T14" s="194">
        <v>10.08</v>
      </c>
      <c r="U14" s="197">
        <f t="shared" si="2"/>
        <v>165.08</v>
      </c>
      <c r="V14" s="199" t="s">
        <v>63</v>
      </c>
      <c r="W14" s="221" t="s">
        <v>5</v>
      </c>
      <c r="X14" s="65" t="s">
        <v>17</v>
      </c>
      <c r="Y14" s="105"/>
      <c r="Z14" s="176"/>
    </row>
    <row r="15" spans="1:26" s="2" customFormat="1" ht="14.1" customHeight="1" x14ac:dyDescent="0.35">
      <c r="A15" s="251" t="s">
        <v>37</v>
      </c>
      <c r="B15" s="218" t="s">
        <v>79</v>
      </c>
      <c r="C15" s="233"/>
      <c r="D15" s="223">
        <v>7103107</v>
      </c>
      <c r="E15" s="179">
        <v>45117</v>
      </c>
      <c r="F15" s="182" t="s">
        <v>20</v>
      </c>
      <c r="G15" s="219">
        <v>45118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65</v>
      </c>
      <c r="S15" s="191">
        <v>12.5</v>
      </c>
      <c r="T15" s="194">
        <v>6.01</v>
      </c>
      <c r="U15" s="197">
        <f t="shared" si="2"/>
        <v>83.51</v>
      </c>
      <c r="V15" s="199" t="s">
        <v>63</v>
      </c>
      <c r="W15" s="221" t="s">
        <v>37</v>
      </c>
      <c r="X15" s="65" t="s">
        <v>17</v>
      </c>
      <c r="Y15" s="105"/>
      <c r="Z15" s="176"/>
    </row>
    <row r="16" spans="1:26" s="2" customFormat="1" ht="14.1" customHeight="1" x14ac:dyDescent="0.35">
      <c r="A16" s="251" t="s">
        <v>37</v>
      </c>
      <c r="B16" s="218" t="s">
        <v>80</v>
      </c>
      <c r="C16" s="233"/>
      <c r="D16" s="223">
        <v>7203101</v>
      </c>
      <c r="E16" s="179">
        <v>45127</v>
      </c>
      <c r="F16" s="182" t="s">
        <v>20</v>
      </c>
      <c r="G16" s="219">
        <v>45127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240</v>
      </c>
      <c r="S16" s="191">
        <v>50</v>
      </c>
      <c r="T16" s="194">
        <v>18.600000000000001</v>
      </c>
      <c r="U16" s="197">
        <f t="shared" ref="U16:U24" si="3">SUM(H16:T16)</f>
        <v>308.60000000000002</v>
      </c>
      <c r="V16" s="199" t="s">
        <v>66</v>
      </c>
      <c r="W16" s="221" t="s">
        <v>81</v>
      </c>
      <c r="X16" s="65" t="s">
        <v>17</v>
      </c>
      <c r="Y16" s="105"/>
      <c r="Z16" s="176"/>
    </row>
    <row r="17" spans="1:28" s="2" customFormat="1" ht="14.1" customHeight="1" x14ac:dyDescent="0.35">
      <c r="A17" s="251" t="s">
        <v>37</v>
      </c>
      <c r="B17" s="218" t="s">
        <v>82</v>
      </c>
      <c r="C17" s="233"/>
      <c r="D17" s="223">
        <v>7203104</v>
      </c>
      <c r="E17" s="179">
        <v>45127</v>
      </c>
      <c r="F17" s="182" t="s">
        <v>20</v>
      </c>
      <c r="G17" s="219">
        <v>45127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29</v>
      </c>
      <c r="S17" s="191"/>
      <c r="T17" s="194">
        <v>2.68</v>
      </c>
      <c r="U17" s="197">
        <f t="shared" si="3"/>
        <v>31.68</v>
      </c>
      <c r="V17" s="199" t="s">
        <v>32</v>
      </c>
      <c r="W17" s="221" t="s">
        <v>83</v>
      </c>
      <c r="X17" s="65" t="s">
        <v>17</v>
      </c>
      <c r="Y17" s="105"/>
      <c r="Z17" s="176"/>
    </row>
    <row r="18" spans="1:28" s="2" customFormat="1" ht="14.1" customHeight="1" x14ac:dyDescent="0.35">
      <c r="A18" s="251" t="s">
        <v>37</v>
      </c>
      <c r="B18" s="218" t="s">
        <v>84</v>
      </c>
      <c r="C18" s="233"/>
      <c r="D18" s="223">
        <v>7243105</v>
      </c>
      <c r="E18" s="179">
        <v>45131</v>
      </c>
      <c r="F18" s="182" t="s">
        <v>20</v>
      </c>
      <c r="G18" s="219">
        <v>45132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188</v>
      </c>
      <c r="S18" s="191">
        <v>37.5</v>
      </c>
      <c r="T18" s="194">
        <v>16.22</v>
      </c>
      <c r="U18" s="197">
        <f t="shared" si="3"/>
        <v>241.72</v>
      </c>
      <c r="V18" s="199" t="s">
        <v>63</v>
      </c>
      <c r="W18" s="221" t="s">
        <v>37</v>
      </c>
      <c r="X18" s="65" t="s">
        <v>17</v>
      </c>
      <c r="Y18" s="105"/>
      <c r="Z18" s="176"/>
    </row>
    <row r="19" spans="1:28" s="2" customFormat="1" ht="14.1" customHeight="1" x14ac:dyDescent="0.35">
      <c r="A19" s="251" t="s">
        <v>37</v>
      </c>
      <c r="B19" s="218" t="s">
        <v>62</v>
      </c>
      <c r="C19" s="233" t="s">
        <v>107</v>
      </c>
      <c r="D19" s="223">
        <v>7263102</v>
      </c>
      <c r="E19" s="179">
        <v>45133</v>
      </c>
      <c r="F19" s="182" t="s">
        <v>20</v>
      </c>
      <c r="G19" s="219">
        <v>45133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195</v>
      </c>
      <c r="S19" s="191">
        <v>37.5</v>
      </c>
      <c r="T19" s="194"/>
      <c r="U19" s="197">
        <f t="shared" si="3"/>
        <v>232.5</v>
      </c>
      <c r="V19" s="199" t="s">
        <v>63</v>
      </c>
      <c r="W19" s="221" t="s">
        <v>57</v>
      </c>
      <c r="X19" s="65" t="s">
        <v>17</v>
      </c>
      <c r="Y19" s="105"/>
      <c r="Z19" s="176"/>
    </row>
    <row r="20" spans="1:28" s="2" customFormat="1" ht="14.1" customHeight="1" x14ac:dyDescent="0.35">
      <c r="A20" s="251" t="s">
        <v>37</v>
      </c>
      <c r="B20" s="218" t="s">
        <v>93</v>
      </c>
      <c r="C20" s="233"/>
      <c r="D20" s="223">
        <v>7273101</v>
      </c>
      <c r="E20" s="179">
        <v>45134</v>
      </c>
      <c r="F20" s="182" t="s">
        <v>20</v>
      </c>
      <c r="G20" s="219">
        <v>45134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-145</v>
      </c>
      <c r="S20" s="191">
        <v>-37.5</v>
      </c>
      <c r="T20" s="194">
        <v>-14.86</v>
      </c>
      <c r="U20" s="197">
        <f t="shared" si="3"/>
        <v>-197.36</v>
      </c>
      <c r="V20" s="199" t="s">
        <v>63</v>
      </c>
      <c r="W20" s="221" t="s">
        <v>57</v>
      </c>
      <c r="X20" s="65" t="s">
        <v>17</v>
      </c>
      <c r="Y20" s="105"/>
      <c r="Z20" s="105"/>
      <c r="AA20" s="105"/>
      <c r="AB20" s="105"/>
    </row>
    <row r="21" spans="1:28" s="2" customFormat="1" ht="14.1" customHeight="1" x14ac:dyDescent="0.35">
      <c r="A21" s="251" t="s">
        <v>37</v>
      </c>
      <c r="B21" s="218" t="s">
        <v>85</v>
      </c>
      <c r="C21" s="233"/>
      <c r="D21" s="223">
        <v>7273103</v>
      </c>
      <c r="E21" s="179">
        <v>45134</v>
      </c>
      <c r="F21" s="182" t="s">
        <v>20</v>
      </c>
      <c r="G21" s="219">
        <v>45135</v>
      </c>
      <c r="H21" s="188"/>
      <c r="I21" s="185"/>
      <c r="J21" s="185"/>
      <c r="K21" s="185"/>
      <c r="L21" s="185"/>
      <c r="M21" s="188"/>
      <c r="N21" s="185"/>
      <c r="O21" s="188"/>
      <c r="P21" s="220"/>
      <c r="Q21" s="191"/>
      <c r="R21" s="188">
        <v>39</v>
      </c>
      <c r="S21" s="191">
        <v>12.5</v>
      </c>
      <c r="T21" s="194">
        <v>3.36</v>
      </c>
      <c r="U21" s="197">
        <f t="shared" si="3"/>
        <v>54.86</v>
      </c>
      <c r="V21" s="199" t="s">
        <v>63</v>
      </c>
      <c r="W21" s="221" t="s">
        <v>57</v>
      </c>
      <c r="X21" s="65" t="s">
        <v>17</v>
      </c>
      <c r="Y21" s="105"/>
      <c r="Z21" s="176"/>
    </row>
    <row r="22" spans="1:28" s="2" customFormat="1" ht="14.1" customHeight="1" x14ac:dyDescent="0.35">
      <c r="A22" s="251" t="s">
        <v>37</v>
      </c>
      <c r="B22" s="218" t="s">
        <v>76</v>
      </c>
      <c r="C22" s="233"/>
      <c r="D22" s="223">
        <v>7273105</v>
      </c>
      <c r="E22" s="179">
        <v>45134</v>
      </c>
      <c r="F22" s="182" t="s">
        <v>20</v>
      </c>
      <c r="G22" s="219">
        <v>45135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195</v>
      </c>
      <c r="S22" s="191">
        <v>37.5</v>
      </c>
      <c r="T22" s="194">
        <v>16.82</v>
      </c>
      <c r="U22" s="197">
        <f t="shared" si="3"/>
        <v>249.32</v>
      </c>
      <c r="V22" s="199" t="s">
        <v>63</v>
      </c>
      <c r="W22" s="221" t="s">
        <v>57</v>
      </c>
      <c r="X22" s="65" t="s">
        <v>17</v>
      </c>
      <c r="Y22" s="105"/>
      <c r="Z22" s="176"/>
    </row>
    <row r="23" spans="1:28" s="2" customFormat="1" ht="14.1" customHeight="1" x14ac:dyDescent="0.35">
      <c r="A23" s="251" t="s">
        <v>8</v>
      </c>
      <c r="B23" s="218" t="s">
        <v>86</v>
      </c>
      <c r="C23" s="233"/>
      <c r="D23" s="223">
        <v>7263051</v>
      </c>
      <c r="E23" s="179">
        <v>45133</v>
      </c>
      <c r="F23" s="182" t="s">
        <v>105</v>
      </c>
      <c r="G23" s="219">
        <v>45138</v>
      </c>
      <c r="H23" s="188">
        <v>99</v>
      </c>
      <c r="I23" s="185"/>
      <c r="J23" s="185"/>
      <c r="K23" s="185"/>
      <c r="L23" s="185"/>
      <c r="M23" s="188"/>
      <c r="N23" s="185"/>
      <c r="O23" s="188"/>
      <c r="P23" s="220"/>
      <c r="Q23" s="191"/>
      <c r="R23" s="188"/>
      <c r="S23" s="191"/>
      <c r="T23" s="194">
        <v>8.42</v>
      </c>
      <c r="U23" s="197">
        <f t="shared" si="3"/>
        <v>107.42</v>
      </c>
      <c r="V23" s="199" t="s">
        <v>25</v>
      </c>
      <c r="W23" s="221" t="s">
        <v>8</v>
      </c>
      <c r="X23" s="65" t="s">
        <v>17</v>
      </c>
      <c r="Y23" s="105"/>
      <c r="Z23" s="176"/>
    </row>
    <row r="24" spans="1:28" s="2" customFormat="1" ht="14.1" customHeight="1" thickBot="1" x14ac:dyDescent="0.4">
      <c r="A24" s="251" t="s">
        <v>37</v>
      </c>
      <c r="B24" s="218" t="s">
        <v>87</v>
      </c>
      <c r="C24" s="233"/>
      <c r="D24" s="223">
        <v>7313106</v>
      </c>
      <c r="E24" s="179">
        <v>45138</v>
      </c>
      <c r="F24" s="182" t="s">
        <v>20</v>
      </c>
      <c r="G24" s="219">
        <v>45138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39</v>
      </c>
      <c r="S24" s="191">
        <v>12.5</v>
      </c>
      <c r="T24" s="194">
        <v>3.61</v>
      </c>
      <c r="U24" s="197">
        <f t="shared" si="3"/>
        <v>55.11</v>
      </c>
      <c r="V24" s="199" t="s">
        <v>63</v>
      </c>
      <c r="W24" s="221" t="s">
        <v>5</v>
      </c>
      <c r="X24" s="65" t="s">
        <v>17</v>
      </c>
      <c r="Y24" s="105"/>
      <c r="Z24" s="176"/>
    </row>
    <row r="25" spans="1:28" s="2" customFormat="1" ht="14.1" customHeight="1" thickBot="1" x14ac:dyDescent="0.25">
      <c r="A25" s="171"/>
      <c r="B25" s="172"/>
      <c r="C25" s="173"/>
      <c r="D25" s="173"/>
      <c r="E25" s="205"/>
      <c r="F25" s="206"/>
      <c r="G25" s="174"/>
      <c r="H25" s="207"/>
      <c r="I25" s="207"/>
      <c r="J25" s="208"/>
      <c r="K25" s="208"/>
      <c r="L25" s="208"/>
      <c r="M25" s="207"/>
      <c r="N25" s="207"/>
      <c r="O25" s="207"/>
      <c r="P25" s="50"/>
      <c r="Q25" s="216"/>
      <c r="R25" s="207"/>
      <c r="S25" s="216"/>
      <c r="T25" s="209"/>
      <c r="U25" s="210"/>
      <c r="V25" s="211"/>
      <c r="W25" s="84"/>
      <c r="X25" s="84"/>
      <c r="Y25" s="253">
        <f>SUM(U4:U24)</f>
        <v>4467.0499999999984</v>
      </c>
      <c r="Z25" s="231">
        <f>Y25/V102</f>
        <v>0.15774695933514651</v>
      </c>
      <c r="AA25" s="176"/>
    </row>
    <row r="26" spans="1:28" s="2" customFormat="1" ht="14.1" customHeight="1" x14ac:dyDescent="0.35">
      <c r="A26" s="251" t="s">
        <v>37</v>
      </c>
      <c r="B26" s="218" t="s">
        <v>67</v>
      </c>
      <c r="C26" s="233"/>
      <c r="D26" s="223">
        <v>8013062</v>
      </c>
      <c r="E26" s="179">
        <v>45139</v>
      </c>
      <c r="F26" s="182" t="s">
        <v>20</v>
      </c>
      <c r="G26" s="219">
        <v>45140</v>
      </c>
      <c r="H26" s="188"/>
      <c r="I26" s="185"/>
      <c r="J26" s="185"/>
      <c r="K26" s="185"/>
      <c r="L26" s="185"/>
      <c r="M26" s="188"/>
      <c r="N26" s="185"/>
      <c r="O26" s="188"/>
      <c r="P26" s="220"/>
      <c r="Q26" s="191"/>
      <c r="R26" s="188">
        <v>130</v>
      </c>
      <c r="S26" s="191">
        <v>25</v>
      </c>
      <c r="T26" s="194">
        <v>11.21</v>
      </c>
      <c r="U26" s="197">
        <f t="shared" ref="U26:U35" si="4">SUM(H26:T26)</f>
        <v>166.21</v>
      </c>
      <c r="V26" s="199" t="s">
        <v>63</v>
      </c>
      <c r="W26" s="221" t="s">
        <v>37</v>
      </c>
      <c r="X26" s="65" t="s">
        <v>17</v>
      </c>
      <c r="Y26" s="105"/>
      <c r="Z26" s="176"/>
    </row>
    <row r="27" spans="1:28" s="2" customFormat="1" ht="13.2" customHeight="1" x14ac:dyDescent="0.35">
      <c r="A27" s="251" t="s">
        <v>37</v>
      </c>
      <c r="B27" s="218" t="s">
        <v>88</v>
      </c>
      <c r="C27" s="233"/>
      <c r="D27" s="223">
        <v>8033102</v>
      </c>
      <c r="E27" s="179">
        <v>45141</v>
      </c>
      <c r="F27" s="182" t="s">
        <v>20</v>
      </c>
      <c r="G27" s="219">
        <v>45141</v>
      </c>
      <c r="H27" s="188"/>
      <c r="I27" s="185"/>
      <c r="J27" s="185"/>
      <c r="K27" s="185"/>
      <c r="L27" s="185"/>
      <c r="M27" s="188"/>
      <c r="N27" s="185"/>
      <c r="O27" s="188"/>
      <c r="P27" s="220"/>
      <c r="Q27" s="191"/>
      <c r="R27" s="188">
        <v>260</v>
      </c>
      <c r="S27" s="191">
        <v>50</v>
      </c>
      <c r="T27" s="194">
        <v>25.35</v>
      </c>
      <c r="U27" s="197">
        <f t="shared" si="4"/>
        <v>335.35</v>
      </c>
      <c r="V27" s="199" t="s">
        <v>63</v>
      </c>
      <c r="W27" s="221" t="s">
        <v>37</v>
      </c>
      <c r="X27" s="65" t="s">
        <v>17</v>
      </c>
      <c r="Y27" s="105"/>
      <c r="Z27" s="176"/>
    </row>
    <row r="28" spans="1:28" s="2" customFormat="1" ht="14.1" customHeight="1" x14ac:dyDescent="0.35">
      <c r="A28" s="251" t="s">
        <v>5</v>
      </c>
      <c r="B28" s="218" t="s">
        <v>67</v>
      </c>
      <c r="C28" s="233"/>
      <c r="D28" s="223">
        <v>8043068</v>
      </c>
      <c r="E28" s="179">
        <v>45142</v>
      </c>
      <c r="F28" s="182" t="s">
        <v>20</v>
      </c>
      <c r="G28" s="219">
        <v>45142</v>
      </c>
      <c r="H28" s="188"/>
      <c r="I28" s="185"/>
      <c r="J28" s="185"/>
      <c r="K28" s="185"/>
      <c r="L28" s="185"/>
      <c r="M28" s="188"/>
      <c r="N28" s="185"/>
      <c r="O28" s="188"/>
      <c r="P28" s="220"/>
      <c r="Q28" s="191"/>
      <c r="R28" s="188">
        <v>-65</v>
      </c>
      <c r="S28" s="191"/>
      <c r="T28" s="194">
        <v>-5.61</v>
      </c>
      <c r="U28" s="197">
        <f t="shared" ref="U28" si="5">SUM(H28:T28)</f>
        <v>-70.61</v>
      </c>
      <c r="V28" s="199" t="s">
        <v>32</v>
      </c>
      <c r="W28" s="221" t="s">
        <v>8</v>
      </c>
      <c r="X28" s="65" t="s">
        <v>17</v>
      </c>
      <c r="Y28" s="105"/>
      <c r="Z28" s="176"/>
    </row>
    <row r="29" spans="1:28" s="2" customFormat="1" ht="14.1" customHeight="1" x14ac:dyDescent="0.35">
      <c r="A29" s="251" t="s">
        <v>37</v>
      </c>
      <c r="B29" s="218" t="s">
        <v>92</v>
      </c>
      <c r="C29" s="233" t="s">
        <v>91</v>
      </c>
      <c r="D29" s="223">
        <v>8043104</v>
      </c>
      <c r="E29" s="179">
        <v>45142</v>
      </c>
      <c r="F29" s="182" t="s">
        <v>20</v>
      </c>
      <c r="G29" s="219">
        <v>45145</v>
      </c>
      <c r="H29" s="188"/>
      <c r="I29" s="185"/>
      <c r="J29" s="185"/>
      <c r="K29" s="185"/>
      <c r="L29" s="185"/>
      <c r="M29" s="188"/>
      <c r="N29" s="185"/>
      <c r="O29" s="188"/>
      <c r="P29" s="220"/>
      <c r="Q29" s="191"/>
      <c r="R29" s="188">
        <v>110</v>
      </c>
      <c r="S29" s="191">
        <v>25</v>
      </c>
      <c r="T29" s="194">
        <v>9.08</v>
      </c>
      <c r="U29" s="197">
        <f t="shared" si="4"/>
        <v>144.08000000000001</v>
      </c>
      <c r="V29" s="199" t="s">
        <v>63</v>
      </c>
      <c r="W29" s="221" t="s">
        <v>5</v>
      </c>
      <c r="X29" s="65" t="s">
        <v>17</v>
      </c>
      <c r="Y29" s="105"/>
      <c r="Z29" s="176"/>
    </row>
    <row r="30" spans="1:28" s="2" customFormat="1" ht="14.1" customHeight="1" x14ac:dyDescent="0.35">
      <c r="A30" s="250" t="s">
        <v>5</v>
      </c>
      <c r="B30" s="213" t="s">
        <v>33</v>
      </c>
      <c r="C30" s="226"/>
      <c r="D30" s="224">
        <v>8093064</v>
      </c>
      <c r="E30" s="180">
        <v>45147</v>
      </c>
      <c r="F30" s="183" t="s">
        <v>20</v>
      </c>
      <c r="G30" s="214">
        <v>45147</v>
      </c>
      <c r="H30" s="189"/>
      <c r="I30" s="187"/>
      <c r="J30" s="187"/>
      <c r="K30" s="187"/>
      <c r="L30" s="187"/>
      <c r="M30" s="189"/>
      <c r="N30" s="187"/>
      <c r="O30" s="189"/>
      <c r="P30" s="215"/>
      <c r="Q30" s="192"/>
      <c r="R30" s="189">
        <v>256</v>
      </c>
      <c r="S30" s="192"/>
      <c r="T30" s="195"/>
      <c r="U30" s="198">
        <f t="shared" si="4"/>
        <v>256</v>
      </c>
      <c r="V30" s="201" t="s">
        <v>63</v>
      </c>
      <c r="W30" s="217" t="s">
        <v>57</v>
      </c>
      <c r="X30" s="65" t="s">
        <v>17</v>
      </c>
      <c r="Y30" s="105"/>
      <c r="Z30" s="176"/>
    </row>
    <row r="31" spans="1:28" s="2" customFormat="1" ht="14.1" customHeight="1" x14ac:dyDescent="0.35">
      <c r="A31" s="250" t="s">
        <v>5</v>
      </c>
      <c r="B31" s="213" t="s">
        <v>33</v>
      </c>
      <c r="C31" s="226"/>
      <c r="D31" s="224">
        <v>8113064</v>
      </c>
      <c r="E31" s="180">
        <v>45149</v>
      </c>
      <c r="F31" s="183" t="s">
        <v>20</v>
      </c>
      <c r="G31" s="214">
        <v>45149</v>
      </c>
      <c r="H31" s="189"/>
      <c r="I31" s="187"/>
      <c r="J31" s="187"/>
      <c r="K31" s="187"/>
      <c r="L31" s="187"/>
      <c r="M31" s="189"/>
      <c r="N31" s="187"/>
      <c r="O31" s="189"/>
      <c r="P31" s="215"/>
      <c r="Q31" s="192"/>
      <c r="R31" s="189">
        <v>690</v>
      </c>
      <c r="S31" s="192"/>
      <c r="T31" s="195"/>
      <c r="U31" s="198">
        <f t="shared" si="4"/>
        <v>690</v>
      </c>
      <c r="V31" s="201" t="s">
        <v>63</v>
      </c>
      <c r="W31" s="217" t="s">
        <v>5</v>
      </c>
      <c r="X31" s="65" t="s">
        <v>17</v>
      </c>
      <c r="Y31" s="105"/>
      <c r="Z31" s="176"/>
    </row>
    <row r="32" spans="1:28" s="2" customFormat="1" ht="14.1" customHeight="1" x14ac:dyDescent="0.35">
      <c r="A32" s="250" t="s">
        <v>36</v>
      </c>
      <c r="B32" s="213" t="s">
        <v>94</v>
      </c>
      <c r="C32" s="226"/>
      <c r="D32" s="224">
        <v>8113251</v>
      </c>
      <c r="E32" s="180">
        <v>45149</v>
      </c>
      <c r="F32" s="183" t="s">
        <v>95</v>
      </c>
      <c r="G32" s="214">
        <v>45152</v>
      </c>
      <c r="H32" s="189"/>
      <c r="I32" s="187"/>
      <c r="J32" s="187"/>
      <c r="K32" s="187"/>
      <c r="L32" s="187"/>
      <c r="M32" s="189"/>
      <c r="N32" s="187"/>
      <c r="O32" s="189"/>
      <c r="P32" s="215">
        <v>180</v>
      </c>
      <c r="Q32" s="192">
        <v>90</v>
      </c>
      <c r="R32" s="189"/>
      <c r="S32" s="192"/>
      <c r="T32" s="195"/>
      <c r="U32" s="198">
        <f t="shared" si="4"/>
        <v>270</v>
      </c>
      <c r="V32" s="201" t="s">
        <v>7</v>
      </c>
      <c r="W32" s="217" t="s">
        <v>36</v>
      </c>
      <c r="X32" s="65" t="s">
        <v>17</v>
      </c>
      <c r="Y32" s="105"/>
      <c r="Z32" s="176"/>
    </row>
    <row r="33" spans="1:27" s="2" customFormat="1" ht="14.1" customHeight="1" x14ac:dyDescent="0.35">
      <c r="A33" s="250" t="s">
        <v>37</v>
      </c>
      <c r="B33" s="213" t="s">
        <v>60</v>
      </c>
      <c r="C33" s="226"/>
      <c r="D33" s="224">
        <v>8153102</v>
      </c>
      <c r="E33" s="180">
        <v>45153</v>
      </c>
      <c r="F33" s="183" t="s">
        <v>20</v>
      </c>
      <c r="G33" s="214">
        <v>45153</v>
      </c>
      <c r="H33" s="189"/>
      <c r="I33" s="187"/>
      <c r="J33" s="187"/>
      <c r="K33" s="187"/>
      <c r="L33" s="187"/>
      <c r="M33" s="189"/>
      <c r="N33" s="187"/>
      <c r="O33" s="189"/>
      <c r="P33" s="215"/>
      <c r="Q33" s="192"/>
      <c r="R33" s="189">
        <v>220</v>
      </c>
      <c r="S33" s="192">
        <v>50</v>
      </c>
      <c r="T33" s="195">
        <v>18.149999999999999</v>
      </c>
      <c r="U33" s="198">
        <f t="shared" si="4"/>
        <v>288.14999999999998</v>
      </c>
      <c r="V33" s="201" t="s">
        <v>63</v>
      </c>
      <c r="W33" s="217" t="s">
        <v>37</v>
      </c>
      <c r="X33" s="65" t="s">
        <v>17</v>
      </c>
      <c r="Y33" s="105"/>
      <c r="Z33" s="176"/>
    </row>
    <row r="34" spans="1:27" s="2" customFormat="1" ht="14.1" customHeight="1" x14ac:dyDescent="0.35">
      <c r="A34" s="250" t="s">
        <v>37</v>
      </c>
      <c r="B34" s="213" t="s">
        <v>98</v>
      </c>
      <c r="C34" s="226" t="s">
        <v>99</v>
      </c>
      <c r="D34" s="224">
        <v>8153101</v>
      </c>
      <c r="E34" s="180">
        <v>45153</v>
      </c>
      <c r="F34" s="183" t="s">
        <v>20</v>
      </c>
      <c r="G34" s="214">
        <v>45156</v>
      </c>
      <c r="H34" s="189"/>
      <c r="I34" s="187"/>
      <c r="J34" s="187"/>
      <c r="K34" s="187"/>
      <c r="L34" s="187"/>
      <c r="M34" s="189"/>
      <c r="N34" s="187"/>
      <c r="O34" s="189"/>
      <c r="P34" s="215"/>
      <c r="Q34" s="192"/>
      <c r="R34" s="189">
        <v>149</v>
      </c>
      <c r="S34" s="192"/>
      <c r="T34" s="195">
        <v>13.78</v>
      </c>
      <c r="U34" s="198">
        <f t="shared" si="4"/>
        <v>162.78</v>
      </c>
      <c r="V34" s="201" t="s">
        <v>63</v>
      </c>
      <c r="W34" s="217" t="s">
        <v>57</v>
      </c>
      <c r="X34" s="65" t="s">
        <v>17</v>
      </c>
      <c r="Y34" s="105"/>
      <c r="Z34" s="176"/>
    </row>
    <row r="35" spans="1:27" s="2" customFormat="1" ht="14.1" customHeight="1" x14ac:dyDescent="0.35">
      <c r="A35" s="250" t="s">
        <v>6</v>
      </c>
      <c r="B35" s="213" t="s">
        <v>100</v>
      </c>
      <c r="C35" s="226"/>
      <c r="D35" s="224">
        <v>8083071</v>
      </c>
      <c r="E35" s="180">
        <v>45146</v>
      </c>
      <c r="F35" s="183" t="s">
        <v>97</v>
      </c>
      <c r="G35" s="214">
        <v>45159</v>
      </c>
      <c r="H35" s="189">
        <v>75</v>
      </c>
      <c r="I35" s="187"/>
      <c r="J35" s="187"/>
      <c r="K35" s="187"/>
      <c r="L35" s="187"/>
      <c r="M35" s="189"/>
      <c r="N35" s="187"/>
      <c r="O35" s="189"/>
      <c r="P35" s="215"/>
      <c r="Q35" s="192"/>
      <c r="R35" s="189"/>
      <c r="S35" s="192"/>
      <c r="T35" s="195">
        <v>6.19</v>
      </c>
      <c r="U35" s="198">
        <f t="shared" si="4"/>
        <v>81.19</v>
      </c>
      <c r="V35" s="201" t="s">
        <v>66</v>
      </c>
      <c r="W35" s="217" t="s">
        <v>6</v>
      </c>
      <c r="X35" s="65" t="s">
        <v>17</v>
      </c>
      <c r="Y35" s="105"/>
      <c r="Z35" s="176"/>
    </row>
    <row r="36" spans="1:27" s="2" customFormat="1" ht="14.1" customHeight="1" x14ac:dyDescent="0.35">
      <c r="A36" s="250" t="s">
        <v>37</v>
      </c>
      <c r="B36" s="213" t="s">
        <v>101</v>
      </c>
      <c r="C36" s="226"/>
      <c r="D36" s="224">
        <v>8233101</v>
      </c>
      <c r="E36" s="180">
        <v>45161</v>
      </c>
      <c r="F36" s="183" t="s">
        <v>20</v>
      </c>
      <c r="G36" s="214">
        <v>45162</v>
      </c>
      <c r="H36" s="189"/>
      <c r="I36" s="187"/>
      <c r="J36" s="187"/>
      <c r="K36" s="187"/>
      <c r="L36" s="187"/>
      <c r="M36" s="189"/>
      <c r="N36" s="187"/>
      <c r="O36" s="189"/>
      <c r="P36" s="215"/>
      <c r="Q36" s="192"/>
      <c r="R36" s="189">
        <v>39</v>
      </c>
      <c r="S36" s="192">
        <v>12.5</v>
      </c>
      <c r="T36" s="195">
        <v>4</v>
      </c>
      <c r="U36" s="198">
        <f t="shared" ref="U36:U40" si="6">SUM(H36:T36)</f>
        <v>55.5</v>
      </c>
      <c r="V36" s="201" t="s">
        <v>63</v>
      </c>
      <c r="W36" s="217" t="s">
        <v>57</v>
      </c>
      <c r="X36" s="65" t="s">
        <v>17</v>
      </c>
      <c r="Y36" s="105"/>
      <c r="Z36" s="176"/>
    </row>
    <row r="37" spans="1:27" s="2" customFormat="1" ht="14.1" customHeight="1" x14ac:dyDescent="0.35">
      <c r="A37" s="250" t="s">
        <v>37</v>
      </c>
      <c r="B37" s="213" t="s">
        <v>102</v>
      </c>
      <c r="C37" s="226" t="s">
        <v>103</v>
      </c>
      <c r="D37" s="224">
        <v>8233102</v>
      </c>
      <c r="E37" s="180">
        <v>45161</v>
      </c>
      <c r="F37" s="183" t="s">
        <v>20</v>
      </c>
      <c r="G37" s="214">
        <v>45162</v>
      </c>
      <c r="H37" s="189"/>
      <c r="I37" s="187"/>
      <c r="J37" s="187"/>
      <c r="K37" s="187"/>
      <c r="L37" s="187"/>
      <c r="M37" s="189"/>
      <c r="N37" s="187"/>
      <c r="O37" s="189"/>
      <c r="P37" s="215"/>
      <c r="Q37" s="192"/>
      <c r="R37" s="189">
        <v>130</v>
      </c>
      <c r="S37" s="192">
        <v>25</v>
      </c>
      <c r="T37" s="195">
        <v>11.21</v>
      </c>
      <c r="U37" s="198">
        <f t="shared" si="6"/>
        <v>166.21</v>
      </c>
      <c r="V37" s="201" t="s">
        <v>63</v>
      </c>
      <c r="W37" s="217" t="s">
        <v>57</v>
      </c>
      <c r="X37" s="65" t="s">
        <v>17</v>
      </c>
      <c r="Y37" s="105"/>
      <c r="Z37" s="176"/>
    </row>
    <row r="38" spans="1:27" s="2" customFormat="1" ht="14.1" customHeight="1" x14ac:dyDescent="0.35">
      <c r="A38" s="250" t="s">
        <v>37</v>
      </c>
      <c r="B38" s="213" t="s">
        <v>104</v>
      </c>
      <c r="C38" s="226" t="s">
        <v>65</v>
      </c>
      <c r="D38" s="224">
        <v>8253104</v>
      </c>
      <c r="E38" s="180">
        <v>45163</v>
      </c>
      <c r="F38" s="183" t="s">
        <v>20</v>
      </c>
      <c r="G38" s="214">
        <v>45166</v>
      </c>
      <c r="H38" s="189"/>
      <c r="I38" s="187"/>
      <c r="J38" s="187"/>
      <c r="K38" s="187"/>
      <c r="L38" s="187"/>
      <c r="M38" s="189"/>
      <c r="N38" s="187"/>
      <c r="O38" s="189"/>
      <c r="P38" s="215"/>
      <c r="Q38" s="192"/>
      <c r="R38" s="189">
        <v>45</v>
      </c>
      <c r="S38" s="192">
        <v>12.5</v>
      </c>
      <c r="T38" s="195">
        <v>3.94</v>
      </c>
      <c r="U38" s="198">
        <f t="shared" si="6"/>
        <v>61.44</v>
      </c>
      <c r="V38" s="201" t="s">
        <v>63</v>
      </c>
      <c r="W38" s="217" t="s">
        <v>5</v>
      </c>
      <c r="X38" s="65" t="s">
        <v>17</v>
      </c>
      <c r="Y38" s="105"/>
      <c r="Z38" s="176"/>
    </row>
    <row r="39" spans="1:27" s="2" customFormat="1" ht="14.1" customHeight="1" x14ac:dyDescent="0.35">
      <c r="A39" s="250" t="s">
        <v>8</v>
      </c>
      <c r="B39" s="213" t="s">
        <v>86</v>
      </c>
      <c r="C39" s="226"/>
      <c r="D39" s="224">
        <v>8263051</v>
      </c>
      <c r="E39" s="180">
        <v>45164</v>
      </c>
      <c r="F39" s="183" t="s">
        <v>105</v>
      </c>
      <c r="G39" s="214">
        <v>45166</v>
      </c>
      <c r="H39" s="189">
        <v>99</v>
      </c>
      <c r="I39" s="187"/>
      <c r="J39" s="187"/>
      <c r="K39" s="187"/>
      <c r="L39" s="187"/>
      <c r="M39" s="189"/>
      <c r="N39" s="187"/>
      <c r="O39" s="189"/>
      <c r="P39" s="215"/>
      <c r="Q39" s="192"/>
      <c r="R39" s="189"/>
      <c r="S39" s="192"/>
      <c r="T39" s="195">
        <v>8.42</v>
      </c>
      <c r="U39" s="198">
        <f t="shared" si="6"/>
        <v>107.42</v>
      </c>
      <c r="V39" s="201" t="s">
        <v>7</v>
      </c>
      <c r="W39" s="217" t="s">
        <v>8</v>
      </c>
      <c r="X39" s="65" t="s">
        <v>17</v>
      </c>
      <c r="Y39" s="105"/>
      <c r="Z39" s="176"/>
    </row>
    <row r="40" spans="1:27" s="2" customFormat="1" ht="14.1" customHeight="1" thickBot="1" x14ac:dyDescent="0.4">
      <c r="A40" s="249" t="s">
        <v>37</v>
      </c>
      <c r="B40" s="202" t="s">
        <v>106</v>
      </c>
      <c r="C40" s="225"/>
      <c r="D40" s="224">
        <v>8303102</v>
      </c>
      <c r="E40" s="180">
        <v>45168</v>
      </c>
      <c r="F40" s="183" t="s">
        <v>20</v>
      </c>
      <c r="G40" s="214">
        <v>45168</v>
      </c>
      <c r="H40" s="189"/>
      <c r="I40" s="187"/>
      <c r="J40" s="187"/>
      <c r="K40" s="187"/>
      <c r="L40" s="187"/>
      <c r="M40" s="189"/>
      <c r="N40" s="187"/>
      <c r="O40" s="189"/>
      <c r="P40" s="215"/>
      <c r="Q40" s="192"/>
      <c r="R40" s="189">
        <v>175</v>
      </c>
      <c r="S40" s="192">
        <v>37.5</v>
      </c>
      <c r="T40" s="195">
        <v>16.63</v>
      </c>
      <c r="U40" s="198">
        <f t="shared" si="6"/>
        <v>229.13</v>
      </c>
      <c r="V40" s="201" t="s">
        <v>63</v>
      </c>
      <c r="W40" s="217" t="s">
        <v>5</v>
      </c>
      <c r="X40" s="65" t="s">
        <v>17</v>
      </c>
      <c r="Y40" s="105"/>
      <c r="Z40" s="176"/>
    </row>
    <row r="41" spans="1:27" s="2" customFormat="1" ht="14.1" customHeight="1" thickBot="1" x14ac:dyDescent="0.25">
      <c r="A41" s="171"/>
      <c r="B41" s="172"/>
      <c r="C41" s="173"/>
      <c r="D41" s="173"/>
      <c r="E41" s="205"/>
      <c r="F41" s="206"/>
      <c r="G41" s="174"/>
      <c r="H41" s="207"/>
      <c r="I41" s="207"/>
      <c r="J41" s="208"/>
      <c r="K41" s="208"/>
      <c r="L41" s="208"/>
      <c r="M41" s="207"/>
      <c r="N41" s="207"/>
      <c r="O41" s="207"/>
      <c r="P41" s="50"/>
      <c r="Q41" s="216"/>
      <c r="R41" s="207"/>
      <c r="S41" s="216"/>
      <c r="T41" s="209"/>
      <c r="U41" s="210"/>
      <c r="V41" s="211"/>
      <c r="W41" s="84"/>
      <c r="X41" s="84"/>
      <c r="Y41" s="289">
        <f>SUM(U26:U40)</f>
        <v>2942.8500000000008</v>
      </c>
      <c r="Z41" s="231">
        <f>Y41/V102</f>
        <v>0.10392219457571243</v>
      </c>
      <c r="AA41" s="176"/>
    </row>
    <row r="42" spans="1:27" s="2" customFormat="1" ht="14.1" customHeight="1" x14ac:dyDescent="0.35">
      <c r="A42" s="250" t="s">
        <v>37</v>
      </c>
      <c r="B42" s="213" t="s">
        <v>109</v>
      </c>
      <c r="C42" s="226"/>
      <c r="D42" s="224">
        <v>9013102</v>
      </c>
      <c r="E42" s="180">
        <v>45170</v>
      </c>
      <c r="F42" s="183" t="s">
        <v>20</v>
      </c>
      <c r="G42" s="214">
        <v>45170</v>
      </c>
      <c r="H42" s="189"/>
      <c r="I42" s="187"/>
      <c r="J42" s="187"/>
      <c r="K42" s="187"/>
      <c r="L42" s="187"/>
      <c r="M42" s="189"/>
      <c r="N42" s="187"/>
      <c r="O42" s="189"/>
      <c r="P42" s="215"/>
      <c r="Q42" s="192"/>
      <c r="R42" s="189">
        <v>215</v>
      </c>
      <c r="S42" s="192">
        <v>67.5</v>
      </c>
      <c r="T42" s="195">
        <v>19.89</v>
      </c>
      <c r="U42" s="198">
        <f t="shared" ref="U42:U56" si="7">SUM(H42:T42)</f>
        <v>302.39</v>
      </c>
      <c r="V42" s="201" t="s">
        <v>63</v>
      </c>
      <c r="W42" s="217" t="s">
        <v>110</v>
      </c>
      <c r="X42" s="65" t="s">
        <v>17</v>
      </c>
      <c r="Y42" s="105"/>
      <c r="Z42" s="176"/>
    </row>
    <row r="43" spans="1:27" s="2" customFormat="1" ht="14.1" customHeight="1" x14ac:dyDescent="0.35">
      <c r="A43" s="250" t="s">
        <v>37</v>
      </c>
      <c r="B43" s="213" t="s">
        <v>113</v>
      </c>
      <c r="C43" s="226"/>
      <c r="D43" s="224">
        <v>9053102</v>
      </c>
      <c r="E43" s="180">
        <v>45174</v>
      </c>
      <c r="F43" s="183" t="s">
        <v>20</v>
      </c>
      <c r="G43" s="214">
        <v>45174</v>
      </c>
      <c r="H43" s="189"/>
      <c r="I43" s="187"/>
      <c r="J43" s="187"/>
      <c r="K43" s="187"/>
      <c r="L43" s="187"/>
      <c r="M43" s="189"/>
      <c r="N43" s="187"/>
      <c r="O43" s="189"/>
      <c r="P43" s="215"/>
      <c r="Q43" s="192"/>
      <c r="R43" s="189">
        <v>219</v>
      </c>
      <c r="S43" s="192">
        <v>62.5</v>
      </c>
      <c r="T43" s="195">
        <v>22.45</v>
      </c>
      <c r="U43" s="198">
        <f t="shared" si="7"/>
        <v>303.95</v>
      </c>
      <c r="V43" s="201" t="s">
        <v>63</v>
      </c>
      <c r="W43" s="217" t="s">
        <v>5</v>
      </c>
      <c r="X43" s="65" t="s">
        <v>17</v>
      </c>
      <c r="Y43" s="105"/>
      <c r="Z43" s="176"/>
    </row>
    <row r="44" spans="1:27" s="2" customFormat="1" ht="14.1" customHeight="1" x14ac:dyDescent="0.35">
      <c r="A44" s="250" t="s">
        <v>37</v>
      </c>
      <c r="B44" s="213" t="s">
        <v>114</v>
      </c>
      <c r="C44" s="226"/>
      <c r="D44" s="224">
        <v>9013106</v>
      </c>
      <c r="E44" s="180">
        <v>45170</v>
      </c>
      <c r="F44" s="183" t="s">
        <v>20</v>
      </c>
      <c r="G44" s="214">
        <v>45174</v>
      </c>
      <c r="H44" s="189"/>
      <c r="I44" s="187"/>
      <c r="J44" s="187"/>
      <c r="K44" s="187"/>
      <c r="L44" s="187"/>
      <c r="M44" s="189"/>
      <c r="N44" s="187"/>
      <c r="O44" s="189"/>
      <c r="P44" s="215"/>
      <c r="Q44" s="192"/>
      <c r="R44" s="189">
        <v>135</v>
      </c>
      <c r="S44" s="192">
        <v>25</v>
      </c>
      <c r="T44" s="195">
        <v>12.99</v>
      </c>
      <c r="U44" s="198">
        <f t="shared" si="7"/>
        <v>172.99</v>
      </c>
      <c r="V44" s="201" t="s">
        <v>7</v>
      </c>
      <c r="W44" s="217" t="s">
        <v>59</v>
      </c>
      <c r="X44" s="65" t="s">
        <v>17</v>
      </c>
      <c r="Y44" s="105"/>
      <c r="Z44" s="176"/>
    </row>
    <row r="45" spans="1:27" s="2" customFormat="1" ht="14.1" customHeight="1" x14ac:dyDescent="0.35">
      <c r="A45" s="250" t="s">
        <v>37</v>
      </c>
      <c r="B45" s="213" t="s">
        <v>115</v>
      </c>
      <c r="C45" s="226"/>
      <c r="D45" s="224">
        <v>9073101</v>
      </c>
      <c r="E45" s="180">
        <v>45176</v>
      </c>
      <c r="F45" s="183" t="s">
        <v>20</v>
      </c>
      <c r="G45" s="214">
        <v>45176</v>
      </c>
      <c r="H45" s="189"/>
      <c r="I45" s="187"/>
      <c r="J45" s="187"/>
      <c r="K45" s="187"/>
      <c r="L45" s="187"/>
      <c r="M45" s="189"/>
      <c r="N45" s="187"/>
      <c r="O45" s="189"/>
      <c r="P45" s="215"/>
      <c r="Q45" s="192"/>
      <c r="R45" s="189">
        <v>20.61</v>
      </c>
      <c r="S45" s="192"/>
      <c r="T45" s="195"/>
      <c r="U45" s="198">
        <f t="shared" si="7"/>
        <v>20.61</v>
      </c>
      <c r="V45" s="201" t="s">
        <v>63</v>
      </c>
      <c r="W45" s="217" t="s">
        <v>57</v>
      </c>
      <c r="X45" s="65" t="s">
        <v>17</v>
      </c>
      <c r="Y45" s="105" t="s">
        <v>203</v>
      </c>
      <c r="Z45" s="176"/>
    </row>
    <row r="46" spans="1:27" s="2" customFormat="1" ht="14.1" customHeight="1" x14ac:dyDescent="0.35">
      <c r="A46" s="249" t="s">
        <v>37</v>
      </c>
      <c r="B46" s="202" t="s">
        <v>117</v>
      </c>
      <c r="C46" s="225"/>
      <c r="D46" s="222">
        <v>9143102</v>
      </c>
      <c r="E46" s="178">
        <v>45183</v>
      </c>
      <c r="F46" s="181" t="s">
        <v>20</v>
      </c>
      <c r="G46" s="203">
        <v>45183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155</v>
      </c>
      <c r="S46" s="190">
        <v>37.5</v>
      </c>
      <c r="T46" s="193">
        <v>13.18</v>
      </c>
      <c r="U46" s="196">
        <f t="shared" si="7"/>
        <v>205.68</v>
      </c>
      <c r="V46" s="200" t="s">
        <v>63</v>
      </c>
      <c r="W46" s="212" t="s">
        <v>112</v>
      </c>
      <c r="X46" s="65" t="s">
        <v>17</v>
      </c>
      <c r="Y46" s="105"/>
      <c r="Z46" s="176"/>
    </row>
    <row r="47" spans="1:27" s="2" customFormat="1" ht="14.1" customHeight="1" x14ac:dyDescent="0.35">
      <c r="A47" s="249" t="s">
        <v>8</v>
      </c>
      <c r="B47" s="202" t="s">
        <v>118</v>
      </c>
      <c r="C47" s="225"/>
      <c r="D47" s="222">
        <v>9193052</v>
      </c>
      <c r="E47" s="178">
        <v>45188</v>
      </c>
      <c r="F47" s="181" t="s">
        <v>38</v>
      </c>
      <c r="G47" s="203">
        <v>45188</v>
      </c>
      <c r="H47" s="186"/>
      <c r="I47" s="184"/>
      <c r="J47" s="184"/>
      <c r="K47" s="184"/>
      <c r="L47" s="184"/>
      <c r="M47" s="186">
        <v>390</v>
      </c>
      <c r="N47" s="184">
        <v>600</v>
      </c>
      <c r="O47" s="186"/>
      <c r="P47" s="204"/>
      <c r="Q47" s="190"/>
      <c r="R47" s="186"/>
      <c r="S47" s="190"/>
      <c r="T47" s="193"/>
      <c r="U47" s="196">
        <f t="shared" si="7"/>
        <v>990</v>
      </c>
      <c r="V47" s="200" t="s">
        <v>25</v>
      </c>
      <c r="W47" s="212" t="s">
        <v>8</v>
      </c>
      <c r="X47" s="65" t="s">
        <v>17</v>
      </c>
      <c r="Y47" s="105"/>
      <c r="Z47" s="176"/>
    </row>
    <row r="48" spans="1:27" s="2" customFormat="1" ht="14.1" customHeight="1" x14ac:dyDescent="0.35">
      <c r="A48" s="249" t="s">
        <v>37</v>
      </c>
      <c r="B48" s="202" t="s">
        <v>119</v>
      </c>
      <c r="C48" s="225"/>
      <c r="D48" s="222">
        <v>9203102</v>
      </c>
      <c r="E48" s="178">
        <v>45189</v>
      </c>
      <c r="F48" s="181" t="s">
        <v>20</v>
      </c>
      <c r="G48" s="203">
        <v>45189</v>
      </c>
      <c r="H48" s="186"/>
      <c r="I48" s="184"/>
      <c r="J48" s="184"/>
      <c r="K48" s="184"/>
      <c r="L48" s="184"/>
      <c r="M48" s="186"/>
      <c r="N48" s="184"/>
      <c r="O48" s="186"/>
      <c r="P48" s="204"/>
      <c r="Q48" s="190"/>
      <c r="R48" s="186">
        <v>188</v>
      </c>
      <c r="S48" s="190">
        <v>50</v>
      </c>
      <c r="T48" s="193">
        <v>16.22</v>
      </c>
      <c r="U48" s="196">
        <f t="shared" si="7"/>
        <v>254.22</v>
      </c>
      <c r="V48" s="200" t="s">
        <v>63</v>
      </c>
      <c r="W48" s="212" t="s">
        <v>37</v>
      </c>
      <c r="X48" s="65" t="s">
        <v>17</v>
      </c>
      <c r="Y48" s="105"/>
      <c r="Z48" s="176"/>
    </row>
    <row r="49" spans="1:27" s="2" customFormat="1" ht="14.1" customHeight="1" x14ac:dyDescent="0.35">
      <c r="A49" s="249" t="s">
        <v>5</v>
      </c>
      <c r="B49" s="202" t="s">
        <v>33</v>
      </c>
      <c r="C49" s="225"/>
      <c r="D49" s="222">
        <v>9213062</v>
      </c>
      <c r="E49" s="178">
        <v>45190</v>
      </c>
      <c r="F49" s="181" t="s">
        <v>20</v>
      </c>
      <c r="G49" s="203">
        <v>45191</v>
      </c>
      <c r="H49" s="186"/>
      <c r="I49" s="184"/>
      <c r="J49" s="184"/>
      <c r="K49" s="184"/>
      <c r="L49" s="184"/>
      <c r="M49" s="186"/>
      <c r="N49" s="184"/>
      <c r="O49" s="186"/>
      <c r="P49" s="204"/>
      <c r="Q49" s="190"/>
      <c r="R49" s="186">
        <v>651</v>
      </c>
      <c r="S49" s="190"/>
      <c r="T49" s="193"/>
      <c r="U49" s="196">
        <f t="shared" si="7"/>
        <v>651</v>
      </c>
      <c r="V49" s="200" t="s">
        <v>63</v>
      </c>
      <c r="W49" s="212" t="s">
        <v>57</v>
      </c>
      <c r="X49" s="65" t="s">
        <v>17</v>
      </c>
      <c r="Y49" s="105"/>
      <c r="Z49" s="176"/>
    </row>
    <row r="50" spans="1:27" s="2" customFormat="1" ht="14.1" customHeight="1" x14ac:dyDescent="0.35">
      <c r="A50" s="249" t="s">
        <v>37</v>
      </c>
      <c r="B50" s="202" t="s">
        <v>120</v>
      </c>
      <c r="C50" s="225"/>
      <c r="D50" s="222">
        <v>9223101</v>
      </c>
      <c r="E50" s="178">
        <v>45191</v>
      </c>
      <c r="F50" s="181" t="s">
        <v>20</v>
      </c>
      <c r="G50" s="203">
        <v>45194</v>
      </c>
      <c r="H50" s="186"/>
      <c r="I50" s="184"/>
      <c r="J50" s="184"/>
      <c r="K50" s="184"/>
      <c r="L50" s="184"/>
      <c r="M50" s="186"/>
      <c r="N50" s="184"/>
      <c r="O50" s="186"/>
      <c r="P50" s="204"/>
      <c r="Q50" s="190"/>
      <c r="R50" s="186">
        <v>182</v>
      </c>
      <c r="S50" s="190">
        <v>50</v>
      </c>
      <c r="T50" s="193">
        <v>15.7</v>
      </c>
      <c r="U50" s="196">
        <f t="shared" si="7"/>
        <v>247.7</v>
      </c>
      <c r="V50" s="200" t="s">
        <v>63</v>
      </c>
      <c r="W50" s="212" t="s">
        <v>5</v>
      </c>
      <c r="X50" s="65" t="s">
        <v>17</v>
      </c>
      <c r="Y50" s="105"/>
      <c r="Z50" s="176"/>
    </row>
    <row r="51" spans="1:27" s="2" customFormat="1" ht="14.1" customHeight="1" x14ac:dyDescent="0.35">
      <c r="A51" s="249" t="s">
        <v>37</v>
      </c>
      <c r="B51" s="202" t="s">
        <v>121</v>
      </c>
      <c r="C51" s="225"/>
      <c r="D51" s="222">
        <v>9223103</v>
      </c>
      <c r="E51" s="178">
        <v>45191</v>
      </c>
      <c r="F51" s="181" t="s">
        <v>20</v>
      </c>
      <c r="G51" s="203">
        <v>45194</v>
      </c>
      <c r="H51" s="186"/>
      <c r="I51" s="184"/>
      <c r="J51" s="184"/>
      <c r="K51" s="184"/>
      <c r="L51" s="184"/>
      <c r="M51" s="186"/>
      <c r="N51" s="184"/>
      <c r="O51" s="186"/>
      <c r="P51" s="204"/>
      <c r="Q51" s="190"/>
      <c r="R51" s="186">
        <v>505</v>
      </c>
      <c r="S51" s="190">
        <v>112.5</v>
      </c>
      <c r="T51" s="193">
        <v>46.71</v>
      </c>
      <c r="U51" s="196">
        <f t="shared" si="7"/>
        <v>664.21</v>
      </c>
      <c r="V51" s="200" t="s">
        <v>63</v>
      </c>
      <c r="W51" s="212" t="s">
        <v>57</v>
      </c>
      <c r="X51" s="65" t="s">
        <v>122</v>
      </c>
      <c r="Y51" s="105"/>
      <c r="Z51" s="176"/>
    </row>
    <row r="52" spans="1:27" s="2" customFormat="1" ht="14.1" customHeight="1" x14ac:dyDescent="0.35">
      <c r="A52" s="249" t="s">
        <v>37</v>
      </c>
      <c r="B52" s="202" t="s">
        <v>123</v>
      </c>
      <c r="C52" s="225"/>
      <c r="D52" s="222">
        <v>9253102</v>
      </c>
      <c r="E52" s="178">
        <v>45194</v>
      </c>
      <c r="F52" s="181" t="s">
        <v>20</v>
      </c>
      <c r="G52" s="203">
        <v>45194</v>
      </c>
      <c r="H52" s="186"/>
      <c r="I52" s="184"/>
      <c r="J52" s="184"/>
      <c r="K52" s="184"/>
      <c r="L52" s="184"/>
      <c r="M52" s="186"/>
      <c r="N52" s="184"/>
      <c r="O52" s="186"/>
      <c r="P52" s="204"/>
      <c r="Q52" s="190"/>
      <c r="R52" s="186">
        <v>65</v>
      </c>
      <c r="S52" s="190">
        <v>12.5</v>
      </c>
      <c r="T52" s="193">
        <v>5.53</v>
      </c>
      <c r="U52" s="196">
        <f t="shared" si="7"/>
        <v>83.03</v>
      </c>
      <c r="V52" s="200" t="s">
        <v>63</v>
      </c>
      <c r="W52" s="212" t="s">
        <v>37</v>
      </c>
      <c r="X52" s="65" t="s">
        <v>17</v>
      </c>
      <c r="Y52" s="105"/>
      <c r="Z52" s="176"/>
    </row>
    <row r="53" spans="1:27" s="2" customFormat="1" ht="14.1" customHeight="1" x14ac:dyDescent="0.35">
      <c r="A53" s="249" t="s">
        <v>37</v>
      </c>
      <c r="B53" s="202" t="s">
        <v>124</v>
      </c>
      <c r="C53" s="225"/>
      <c r="D53" s="222">
        <v>9253107</v>
      </c>
      <c r="E53" s="178">
        <v>45194</v>
      </c>
      <c r="F53" s="181" t="s">
        <v>20</v>
      </c>
      <c r="G53" s="203">
        <v>45194</v>
      </c>
      <c r="H53" s="186"/>
      <c r="I53" s="184"/>
      <c r="J53" s="184"/>
      <c r="K53" s="184"/>
      <c r="L53" s="184"/>
      <c r="M53" s="186"/>
      <c r="N53" s="184"/>
      <c r="O53" s="186"/>
      <c r="P53" s="204"/>
      <c r="Q53" s="190"/>
      <c r="R53" s="186">
        <v>220</v>
      </c>
      <c r="S53" s="190">
        <v>50</v>
      </c>
      <c r="T53" s="193">
        <v>20.239999999999998</v>
      </c>
      <c r="U53" s="196">
        <f t="shared" si="7"/>
        <v>290.24</v>
      </c>
      <c r="V53" s="200" t="s">
        <v>63</v>
      </c>
      <c r="W53" s="212" t="s">
        <v>37</v>
      </c>
      <c r="X53" s="65" t="s">
        <v>17</v>
      </c>
      <c r="Y53" s="105"/>
      <c r="Z53" s="176"/>
    </row>
    <row r="54" spans="1:27" s="2" customFormat="1" ht="14.1" customHeight="1" x14ac:dyDescent="0.35">
      <c r="A54" s="249" t="s">
        <v>37</v>
      </c>
      <c r="B54" s="202" t="s">
        <v>125</v>
      </c>
      <c r="C54" s="225" t="s">
        <v>126</v>
      </c>
      <c r="D54" s="222">
        <v>9253108</v>
      </c>
      <c r="E54" s="178">
        <v>45194</v>
      </c>
      <c r="F54" s="181" t="s">
        <v>20</v>
      </c>
      <c r="G54" s="203">
        <v>45194</v>
      </c>
      <c r="H54" s="186"/>
      <c r="I54" s="184"/>
      <c r="J54" s="184"/>
      <c r="K54" s="184"/>
      <c r="L54" s="184"/>
      <c r="M54" s="186"/>
      <c r="N54" s="184"/>
      <c r="O54" s="186"/>
      <c r="P54" s="204"/>
      <c r="Q54" s="190"/>
      <c r="R54" s="186">
        <v>180</v>
      </c>
      <c r="S54" s="190">
        <v>50</v>
      </c>
      <c r="T54" s="193">
        <v>15.08</v>
      </c>
      <c r="U54" s="196">
        <f t="shared" si="7"/>
        <v>245.08</v>
      </c>
      <c r="V54" s="200" t="s">
        <v>63</v>
      </c>
      <c r="W54" s="212" t="s">
        <v>37</v>
      </c>
      <c r="X54" s="65" t="s">
        <v>17</v>
      </c>
      <c r="Y54" s="105"/>
      <c r="Z54" s="176"/>
    </row>
    <row r="55" spans="1:27" s="2" customFormat="1" ht="14.1" customHeight="1" x14ac:dyDescent="0.35">
      <c r="A55" s="249" t="s">
        <v>36</v>
      </c>
      <c r="B55" s="202" t="s">
        <v>127</v>
      </c>
      <c r="C55" s="225" t="s">
        <v>128</v>
      </c>
      <c r="D55" s="222">
        <v>9263251</v>
      </c>
      <c r="E55" s="178">
        <v>45195</v>
      </c>
      <c r="F55" s="181" t="s">
        <v>129</v>
      </c>
      <c r="G55" s="203">
        <v>45195</v>
      </c>
      <c r="H55" s="186">
        <v>3512.67</v>
      </c>
      <c r="I55" s="184"/>
      <c r="J55" s="184">
        <v>1440</v>
      </c>
      <c r="K55" s="184"/>
      <c r="L55" s="184"/>
      <c r="M55" s="186"/>
      <c r="N55" s="184"/>
      <c r="O55" s="186"/>
      <c r="P55" s="204"/>
      <c r="Q55" s="190"/>
      <c r="R55" s="186"/>
      <c r="S55" s="190"/>
      <c r="T55" s="193">
        <v>377.61</v>
      </c>
      <c r="U55" s="196">
        <f t="shared" si="7"/>
        <v>5330.28</v>
      </c>
      <c r="V55" s="200" t="s">
        <v>7</v>
      </c>
      <c r="W55" s="212" t="s">
        <v>36</v>
      </c>
      <c r="X55" s="65" t="s">
        <v>17</v>
      </c>
      <c r="Y55" s="105"/>
      <c r="Z55" s="176"/>
    </row>
    <row r="56" spans="1:27" s="2" customFormat="1" ht="14.1" customHeight="1" thickBot="1" x14ac:dyDescent="0.4">
      <c r="A56" s="249" t="s">
        <v>8</v>
      </c>
      <c r="B56" s="202" t="s">
        <v>86</v>
      </c>
      <c r="C56" s="225"/>
      <c r="D56" s="222">
        <v>9263051</v>
      </c>
      <c r="E56" s="178">
        <v>45195</v>
      </c>
      <c r="F56" s="181" t="s">
        <v>130</v>
      </c>
      <c r="G56" s="203">
        <v>45197</v>
      </c>
      <c r="H56" s="186">
        <v>99</v>
      </c>
      <c r="I56" s="184"/>
      <c r="J56" s="184"/>
      <c r="K56" s="184"/>
      <c r="L56" s="184"/>
      <c r="M56" s="186"/>
      <c r="N56" s="184"/>
      <c r="O56" s="186"/>
      <c r="P56" s="204"/>
      <c r="Q56" s="190"/>
      <c r="R56" s="186"/>
      <c r="S56" s="190"/>
      <c r="T56" s="193">
        <v>8.42</v>
      </c>
      <c r="U56" s="196">
        <f t="shared" si="7"/>
        <v>107.42</v>
      </c>
      <c r="V56" s="200" t="s">
        <v>7</v>
      </c>
      <c r="W56" s="212" t="s">
        <v>8</v>
      </c>
      <c r="X56" s="65" t="s">
        <v>17</v>
      </c>
      <c r="Y56" s="105"/>
      <c r="Z56" s="176"/>
    </row>
    <row r="57" spans="1:27" s="2" customFormat="1" ht="14.1" customHeight="1" thickBot="1" x14ac:dyDescent="0.25">
      <c r="A57" s="171"/>
      <c r="B57" s="172"/>
      <c r="C57" s="173"/>
      <c r="D57" s="173"/>
      <c r="E57" s="205"/>
      <c r="F57" s="206"/>
      <c r="G57" s="174"/>
      <c r="H57" s="207"/>
      <c r="I57" s="207"/>
      <c r="J57" s="208"/>
      <c r="K57" s="208"/>
      <c r="L57" s="208"/>
      <c r="M57" s="207"/>
      <c r="N57" s="207"/>
      <c r="O57" s="207"/>
      <c r="P57" s="50"/>
      <c r="Q57" s="216"/>
      <c r="R57" s="207"/>
      <c r="S57" s="216"/>
      <c r="T57" s="209"/>
      <c r="U57" s="210"/>
      <c r="V57" s="211"/>
      <c r="W57" s="84"/>
      <c r="X57" s="84"/>
      <c r="Y57" s="256">
        <f>SUM(U42:U56)</f>
        <v>9868.7999999999993</v>
      </c>
      <c r="Z57" s="231">
        <f>Y57/V102</f>
        <v>0.34850140300347976</v>
      </c>
      <c r="AA57" s="176"/>
    </row>
    <row r="58" spans="1:27" s="2" customFormat="1" ht="14.1" customHeight="1" x14ac:dyDescent="0.2">
      <c r="A58" s="249" t="s">
        <v>8</v>
      </c>
      <c r="B58" s="202" t="s">
        <v>68</v>
      </c>
      <c r="C58" s="225"/>
      <c r="D58" s="222">
        <v>10013051</v>
      </c>
      <c r="E58" s="178">
        <v>45200</v>
      </c>
      <c r="F58" s="181" t="s">
        <v>72</v>
      </c>
      <c r="G58" s="203">
        <v>45201</v>
      </c>
      <c r="H58" s="186"/>
      <c r="I58" s="184"/>
      <c r="J58" s="184"/>
      <c r="K58" s="184"/>
      <c r="L58" s="184"/>
      <c r="M58" s="186">
        <v>49</v>
      </c>
      <c r="N58" s="184">
        <v>39</v>
      </c>
      <c r="O58" s="186"/>
      <c r="P58" s="204"/>
      <c r="Q58" s="190"/>
      <c r="R58" s="186"/>
      <c r="S58" s="190"/>
      <c r="T58" s="193"/>
      <c r="U58" s="196">
        <f t="shared" ref="U58:U99" si="8">SUM(H58:T58)</f>
        <v>88</v>
      </c>
      <c r="V58" s="200" t="s">
        <v>25</v>
      </c>
      <c r="W58" s="212" t="s">
        <v>8</v>
      </c>
      <c r="X58" s="65" t="s">
        <v>17</v>
      </c>
      <c r="Y58" s="176"/>
    </row>
    <row r="59" spans="1:27" s="2" customFormat="1" ht="14.1" customHeight="1" x14ac:dyDescent="0.2">
      <c r="A59" s="249" t="s">
        <v>37</v>
      </c>
      <c r="B59" s="202" t="s">
        <v>132</v>
      </c>
      <c r="C59" s="225" t="s">
        <v>133</v>
      </c>
      <c r="D59" s="222">
        <v>10033104</v>
      </c>
      <c r="E59" s="178">
        <v>45202</v>
      </c>
      <c r="F59" s="181" t="s">
        <v>20</v>
      </c>
      <c r="G59" s="203">
        <v>45202</v>
      </c>
      <c r="H59" s="186"/>
      <c r="I59" s="184"/>
      <c r="J59" s="184"/>
      <c r="K59" s="184"/>
      <c r="L59" s="184"/>
      <c r="M59" s="186"/>
      <c r="N59" s="184"/>
      <c r="O59" s="186"/>
      <c r="P59" s="204"/>
      <c r="Q59" s="190"/>
      <c r="R59" s="186">
        <v>55</v>
      </c>
      <c r="S59" s="190">
        <v>12.5</v>
      </c>
      <c r="T59" s="193">
        <v>4.74</v>
      </c>
      <c r="U59" s="196">
        <f t="shared" si="8"/>
        <v>72.239999999999995</v>
      </c>
      <c r="V59" s="200" t="s">
        <v>63</v>
      </c>
      <c r="W59" s="212" t="s">
        <v>37</v>
      </c>
      <c r="X59" s="65" t="s">
        <v>17</v>
      </c>
      <c r="Y59" s="176"/>
    </row>
    <row r="60" spans="1:27" s="2" customFormat="1" ht="14.1" customHeight="1" x14ac:dyDescent="0.2">
      <c r="A60" s="249" t="s">
        <v>37</v>
      </c>
      <c r="B60" s="202" t="s">
        <v>78</v>
      </c>
      <c r="C60" s="225"/>
      <c r="D60" s="222">
        <v>10333105</v>
      </c>
      <c r="E60" s="178">
        <v>45202</v>
      </c>
      <c r="F60" s="181" t="s">
        <v>20</v>
      </c>
      <c r="G60" s="203">
        <v>45202</v>
      </c>
      <c r="H60" s="186"/>
      <c r="I60" s="184"/>
      <c r="J60" s="184"/>
      <c r="K60" s="184"/>
      <c r="L60" s="184"/>
      <c r="M60" s="186"/>
      <c r="N60" s="184"/>
      <c r="O60" s="186"/>
      <c r="P60" s="204"/>
      <c r="Q60" s="190"/>
      <c r="R60" s="186">
        <v>285</v>
      </c>
      <c r="S60" s="190"/>
      <c r="T60" s="193">
        <v>26.36</v>
      </c>
      <c r="U60" s="196">
        <f t="shared" si="8"/>
        <v>311.36</v>
      </c>
      <c r="V60" s="200" t="s">
        <v>32</v>
      </c>
      <c r="W60" s="212" t="s">
        <v>136</v>
      </c>
      <c r="X60" s="65" t="s">
        <v>17</v>
      </c>
      <c r="Y60" s="176"/>
    </row>
    <row r="61" spans="1:27" s="2" customFormat="1" ht="14.1" customHeight="1" x14ac:dyDescent="0.2">
      <c r="A61" s="249" t="s">
        <v>37</v>
      </c>
      <c r="B61" s="202" t="s">
        <v>137</v>
      </c>
      <c r="C61" s="225"/>
      <c r="D61" s="222">
        <v>10033109</v>
      </c>
      <c r="E61" s="178">
        <v>45202</v>
      </c>
      <c r="F61" s="181" t="s">
        <v>20</v>
      </c>
      <c r="G61" s="203">
        <v>45203</v>
      </c>
      <c r="H61" s="186"/>
      <c r="I61" s="184"/>
      <c r="J61" s="184"/>
      <c r="K61" s="184"/>
      <c r="L61" s="184"/>
      <c r="M61" s="186"/>
      <c r="N61" s="184"/>
      <c r="O61" s="186"/>
      <c r="P61" s="204"/>
      <c r="Q61" s="190"/>
      <c r="R61" s="186">
        <v>182</v>
      </c>
      <c r="S61" s="190">
        <v>50</v>
      </c>
      <c r="T61" s="193">
        <v>14.11</v>
      </c>
      <c r="U61" s="196">
        <f t="shared" si="8"/>
        <v>246.11</v>
      </c>
      <c r="V61" s="200" t="s">
        <v>63</v>
      </c>
      <c r="W61" s="212" t="s">
        <v>112</v>
      </c>
      <c r="X61" s="65" t="s">
        <v>17</v>
      </c>
      <c r="Y61" s="176"/>
    </row>
    <row r="62" spans="1:27" s="2" customFormat="1" ht="14.1" customHeight="1" x14ac:dyDescent="0.2">
      <c r="A62" s="249" t="s">
        <v>37</v>
      </c>
      <c r="B62" s="202" t="s">
        <v>100</v>
      </c>
      <c r="C62" s="225"/>
      <c r="D62" s="222">
        <v>10033111</v>
      </c>
      <c r="E62" s="178">
        <v>45202</v>
      </c>
      <c r="F62" s="181" t="s">
        <v>20</v>
      </c>
      <c r="G62" s="203">
        <v>45203</v>
      </c>
      <c r="H62" s="186"/>
      <c r="I62" s="184"/>
      <c r="J62" s="184"/>
      <c r="K62" s="184"/>
      <c r="L62" s="184"/>
      <c r="M62" s="186"/>
      <c r="N62" s="184"/>
      <c r="O62" s="186"/>
      <c r="P62" s="204"/>
      <c r="Q62" s="190"/>
      <c r="R62" s="186">
        <v>149</v>
      </c>
      <c r="S62" s="190">
        <v>37.5</v>
      </c>
      <c r="T62" s="193">
        <v>12.29</v>
      </c>
      <c r="U62" s="196">
        <f t="shared" si="8"/>
        <v>198.79</v>
      </c>
      <c r="V62" s="200" t="s">
        <v>63</v>
      </c>
      <c r="W62" s="212" t="s">
        <v>37</v>
      </c>
      <c r="X62" s="65" t="s">
        <v>17</v>
      </c>
      <c r="Y62" s="176"/>
    </row>
    <row r="63" spans="1:27" s="2" customFormat="1" ht="14.1" customHeight="1" x14ac:dyDescent="0.2">
      <c r="A63" s="249" t="s">
        <v>139</v>
      </c>
      <c r="B63" s="202" t="s">
        <v>140</v>
      </c>
      <c r="C63" s="225"/>
      <c r="D63" s="222">
        <v>10053102</v>
      </c>
      <c r="E63" s="178">
        <v>45204</v>
      </c>
      <c r="F63" s="181" t="s">
        <v>20</v>
      </c>
      <c r="G63" s="203">
        <v>45204</v>
      </c>
      <c r="H63" s="186"/>
      <c r="I63" s="184"/>
      <c r="J63" s="184"/>
      <c r="K63" s="184"/>
      <c r="L63" s="184"/>
      <c r="M63" s="186"/>
      <c r="N63" s="184"/>
      <c r="O63" s="186"/>
      <c r="P63" s="204"/>
      <c r="Q63" s="190"/>
      <c r="R63" s="186">
        <v>65</v>
      </c>
      <c r="S63" s="190">
        <v>12.5</v>
      </c>
      <c r="T63" s="193">
        <v>6.66</v>
      </c>
      <c r="U63" s="196">
        <f t="shared" si="8"/>
        <v>84.16</v>
      </c>
      <c r="V63" s="200" t="s">
        <v>63</v>
      </c>
      <c r="W63" s="212" t="s">
        <v>112</v>
      </c>
      <c r="X63" s="65" t="s">
        <v>17</v>
      </c>
      <c r="Y63" s="176"/>
    </row>
    <row r="64" spans="1:27" s="2" customFormat="1" ht="14.1" customHeight="1" x14ac:dyDescent="0.2">
      <c r="A64" s="249" t="s">
        <v>37</v>
      </c>
      <c r="B64" s="202" t="s">
        <v>141</v>
      </c>
      <c r="C64" s="225" t="s">
        <v>142</v>
      </c>
      <c r="D64" s="222">
        <v>10053103</v>
      </c>
      <c r="E64" s="178">
        <v>45204</v>
      </c>
      <c r="F64" s="181" t="s">
        <v>20</v>
      </c>
      <c r="G64" s="203">
        <v>45204</v>
      </c>
      <c r="H64" s="186"/>
      <c r="I64" s="184"/>
      <c r="J64" s="184"/>
      <c r="K64" s="184"/>
      <c r="L64" s="184"/>
      <c r="M64" s="186"/>
      <c r="N64" s="184"/>
      <c r="O64" s="186"/>
      <c r="P64" s="204"/>
      <c r="Q64" s="190"/>
      <c r="R64" s="186">
        <v>155</v>
      </c>
      <c r="S64" s="190">
        <v>25</v>
      </c>
      <c r="T64" s="193"/>
      <c r="U64" s="196">
        <f t="shared" si="8"/>
        <v>180</v>
      </c>
      <c r="V64" s="200" t="s">
        <v>63</v>
      </c>
      <c r="W64" s="212" t="s">
        <v>112</v>
      </c>
      <c r="X64" s="65" t="s">
        <v>17</v>
      </c>
      <c r="Y64" s="176"/>
    </row>
    <row r="65" spans="1:25" s="2" customFormat="1" ht="14.1" customHeight="1" x14ac:dyDescent="0.2">
      <c r="A65" s="241" t="s">
        <v>37</v>
      </c>
      <c r="B65" s="3" t="s">
        <v>143</v>
      </c>
      <c r="C65" s="4"/>
      <c r="D65" s="52">
        <v>10093103</v>
      </c>
      <c r="E65" s="98">
        <v>45208</v>
      </c>
      <c r="F65" s="44" t="s">
        <v>20</v>
      </c>
      <c r="G65" s="61">
        <v>45208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55</v>
      </c>
      <c r="S65" s="43">
        <v>12.5</v>
      </c>
      <c r="T65" s="32">
        <v>5.09</v>
      </c>
      <c r="U65" s="53">
        <f t="shared" si="8"/>
        <v>72.59</v>
      </c>
      <c r="V65" s="64" t="s">
        <v>63</v>
      </c>
      <c r="W65" s="2" t="s">
        <v>5</v>
      </c>
      <c r="X65" s="65" t="s">
        <v>17</v>
      </c>
      <c r="Y65" s="176"/>
    </row>
    <row r="66" spans="1:25" s="2" customFormat="1" ht="14.1" customHeight="1" x14ac:dyDescent="0.2">
      <c r="A66" s="241" t="s">
        <v>5</v>
      </c>
      <c r="B66" s="3" t="s">
        <v>33</v>
      </c>
      <c r="C66" s="4">
        <v>366681</v>
      </c>
      <c r="D66" s="52">
        <v>10093064</v>
      </c>
      <c r="E66" s="98">
        <v>45208</v>
      </c>
      <c r="F66" s="44" t="s">
        <v>20</v>
      </c>
      <c r="G66" s="61">
        <v>45208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1035</v>
      </c>
      <c r="S66" s="43"/>
      <c r="T66" s="32"/>
      <c r="U66" s="53">
        <f t="shared" si="8"/>
        <v>1035</v>
      </c>
      <c r="V66" s="64" t="s">
        <v>63</v>
      </c>
      <c r="W66" s="2" t="s">
        <v>5</v>
      </c>
      <c r="X66" s="65" t="s">
        <v>17</v>
      </c>
      <c r="Y66" s="176"/>
    </row>
    <row r="67" spans="1:25" s="2" customFormat="1" ht="14.1" customHeight="1" x14ac:dyDescent="0.2">
      <c r="A67" s="241" t="s">
        <v>5</v>
      </c>
      <c r="B67" s="3" t="s">
        <v>33</v>
      </c>
      <c r="C67" s="4">
        <v>366680</v>
      </c>
      <c r="D67" s="52">
        <v>10093065</v>
      </c>
      <c r="E67" s="98">
        <v>45208</v>
      </c>
      <c r="F67" s="44" t="s">
        <v>20</v>
      </c>
      <c r="G67" s="61">
        <v>45208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286</v>
      </c>
      <c r="S67" s="43"/>
      <c r="T67" s="32"/>
      <c r="U67" s="53">
        <f t="shared" si="8"/>
        <v>286</v>
      </c>
      <c r="V67" s="64" t="s">
        <v>63</v>
      </c>
      <c r="W67" s="2" t="s">
        <v>5</v>
      </c>
      <c r="X67" s="65" t="s">
        <v>17</v>
      </c>
      <c r="Y67" s="176"/>
    </row>
    <row r="68" spans="1:25" s="2" customFormat="1" ht="14.1" customHeight="1" x14ac:dyDescent="0.2">
      <c r="A68" s="241" t="s">
        <v>37</v>
      </c>
      <c r="B68" s="3" t="s">
        <v>101</v>
      </c>
      <c r="C68" s="4"/>
      <c r="D68" s="52">
        <v>10103101</v>
      </c>
      <c r="E68" s="98">
        <v>45209</v>
      </c>
      <c r="F68" s="44" t="s">
        <v>20</v>
      </c>
      <c r="G68" s="61">
        <v>45209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78</v>
      </c>
      <c r="S68" s="43">
        <v>12.5</v>
      </c>
      <c r="T68" s="32">
        <v>8</v>
      </c>
      <c r="U68" s="53">
        <f t="shared" si="8"/>
        <v>98.5</v>
      </c>
      <c r="V68" s="64" t="s">
        <v>63</v>
      </c>
      <c r="W68" s="2" t="s">
        <v>112</v>
      </c>
      <c r="X68" s="65" t="s">
        <v>17</v>
      </c>
      <c r="Y68" s="176"/>
    </row>
    <row r="69" spans="1:25" s="2" customFormat="1" ht="14.1" customHeight="1" x14ac:dyDescent="0.2">
      <c r="A69" s="241" t="s">
        <v>37</v>
      </c>
      <c r="B69" s="3" t="s">
        <v>145</v>
      </c>
      <c r="C69" s="4" t="s">
        <v>111</v>
      </c>
      <c r="D69" s="52">
        <v>10103103</v>
      </c>
      <c r="E69" s="98">
        <v>45209</v>
      </c>
      <c r="F69" s="44" t="s">
        <v>20</v>
      </c>
      <c r="G69" s="61">
        <v>45209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168</v>
      </c>
      <c r="S69" s="43">
        <v>37.5</v>
      </c>
      <c r="T69" s="32">
        <v>14.49</v>
      </c>
      <c r="U69" s="53">
        <f t="shared" si="8"/>
        <v>219.99</v>
      </c>
      <c r="V69" s="64" t="s">
        <v>63</v>
      </c>
      <c r="W69" s="2" t="s">
        <v>112</v>
      </c>
      <c r="X69" s="65" t="s">
        <v>17</v>
      </c>
      <c r="Y69" s="176"/>
    </row>
    <row r="70" spans="1:25" s="2" customFormat="1" ht="14.1" customHeight="1" x14ac:dyDescent="0.2">
      <c r="A70" s="241" t="s">
        <v>5</v>
      </c>
      <c r="B70" s="3" t="s">
        <v>96</v>
      </c>
      <c r="C70" s="4"/>
      <c r="D70" s="52">
        <v>10043062</v>
      </c>
      <c r="E70" s="98">
        <v>45203</v>
      </c>
      <c r="F70" s="44" t="s">
        <v>144</v>
      </c>
      <c r="G70" s="61">
        <v>45210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390</v>
      </c>
      <c r="S70" s="43"/>
      <c r="T70" s="32"/>
      <c r="U70" s="53">
        <f t="shared" si="8"/>
        <v>390</v>
      </c>
      <c r="V70" s="64" t="s">
        <v>32</v>
      </c>
      <c r="W70" s="2" t="s">
        <v>146</v>
      </c>
      <c r="X70" s="65" t="s">
        <v>17</v>
      </c>
      <c r="Y70" s="176"/>
    </row>
    <row r="71" spans="1:25" s="2" customFormat="1" ht="14.1" customHeight="1" x14ac:dyDescent="0.2">
      <c r="A71" s="241" t="s">
        <v>37</v>
      </c>
      <c r="B71" s="3" t="s">
        <v>109</v>
      </c>
      <c r="C71" s="4"/>
      <c r="D71" s="52">
        <v>10113101</v>
      </c>
      <c r="E71" s="98">
        <v>45210</v>
      </c>
      <c r="F71" s="44" t="s">
        <v>20</v>
      </c>
      <c r="G71" s="61">
        <v>45210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175</v>
      </c>
      <c r="S71" s="43">
        <v>67.5</v>
      </c>
      <c r="T71" s="32">
        <v>16.190000000000001</v>
      </c>
      <c r="U71" s="53">
        <f t="shared" si="8"/>
        <v>258.69</v>
      </c>
      <c r="V71" s="64" t="s">
        <v>63</v>
      </c>
      <c r="W71" s="2" t="s">
        <v>112</v>
      </c>
      <c r="X71" s="65" t="s">
        <v>17</v>
      </c>
      <c r="Y71" s="176"/>
    </row>
    <row r="72" spans="1:25" s="2" customFormat="1" ht="14.1" customHeight="1" x14ac:dyDescent="0.2">
      <c r="A72" s="241" t="s">
        <v>8</v>
      </c>
      <c r="B72" s="3" t="s">
        <v>147</v>
      </c>
      <c r="C72" s="4"/>
      <c r="D72" s="52">
        <v>9193014</v>
      </c>
      <c r="E72" s="98">
        <v>45210</v>
      </c>
      <c r="F72" s="44" t="s">
        <v>95</v>
      </c>
      <c r="G72" s="61">
        <v>45212</v>
      </c>
      <c r="H72" s="42"/>
      <c r="I72" s="28"/>
      <c r="J72" s="28"/>
      <c r="K72" s="28"/>
      <c r="L72" s="28"/>
      <c r="M72" s="42"/>
      <c r="N72" s="28"/>
      <c r="O72" s="42"/>
      <c r="P72" s="7">
        <v>720</v>
      </c>
      <c r="Q72" s="43"/>
      <c r="R72" s="42"/>
      <c r="S72" s="43"/>
      <c r="T72" s="32"/>
      <c r="U72" s="53">
        <f t="shared" si="8"/>
        <v>720</v>
      </c>
      <c r="V72" s="64" t="s">
        <v>7</v>
      </c>
      <c r="W72" s="2" t="s">
        <v>36</v>
      </c>
      <c r="X72" s="65" t="s">
        <v>17</v>
      </c>
      <c r="Y72" s="176"/>
    </row>
    <row r="73" spans="1:25" s="2" customFormat="1" ht="14.1" customHeight="1" x14ac:dyDescent="0.2">
      <c r="A73" s="241" t="s">
        <v>37</v>
      </c>
      <c r="B73" s="3" t="s">
        <v>148</v>
      </c>
      <c r="C73" s="4" t="s">
        <v>149</v>
      </c>
      <c r="D73" s="52">
        <v>10113102</v>
      </c>
      <c r="E73" s="98">
        <v>45210</v>
      </c>
      <c r="F73" s="44" t="s">
        <v>20</v>
      </c>
      <c r="G73" s="61">
        <v>45212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195</v>
      </c>
      <c r="S73" s="43">
        <v>37.5</v>
      </c>
      <c r="T73" s="32">
        <v>19.010000000000002</v>
      </c>
      <c r="U73" s="53">
        <f t="shared" si="8"/>
        <v>251.51</v>
      </c>
      <c r="V73" s="64" t="s">
        <v>63</v>
      </c>
      <c r="W73" s="2" t="s">
        <v>112</v>
      </c>
      <c r="X73" s="65" t="s">
        <v>17</v>
      </c>
      <c r="Y73" s="176"/>
    </row>
    <row r="74" spans="1:25" s="2" customFormat="1" ht="14.1" customHeight="1" x14ac:dyDescent="0.2">
      <c r="A74" s="241" t="s">
        <v>37</v>
      </c>
      <c r="B74" s="3" t="s">
        <v>140</v>
      </c>
      <c r="C74" s="4"/>
      <c r="D74" s="52">
        <v>10123101</v>
      </c>
      <c r="E74" s="98">
        <v>45211</v>
      </c>
      <c r="F74" s="44" t="s">
        <v>20</v>
      </c>
      <c r="G74" s="61">
        <v>45212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45</v>
      </c>
      <c r="S74" s="43">
        <v>12.5</v>
      </c>
      <c r="T74" s="32">
        <v>4.6100000000000003</v>
      </c>
      <c r="U74" s="53">
        <f t="shared" si="8"/>
        <v>62.11</v>
      </c>
      <c r="V74" s="64" t="s">
        <v>63</v>
      </c>
      <c r="W74" s="2" t="s">
        <v>37</v>
      </c>
      <c r="X74" s="65" t="s">
        <v>17</v>
      </c>
      <c r="Y74" s="176"/>
    </row>
    <row r="75" spans="1:25" s="2" customFormat="1" ht="14.1" customHeight="1" x14ac:dyDescent="0.2">
      <c r="A75" s="241" t="s">
        <v>37</v>
      </c>
      <c r="B75" s="3" t="s">
        <v>150</v>
      </c>
      <c r="C75" s="4" t="s">
        <v>151</v>
      </c>
      <c r="D75" s="52">
        <v>10123102</v>
      </c>
      <c r="E75" s="98">
        <v>45211</v>
      </c>
      <c r="F75" s="44" t="s">
        <v>20</v>
      </c>
      <c r="G75" s="61">
        <v>45212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39</v>
      </c>
      <c r="S75" s="43">
        <v>12.5</v>
      </c>
      <c r="T75" s="32">
        <v>3.36</v>
      </c>
      <c r="U75" s="53">
        <f t="shared" si="8"/>
        <v>54.86</v>
      </c>
      <c r="V75" s="64" t="s">
        <v>63</v>
      </c>
      <c r="W75" s="2" t="s">
        <v>37</v>
      </c>
      <c r="X75" s="65" t="s">
        <v>17</v>
      </c>
      <c r="Y75" s="176"/>
    </row>
    <row r="76" spans="1:25" s="2" customFormat="1" ht="14.1" customHeight="1" x14ac:dyDescent="0.2">
      <c r="A76" s="241" t="s">
        <v>37</v>
      </c>
      <c r="B76" s="3" t="s">
        <v>152</v>
      </c>
      <c r="C76" s="4" t="s">
        <v>111</v>
      </c>
      <c r="D76" s="52">
        <v>10123103</v>
      </c>
      <c r="E76" s="98">
        <v>45211</v>
      </c>
      <c r="F76" s="44" t="s">
        <v>20</v>
      </c>
      <c r="G76" s="61">
        <v>45212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214</v>
      </c>
      <c r="S76" s="43">
        <v>50</v>
      </c>
      <c r="T76" s="32">
        <v>18.46</v>
      </c>
      <c r="U76" s="53">
        <f t="shared" si="8"/>
        <v>282.45999999999998</v>
      </c>
      <c r="V76" s="64" t="s">
        <v>63</v>
      </c>
      <c r="W76" s="2" t="s">
        <v>37</v>
      </c>
      <c r="X76" s="65" t="s">
        <v>17</v>
      </c>
      <c r="Y76" s="176"/>
    </row>
    <row r="77" spans="1:25" s="2" customFormat="1" ht="14.1" customHeight="1" x14ac:dyDescent="0.2">
      <c r="A77" s="241" t="s">
        <v>37</v>
      </c>
      <c r="B77" s="3" t="s">
        <v>153</v>
      </c>
      <c r="C77" s="4"/>
      <c r="D77" s="52">
        <v>10133101</v>
      </c>
      <c r="E77" s="98">
        <v>45212</v>
      </c>
      <c r="F77" s="44" t="s">
        <v>20</v>
      </c>
      <c r="G77" s="61">
        <v>45212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331</v>
      </c>
      <c r="S77" s="43">
        <v>50</v>
      </c>
      <c r="T77" s="32">
        <v>28.55</v>
      </c>
      <c r="U77" s="53">
        <f t="shared" si="8"/>
        <v>409.55</v>
      </c>
      <c r="V77" s="64" t="s">
        <v>63</v>
      </c>
      <c r="W77" s="2" t="s">
        <v>57</v>
      </c>
      <c r="X77" s="65" t="s">
        <v>17</v>
      </c>
      <c r="Y77" s="176"/>
    </row>
    <row r="78" spans="1:25" s="2" customFormat="1" ht="14.1" customHeight="1" x14ac:dyDescent="0.2">
      <c r="A78" s="241" t="s">
        <v>37</v>
      </c>
      <c r="B78" s="3" t="s">
        <v>154</v>
      </c>
      <c r="C78" s="4"/>
      <c r="D78" s="52">
        <v>10163103</v>
      </c>
      <c r="E78" s="98">
        <v>45215</v>
      </c>
      <c r="F78" s="44" t="s">
        <v>20</v>
      </c>
      <c r="G78" s="61">
        <v>45215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250</v>
      </c>
      <c r="S78" s="43">
        <v>50</v>
      </c>
      <c r="T78" s="32">
        <v>19.38</v>
      </c>
      <c r="U78" s="53">
        <f t="shared" si="8"/>
        <v>319.38</v>
      </c>
      <c r="V78" s="64" t="s">
        <v>63</v>
      </c>
      <c r="W78" s="2" t="s">
        <v>112</v>
      </c>
      <c r="X78" s="65" t="s">
        <v>17</v>
      </c>
      <c r="Y78" s="176"/>
    </row>
    <row r="79" spans="1:25" s="2" customFormat="1" ht="14.1" customHeight="1" x14ac:dyDescent="0.2">
      <c r="A79" s="241" t="s">
        <v>5</v>
      </c>
      <c r="B79" s="3" t="s">
        <v>155</v>
      </c>
      <c r="C79" s="4" t="s">
        <v>156</v>
      </c>
      <c r="D79" s="52">
        <v>10153051</v>
      </c>
      <c r="E79" s="98">
        <v>45214</v>
      </c>
      <c r="F79" s="44" t="s">
        <v>89</v>
      </c>
      <c r="G79" s="61">
        <v>45216</v>
      </c>
      <c r="H79" s="42"/>
      <c r="I79" s="28"/>
      <c r="J79" s="28"/>
      <c r="K79" s="28"/>
      <c r="L79" s="28"/>
      <c r="M79" s="42">
        <v>95</v>
      </c>
      <c r="N79" s="28"/>
      <c r="O79" s="42"/>
      <c r="P79" s="7"/>
      <c r="Q79" s="43"/>
      <c r="R79" s="42"/>
      <c r="S79" s="43"/>
      <c r="T79" s="32"/>
      <c r="U79" s="53">
        <f t="shared" si="8"/>
        <v>95</v>
      </c>
      <c r="V79" s="64" t="s">
        <v>25</v>
      </c>
      <c r="W79" s="2" t="s">
        <v>5</v>
      </c>
      <c r="X79" s="65" t="s">
        <v>17</v>
      </c>
      <c r="Y79" s="176"/>
    </row>
    <row r="80" spans="1:25" s="2" customFormat="1" ht="14.1" customHeight="1" x14ac:dyDescent="0.2">
      <c r="A80" s="241" t="s">
        <v>6</v>
      </c>
      <c r="B80" s="3" t="s">
        <v>157</v>
      </c>
      <c r="C80" s="4"/>
      <c r="D80" s="52">
        <v>10163107</v>
      </c>
      <c r="E80" s="98">
        <v>45215</v>
      </c>
      <c r="F80" s="44" t="s">
        <v>20</v>
      </c>
      <c r="G80" s="61">
        <v>45216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227</v>
      </c>
      <c r="S80" s="43">
        <v>37.5</v>
      </c>
      <c r="T80" s="32">
        <v>21</v>
      </c>
      <c r="U80" s="53">
        <f t="shared" si="8"/>
        <v>285.5</v>
      </c>
      <c r="V80" s="64" t="s">
        <v>63</v>
      </c>
      <c r="W80" s="2" t="s">
        <v>112</v>
      </c>
      <c r="X80" s="65" t="s">
        <v>17</v>
      </c>
      <c r="Y80" s="176"/>
    </row>
    <row r="81" spans="1:25" s="2" customFormat="1" ht="14.1" customHeight="1" x14ac:dyDescent="0.2">
      <c r="A81" s="241" t="s">
        <v>37</v>
      </c>
      <c r="B81" s="3" t="s">
        <v>158</v>
      </c>
      <c r="C81" s="4"/>
      <c r="D81" s="52">
        <v>10173101</v>
      </c>
      <c r="E81" s="98">
        <v>45216</v>
      </c>
      <c r="F81" s="44" t="s">
        <v>20</v>
      </c>
      <c r="G81" s="61">
        <v>45217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149</v>
      </c>
      <c r="S81" s="43">
        <v>37.5</v>
      </c>
      <c r="T81" s="32">
        <v>13.41</v>
      </c>
      <c r="U81" s="53">
        <f t="shared" si="8"/>
        <v>199.91</v>
      </c>
      <c r="V81" s="64" t="s">
        <v>63</v>
      </c>
      <c r="W81" s="2" t="s">
        <v>112</v>
      </c>
      <c r="X81" s="65" t="s">
        <v>17</v>
      </c>
      <c r="Y81" s="176"/>
    </row>
    <row r="82" spans="1:25" s="2" customFormat="1" ht="14.1" customHeight="1" x14ac:dyDescent="0.2">
      <c r="A82" s="241" t="s">
        <v>131</v>
      </c>
      <c r="B82" s="3" t="s">
        <v>159</v>
      </c>
      <c r="C82" s="4"/>
      <c r="D82" s="52">
        <v>10173102</v>
      </c>
      <c r="E82" s="98">
        <v>45216</v>
      </c>
      <c r="F82" s="44" t="s">
        <v>20</v>
      </c>
      <c r="G82" s="61">
        <v>45217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130</v>
      </c>
      <c r="S82" s="43">
        <v>25</v>
      </c>
      <c r="T82" s="32">
        <v>11.21</v>
      </c>
      <c r="U82" s="53">
        <f t="shared" si="8"/>
        <v>166.21</v>
      </c>
      <c r="V82" s="64" t="s">
        <v>63</v>
      </c>
      <c r="W82" s="2" t="s">
        <v>112</v>
      </c>
      <c r="X82" s="65" t="s">
        <v>17</v>
      </c>
      <c r="Y82" s="176"/>
    </row>
    <row r="83" spans="1:25" s="2" customFormat="1" ht="14.1" customHeight="1" x14ac:dyDescent="0.2">
      <c r="A83" s="241" t="s">
        <v>37</v>
      </c>
      <c r="B83" s="3" t="s">
        <v>160</v>
      </c>
      <c r="C83" s="4"/>
      <c r="D83" s="52">
        <v>10203102</v>
      </c>
      <c r="E83" s="98">
        <v>45219</v>
      </c>
      <c r="F83" s="44" t="s">
        <v>20</v>
      </c>
      <c r="G83" s="61">
        <v>45219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650</v>
      </c>
      <c r="S83" s="43">
        <v>125</v>
      </c>
      <c r="T83" s="32">
        <v>66.63</v>
      </c>
      <c r="U83" s="53">
        <f t="shared" si="8"/>
        <v>841.63</v>
      </c>
      <c r="V83" s="64" t="s">
        <v>63</v>
      </c>
      <c r="W83" s="2" t="s">
        <v>112</v>
      </c>
      <c r="X83" s="65" t="s">
        <v>17</v>
      </c>
      <c r="Y83" s="176"/>
    </row>
    <row r="84" spans="1:25" s="2" customFormat="1" ht="14.1" customHeight="1" x14ac:dyDescent="0.2">
      <c r="A84" s="241" t="s">
        <v>5</v>
      </c>
      <c r="B84" s="3" t="s">
        <v>33</v>
      </c>
      <c r="C84" s="4"/>
      <c r="D84" s="52">
        <v>10233064</v>
      </c>
      <c r="E84" s="98">
        <v>45222</v>
      </c>
      <c r="F84" s="44" t="s">
        <v>20</v>
      </c>
      <c r="G84" s="61">
        <v>45222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345</v>
      </c>
      <c r="S84" s="43"/>
      <c r="T84" s="32"/>
      <c r="U84" s="53">
        <f t="shared" si="8"/>
        <v>345</v>
      </c>
      <c r="V84" s="64" t="s">
        <v>63</v>
      </c>
      <c r="W84" s="2" t="s">
        <v>112</v>
      </c>
      <c r="X84" s="65" t="s">
        <v>17</v>
      </c>
      <c r="Y84" s="176"/>
    </row>
    <row r="85" spans="1:25" s="2" customFormat="1" ht="14.1" customHeight="1" x14ac:dyDescent="0.2">
      <c r="A85" s="241" t="s">
        <v>5</v>
      </c>
      <c r="B85" s="3" t="s">
        <v>33</v>
      </c>
      <c r="C85" s="4"/>
      <c r="D85" s="52">
        <v>10233065</v>
      </c>
      <c r="E85" s="98">
        <v>45222</v>
      </c>
      <c r="F85" s="44" t="s">
        <v>20</v>
      </c>
      <c r="G85" s="61">
        <v>45222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395</v>
      </c>
      <c r="S85" s="43"/>
      <c r="T85" s="32"/>
      <c r="U85" s="53">
        <f t="shared" si="8"/>
        <v>395</v>
      </c>
      <c r="V85" s="64" t="s">
        <v>63</v>
      </c>
      <c r="W85" s="2" t="s">
        <v>112</v>
      </c>
      <c r="X85" s="65" t="s">
        <v>17</v>
      </c>
      <c r="Y85" s="176"/>
    </row>
    <row r="86" spans="1:25" s="2" customFormat="1" ht="14.1" customHeight="1" x14ac:dyDescent="0.2">
      <c r="A86" s="241" t="s">
        <v>37</v>
      </c>
      <c r="B86" s="3" t="s">
        <v>116</v>
      </c>
      <c r="C86" s="4"/>
      <c r="D86" s="52">
        <v>10213101</v>
      </c>
      <c r="E86" s="98">
        <v>45223</v>
      </c>
      <c r="F86" s="44" t="s">
        <v>20</v>
      </c>
      <c r="G86" s="61">
        <v>45223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130</v>
      </c>
      <c r="S86" s="43">
        <v>25</v>
      </c>
      <c r="T86" s="32">
        <v>10.73</v>
      </c>
      <c r="U86" s="53">
        <f t="shared" si="8"/>
        <v>165.73</v>
      </c>
      <c r="V86" s="64" t="s">
        <v>63</v>
      </c>
      <c r="W86" s="2" t="s">
        <v>112</v>
      </c>
      <c r="X86" s="65" t="s">
        <v>17</v>
      </c>
      <c r="Y86" s="176"/>
    </row>
    <row r="87" spans="1:25" s="2" customFormat="1" ht="14.1" customHeight="1" x14ac:dyDescent="0.2">
      <c r="A87" s="241" t="s">
        <v>37</v>
      </c>
      <c r="B87" s="3" t="s">
        <v>134</v>
      </c>
      <c r="C87" s="4"/>
      <c r="D87" s="52">
        <v>10213102</v>
      </c>
      <c r="E87" s="98">
        <v>45223</v>
      </c>
      <c r="F87" s="44" t="s">
        <v>20</v>
      </c>
      <c r="G87" s="61">
        <v>45223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110</v>
      </c>
      <c r="S87" s="43">
        <v>25</v>
      </c>
      <c r="T87" s="32">
        <v>9.08</v>
      </c>
      <c r="U87" s="53">
        <f t="shared" si="8"/>
        <v>144.08000000000001</v>
      </c>
      <c r="V87" s="64" t="s">
        <v>63</v>
      </c>
      <c r="W87" s="2" t="s">
        <v>112</v>
      </c>
      <c r="X87" s="65" t="s">
        <v>17</v>
      </c>
      <c r="Y87" s="176"/>
    </row>
    <row r="88" spans="1:25" s="2" customFormat="1" ht="14.1" customHeight="1" x14ac:dyDescent="0.2">
      <c r="A88" s="241" t="s">
        <v>37</v>
      </c>
      <c r="B88" s="3" t="s">
        <v>161</v>
      </c>
      <c r="C88" s="4" t="s">
        <v>162</v>
      </c>
      <c r="D88" s="52">
        <v>10253102</v>
      </c>
      <c r="E88" s="98">
        <v>45224</v>
      </c>
      <c r="F88" s="44" t="s">
        <v>20</v>
      </c>
      <c r="G88" s="61">
        <v>45224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305</v>
      </c>
      <c r="S88" s="43"/>
      <c r="T88" s="32">
        <v>25.16</v>
      </c>
      <c r="U88" s="53">
        <f t="shared" si="8"/>
        <v>330.16</v>
      </c>
      <c r="V88" s="64" t="s">
        <v>32</v>
      </c>
      <c r="W88" s="2" t="s">
        <v>163</v>
      </c>
      <c r="X88" s="65" t="s">
        <v>17</v>
      </c>
      <c r="Y88" s="176"/>
    </row>
    <row r="89" spans="1:25" s="2" customFormat="1" ht="14.1" customHeight="1" x14ac:dyDescent="0.2">
      <c r="A89" s="241" t="s">
        <v>37</v>
      </c>
      <c r="B89" s="3" t="s">
        <v>71</v>
      </c>
      <c r="C89" s="4"/>
      <c r="D89" s="52">
        <v>10263103</v>
      </c>
      <c r="E89" s="98">
        <v>45225</v>
      </c>
      <c r="F89" s="44" t="s">
        <v>20</v>
      </c>
      <c r="G89" s="61">
        <v>45225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159</v>
      </c>
      <c r="S89" s="43">
        <v>37.5</v>
      </c>
      <c r="T89" s="32">
        <v>12.32</v>
      </c>
      <c r="U89" s="53">
        <f t="shared" si="8"/>
        <v>208.82</v>
      </c>
      <c r="V89" s="64" t="s">
        <v>63</v>
      </c>
      <c r="W89" s="2" t="s">
        <v>37</v>
      </c>
      <c r="X89" s="65" t="s">
        <v>17</v>
      </c>
      <c r="Y89" s="176"/>
    </row>
    <row r="90" spans="1:25" s="2" customFormat="1" ht="14.1" customHeight="1" x14ac:dyDescent="0.2">
      <c r="A90" s="241" t="s">
        <v>37</v>
      </c>
      <c r="B90" s="3" t="s">
        <v>135</v>
      </c>
      <c r="C90" s="4"/>
      <c r="D90" s="52">
        <v>10273102</v>
      </c>
      <c r="E90" s="98">
        <v>45226</v>
      </c>
      <c r="F90" s="44" t="s">
        <v>20</v>
      </c>
      <c r="G90" s="61">
        <v>45229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70</v>
      </c>
      <c r="S90" s="43">
        <v>25</v>
      </c>
      <c r="T90" s="32">
        <v>5.95</v>
      </c>
      <c r="U90" s="53">
        <f t="shared" si="8"/>
        <v>100.95</v>
      </c>
      <c r="V90" s="64" t="s">
        <v>63</v>
      </c>
      <c r="W90" s="2" t="s">
        <v>57</v>
      </c>
      <c r="X90" s="65" t="s">
        <v>17</v>
      </c>
      <c r="Y90" s="176"/>
    </row>
    <row r="91" spans="1:25" s="2" customFormat="1" ht="14.1" customHeight="1" x14ac:dyDescent="0.2">
      <c r="A91" s="241" t="s">
        <v>37</v>
      </c>
      <c r="B91" s="3" t="s">
        <v>164</v>
      </c>
      <c r="C91" s="4"/>
      <c r="D91" s="52">
        <v>10303101</v>
      </c>
      <c r="E91" s="98">
        <v>45229</v>
      </c>
      <c r="F91" s="44" t="s">
        <v>20</v>
      </c>
      <c r="G91" s="61">
        <v>45229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402</v>
      </c>
      <c r="S91" s="43">
        <v>75</v>
      </c>
      <c r="T91" s="32">
        <v>33.17</v>
      </c>
      <c r="U91" s="53">
        <f t="shared" si="8"/>
        <v>510.17</v>
      </c>
      <c r="V91" s="64" t="s">
        <v>63</v>
      </c>
      <c r="W91" s="2" t="s">
        <v>112</v>
      </c>
      <c r="X91" s="65" t="s">
        <v>17</v>
      </c>
      <c r="Y91" s="176"/>
    </row>
    <row r="92" spans="1:25" s="2" customFormat="1" ht="14.1" customHeight="1" x14ac:dyDescent="0.2">
      <c r="A92" s="241" t="s">
        <v>37</v>
      </c>
      <c r="B92" s="3" t="s">
        <v>61</v>
      </c>
      <c r="C92" s="4"/>
      <c r="D92" s="52">
        <v>10303102</v>
      </c>
      <c r="E92" s="98">
        <v>45229</v>
      </c>
      <c r="F92" s="44" t="s">
        <v>20</v>
      </c>
      <c r="G92" s="61">
        <v>45229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282</v>
      </c>
      <c r="S92" s="43">
        <v>50</v>
      </c>
      <c r="T92" s="32">
        <v>26.44</v>
      </c>
      <c r="U92" s="53">
        <f t="shared" si="8"/>
        <v>358.44</v>
      </c>
      <c r="V92" s="64" t="s">
        <v>63</v>
      </c>
      <c r="W92" s="2" t="s">
        <v>112</v>
      </c>
      <c r="X92" s="65" t="s">
        <v>17</v>
      </c>
      <c r="Y92" s="176"/>
    </row>
    <row r="93" spans="1:25" s="2" customFormat="1" ht="14.1" customHeight="1" x14ac:dyDescent="0.2">
      <c r="A93" s="241" t="s">
        <v>37</v>
      </c>
      <c r="B93" s="3" t="s">
        <v>93</v>
      </c>
      <c r="C93" s="4"/>
      <c r="D93" s="52">
        <v>10303103</v>
      </c>
      <c r="E93" s="98">
        <v>45229</v>
      </c>
      <c r="F93" s="44" t="s">
        <v>20</v>
      </c>
      <c r="G93" s="61">
        <v>45229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80</v>
      </c>
      <c r="S93" s="43">
        <v>25</v>
      </c>
      <c r="T93" s="32">
        <v>8.1999999999999993</v>
      </c>
      <c r="U93" s="53">
        <f t="shared" si="8"/>
        <v>113.2</v>
      </c>
      <c r="V93" s="64" t="s">
        <v>63</v>
      </c>
      <c r="W93" s="2" t="s">
        <v>112</v>
      </c>
      <c r="X93" s="65" t="s">
        <v>17</v>
      </c>
      <c r="Y93" s="176"/>
    </row>
    <row r="94" spans="1:25" s="2" customFormat="1" ht="14.1" customHeight="1" x14ac:dyDescent="0.2">
      <c r="A94" s="241" t="s">
        <v>37</v>
      </c>
      <c r="B94" s="3" t="s">
        <v>165</v>
      </c>
      <c r="C94" s="4" t="s">
        <v>138</v>
      </c>
      <c r="D94" s="52">
        <v>10303104</v>
      </c>
      <c r="E94" s="98">
        <v>45229</v>
      </c>
      <c r="F94" s="44" t="s">
        <v>20</v>
      </c>
      <c r="G94" s="61">
        <v>45230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110</v>
      </c>
      <c r="S94" s="43">
        <v>25</v>
      </c>
      <c r="T94" s="32">
        <v>8.5299999999999994</v>
      </c>
      <c r="U94" s="53">
        <f t="shared" si="8"/>
        <v>143.53</v>
      </c>
      <c r="V94" s="64" t="s">
        <v>63</v>
      </c>
      <c r="W94" s="2" t="s">
        <v>112</v>
      </c>
      <c r="X94" s="65" t="s">
        <v>17</v>
      </c>
      <c r="Y94" s="176"/>
    </row>
    <row r="95" spans="1:25" s="2" customFormat="1" ht="14.1" customHeight="1" x14ac:dyDescent="0.2">
      <c r="A95" s="241" t="s">
        <v>37</v>
      </c>
      <c r="B95" s="3" t="s">
        <v>165</v>
      </c>
      <c r="C95" s="4" t="s">
        <v>166</v>
      </c>
      <c r="D95" s="52">
        <v>10303105</v>
      </c>
      <c r="E95" s="98">
        <v>45229</v>
      </c>
      <c r="F95" s="44" t="s">
        <v>20</v>
      </c>
      <c r="G95" s="61">
        <v>45230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65</v>
      </c>
      <c r="S95" s="43">
        <v>12.5</v>
      </c>
      <c r="T95" s="32">
        <v>5.93</v>
      </c>
      <c r="U95" s="53">
        <f t="shared" si="8"/>
        <v>83.43</v>
      </c>
      <c r="V95" s="64" t="s">
        <v>63</v>
      </c>
      <c r="W95" s="2" t="s">
        <v>112</v>
      </c>
      <c r="X95" s="65" t="s">
        <v>17</v>
      </c>
      <c r="Y95" s="176"/>
    </row>
    <row r="96" spans="1:25" s="2" customFormat="1" ht="14.1" customHeight="1" x14ac:dyDescent="0.2">
      <c r="A96" s="241" t="s">
        <v>37</v>
      </c>
      <c r="B96" s="3" t="s">
        <v>165</v>
      </c>
      <c r="C96" s="4" t="s">
        <v>167</v>
      </c>
      <c r="D96" s="52">
        <v>10303106</v>
      </c>
      <c r="E96" s="98">
        <v>45229</v>
      </c>
      <c r="F96" s="44" t="s">
        <v>20</v>
      </c>
      <c r="G96" s="61">
        <v>45230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149</v>
      </c>
      <c r="S96" s="43">
        <v>37.5</v>
      </c>
      <c r="T96" s="32">
        <v>13.78</v>
      </c>
      <c r="U96" s="53">
        <f t="shared" si="8"/>
        <v>200.28</v>
      </c>
      <c r="V96" s="64" t="s">
        <v>63</v>
      </c>
      <c r="W96" s="2" t="s">
        <v>112</v>
      </c>
      <c r="X96" s="65" t="s">
        <v>17</v>
      </c>
      <c r="Y96" s="176"/>
    </row>
    <row r="97" spans="1:27" s="2" customFormat="1" ht="14.1" customHeight="1" x14ac:dyDescent="0.2">
      <c r="A97" s="241" t="s">
        <v>37</v>
      </c>
      <c r="B97" s="3" t="s">
        <v>165</v>
      </c>
      <c r="C97" s="4" t="s">
        <v>168</v>
      </c>
      <c r="D97" s="52">
        <v>10303107</v>
      </c>
      <c r="E97" s="98">
        <v>45229</v>
      </c>
      <c r="F97" s="44" t="s">
        <v>20</v>
      </c>
      <c r="G97" s="61">
        <v>45230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104</v>
      </c>
      <c r="S97" s="43">
        <v>25</v>
      </c>
      <c r="T97" s="32">
        <v>9.6199999999999992</v>
      </c>
      <c r="U97" s="53">
        <f t="shared" si="8"/>
        <v>138.62</v>
      </c>
      <c r="V97" s="64" t="s">
        <v>63</v>
      </c>
      <c r="W97" s="2" t="s">
        <v>112</v>
      </c>
      <c r="X97" s="65" t="s">
        <v>17</v>
      </c>
      <c r="Y97" s="176"/>
    </row>
    <row r="98" spans="1:27" s="2" customFormat="1" ht="14.1" customHeight="1" x14ac:dyDescent="0.2">
      <c r="A98" s="241" t="s">
        <v>37</v>
      </c>
      <c r="B98" s="3" t="s">
        <v>113</v>
      </c>
      <c r="C98" s="4"/>
      <c r="D98" s="52">
        <v>10303108</v>
      </c>
      <c r="E98" s="98">
        <v>45229</v>
      </c>
      <c r="F98" s="44" t="s">
        <v>20</v>
      </c>
      <c r="G98" s="61">
        <v>45230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246</v>
      </c>
      <c r="S98" s="43">
        <v>37.5</v>
      </c>
      <c r="T98" s="32">
        <v>25.22</v>
      </c>
      <c r="U98" s="53">
        <f t="shared" si="8"/>
        <v>308.72000000000003</v>
      </c>
      <c r="V98" s="64" t="s">
        <v>63</v>
      </c>
      <c r="W98" s="2" t="s">
        <v>112</v>
      </c>
      <c r="X98" s="65" t="s">
        <v>17</v>
      </c>
      <c r="Y98" s="176"/>
    </row>
    <row r="99" spans="1:27" s="2" customFormat="1" ht="14.1" customHeight="1" thickBot="1" x14ac:dyDescent="0.25">
      <c r="A99" s="241" t="s">
        <v>37</v>
      </c>
      <c r="B99" s="3" t="s">
        <v>169</v>
      </c>
      <c r="C99" s="4"/>
      <c r="D99" s="52">
        <v>10303110</v>
      </c>
      <c r="E99" s="98">
        <v>45229</v>
      </c>
      <c r="F99" s="44" t="s">
        <v>20</v>
      </c>
      <c r="G99" s="61">
        <v>45230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208</v>
      </c>
      <c r="S99" s="43">
        <v>37.5</v>
      </c>
      <c r="T99" s="32">
        <v>17.940000000000001</v>
      </c>
      <c r="U99" s="53">
        <f t="shared" si="8"/>
        <v>263.44</v>
      </c>
      <c r="V99" s="64" t="s">
        <v>63</v>
      </c>
      <c r="W99" s="2" t="s">
        <v>112</v>
      </c>
      <c r="X99" s="65" t="s">
        <v>17</v>
      </c>
      <c r="Y99" s="176"/>
    </row>
    <row r="100" spans="1:27" s="2" customFormat="1" ht="14.1" customHeight="1" thickBot="1" x14ac:dyDescent="0.25">
      <c r="A100" s="171"/>
      <c r="B100" s="172"/>
      <c r="C100" s="173"/>
      <c r="D100" s="173"/>
      <c r="E100" s="205"/>
      <c r="F100" s="206"/>
      <c r="G100" s="174"/>
      <c r="H100" s="207"/>
      <c r="I100" s="207"/>
      <c r="J100" s="208"/>
      <c r="K100" s="208"/>
      <c r="L100" s="208"/>
      <c r="M100" s="207"/>
      <c r="N100" s="207"/>
      <c r="O100" s="207"/>
      <c r="P100" s="50"/>
      <c r="Q100" s="216"/>
      <c r="R100" s="207"/>
      <c r="S100" s="216"/>
      <c r="T100" s="209"/>
      <c r="U100" s="210"/>
      <c r="V100" s="211"/>
      <c r="W100" s="84"/>
      <c r="X100" s="84"/>
      <c r="Y100" s="252">
        <f>SUM(U58:U99)</f>
        <v>11039.120000000004</v>
      </c>
      <c r="Z100" s="231">
        <f>Y100/V102</f>
        <v>0.38982944308566142</v>
      </c>
      <c r="AA100" s="176"/>
    </row>
    <row r="101" spans="1:27" s="2" customFormat="1" ht="19.5" customHeight="1" thickBot="1" x14ac:dyDescent="0.4">
      <c r="A101" s="242"/>
      <c r="B101" s="158" t="s">
        <v>10</v>
      </c>
      <c r="C101" s="45"/>
      <c r="D101" s="89"/>
      <c r="E101" s="90"/>
      <c r="F101" s="45"/>
      <c r="G101" s="91"/>
      <c r="H101" s="159">
        <f>SUM(H4:H99)</f>
        <v>3884.67</v>
      </c>
      <c r="I101" s="159">
        <f>SUM(I4:I99)</f>
        <v>0</v>
      </c>
      <c r="J101" s="159">
        <f>SUM(J4:J99)</f>
        <v>1440</v>
      </c>
      <c r="K101" s="160">
        <f>SUM(K4:K99)</f>
        <v>0</v>
      </c>
      <c r="L101" s="161">
        <f>SUM(L4:L99)</f>
        <v>0</v>
      </c>
      <c r="M101" s="291">
        <f>SUM(M4:N99)</f>
        <v>1173</v>
      </c>
      <c r="N101" s="292"/>
      <c r="O101" s="167">
        <f t="shared" ref="O101:U101" si="9">SUM(O4:O99)</f>
        <v>37.5</v>
      </c>
      <c r="P101" s="167">
        <f t="shared" si="9"/>
        <v>900</v>
      </c>
      <c r="Q101" s="167">
        <f t="shared" si="9"/>
        <v>90</v>
      </c>
      <c r="R101" s="168">
        <f t="shared" si="9"/>
        <v>16773.61</v>
      </c>
      <c r="S101" s="168">
        <f t="shared" si="9"/>
        <v>2510</v>
      </c>
      <c r="T101" s="166">
        <f t="shared" si="9"/>
        <v>1509.04</v>
      </c>
      <c r="U101" s="162">
        <f t="shared" si="9"/>
        <v>28317.819999999996</v>
      </c>
      <c r="V101" s="50"/>
      <c r="W101" s="287"/>
      <c r="X101" s="287"/>
      <c r="Y101" s="288"/>
    </row>
    <row r="102" spans="1:27" s="2" customFormat="1" ht="14.1" customHeight="1" thickBot="1" x14ac:dyDescent="0.3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232">
        <f>SUM(H101:T101)</f>
        <v>28317.82</v>
      </c>
      <c r="Y102" s="164"/>
      <c r="Z102" s="177"/>
    </row>
    <row r="103" spans="1:27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7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7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7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7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7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7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7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7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7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35">
      <c r="A191" s="3"/>
      <c r="B191" s="3"/>
      <c r="C191" s="130"/>
      <c r="D191" s="4"/>
      <c r="E191" s="5"/>
      <c r="F191" s="4"/>
      <c r="G191" s="61"/>
      <c r="H191" s="7"/>
      <c r="I191" s="7"/>
      <c r="J191" s="7"/>
      <c r="K191" s="134"/>
      <c r="L191" s="7"/>
      <c r="M191" s="7"/>
      <c r="N191" s="7"/>
      <c r="O191" s="7"/>
      <c r="P191" s="7"/>
      <c r="Q191" s="7"/>
      <c r="R191" s="7"/>
      <c r="S191" s="6"/>
      <c r="T191" s="6"/>
      <c r="V191" s="131"/>
      <c r="W191" s="129"/>
      <c r="X191" s="129"/>
      <c r="Y191" s="229"/>
      <c r="Z191" s="3"/>
    </row>
    <row r="192" spans="1:26" s="135" customFormat="1" ht="26.25" customHeight="1" x14ac:dyDescent="0.45">
      <c r="A192" s="132"/>
      <c r="B192" s="133"/>
      <c r="C192" s="133"/>
      <c r="D192" s="2"/>
      <c r="E192" s="2"/>
      <c r="F192" s="164"/>
      <c r="G192" s="2"/>
      <c r="H192" s="134"/>
      <c r="I192" s="134"/>
      <c r="J192" s="134"/>
      <c r="K192" s="7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37"/>
      <c r="W192" s="26"/>
      <c r="X192" s="26"/>
      <c r="Y192" s="4"/>
      <c r="Z192" s="3"/>
    </row>
    <row r="193" spans="4:25" ht="15" customHeight="1" x14ac:dyDescent="0.35">
      <c r="V193" s="136"/>
      <c r="W193" s="3"/>
      <c r="X193" s="3"/>
    </row>
    <row r="201" spans="4:25" ht="9.75" customHeight="1" x14ac:dyDescent="0.2"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</row>
    <row r="202" spans="4:25" ht="10.5" customHeight="1" x14ac:dyDescent="0.2"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</row>
    <row r="203" spans="4:25" ht="9.75" customHeight="1" x14ac:dyDescent="0.2"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</row>
    <row r="216" spans="10:10" s="3" customFormat="1" ht="9.75" customHeight="1" x14ac:dyDescent="0.2">
      <c r="J216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B216"/>
  <sheetViews>
    <sheetView zoomScale="120" zoomScaleNormal="120" workbookViewId="0">
      <pane ySplit="2" topLeftCell="A91" activePane="bottomLeft" state="frozen"/>
      <selection pane="bottomLeft" activeCell="J105" sqref="J105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45237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0" t="s">
        <v>37</v>
      </c>
      <c r="B4" s="213" t="s">
        <v>101</v>
      </c>
      <c r="C4" s="226"/>
      <c r="D4" s="224">
        <v>8233101</v>
      </c>
      <c r="E4" s="180">
        <v>45161</v>
      </c>
      <c r="F4" s="183" t="s">
        <v>20</v>
      </c>
      <c r="G4" s="214">
        <v>45162</v>
      </c>
      <c r="H4" s="189"/>
      <c r="I4" s="187"/>
      <c r="J4" s="187"/>
      <c r="K4" s="187"/>
      <c r="L4" s="187"/>
      <c r="M4" s="189"/>
      <c r="N4" s="187"/>
      <c r="O4" s="189"/>
      <c r="P4" s="215"/>
      <c r="Q4" s="192"/>
      <c r="R4" s="189">
        <v>39</v>
      </c>
      <c r="S4" s="192">
        <v>12.5</v>
      </c>
      <c r="T4" s="195">
        <v>4</v>
      </c>
      <c r="U4" s="198">
        <f>SUM(H4:T4)</f>
        <v>55.5</v>
      </c>
      <c r="V4" s="201" t="s">
        <v>63</v>
      </c>
      <c r="W4" s="217" t="s">
        <v>57</v>
      </c>
      <c r="X4" s="65" t="s">
        <v>17</v>
      </c>
      <c r="Y4" s="105"/>
      <c r="Z4" s="176"/>
    </row>
    <row r="5" spans="1:26" s="2" customFormat="1" ht="14.1" customHeight="1" x14ac:dyDescent="0.2">
      <c r="A5" s="241" t="s">
        <v>37</v>
      </c>
      <c r="B5" s="3" t="s">
        <v>101</v>
      </c>
      <c r="C5" s="4"/>
      <c r="D5" s="52">
        <v>10103101</v>
      </c>
      <c r="E5" s="98">
        <v>45209</v>
      </c>
      <c r="F5" s="44" t="s">
        <v>20</v>
      </c>
      <c r="G5" s="61">
        <v>45209</v>
      </c>
      <c r="H5" s="42"/>
      <c r="I5" s="28"/>
      <c r="J5" s="28"/>
      <c r="K5" s="28"/>
      <c r="L5" s="28"/>
      <c r="M5" s="42"/>
      <c r="N5" s="28"/>
      <c r="O5" s="42"/>
      <c r="P5" s="7"/>
      <c r="Q5" s="43"/>
      <c r="R5" s="42">
        <v>78</v>
      </c>
      <c r="S5" s="43">
        <v>12.5</v>
      </c>
      <c r="T5" s="32">
        <v>8</v>
      </c>
      <c r="U5" s="53">
        <f>SUM(H5:T5)</f>
        <v>98.5</v>
      </c>
      <c r="V5" s="64" t="s">
        <v>63</v>
      </c>
      <c r="W5" s="2" t="s">
        <v>112</v>
      </c>
      <c r="X5" s="65" t="s">
        <v>17</v>
      </c>
      <c r="Y5" s="176"/>
    </row>
    <row r="6" spans="1:26" s="2" customFormat="1" ht="13.2" customHeight="1" x14ac:dyDescent="0.2">
      <c r="A6" s="249" t="s">
        <v>8</v>
      </c>
      <c r="B6" s="202" t="s">
        <v>68</v>
      </c>
      <c r="C6" s="225"/>
      <c r="D6" s="222">
        <v>10013051</v>
      </c>
      <c r="E6" s="178">
        <v>45200</v>
      </c>
      <c r="F6" s="181" t="s">
        <v>72</v>
      </c>
      <c r="G6" s="203">
        <v>45201</v>
      </c>
      <c r="H6" s="186"/>
      <c r="I6" s="184"/>
      <c r="J6" s="184"/>
      <c r="K6" s="184"/>
      <c r="L6" s="184"/>
      <c r="M6" s="186">
        <v>49</v>
      </c>
      <c r="N6" s="184">
        <v>39</v>
      </c>
      <c r="O6" s="186"/>
      <c r="P6" s="204"/>
      <c r="Q6" s="190"/>
      <c r="R6" s="186"/>
      <c r="S6" s="190"/>
      <c r="T6" s="193"/>
      <c r="U6" s="196">
        <f>SUM(H6:T6)</f>
        <v>88</v>
      </c>
      <c r="V6" s="200" t="s">
        <v>25</v>
      </c>
      <c r="W6" s="212" t="s">
        <v>8</v>
      </c>
      <c r="X6" s="65" t="s">
        <v>17</v>
      </c>
      <c r="Y6" s="176"/>
    </row>
    <row r="7" spans="1:26" s="2" customFormat="1" ht="14.1" customHeight="1" x14ac:dyDescent="0.35">
      <c r="A7" s="249" t="s">
        <v>8</v>
      </c>
      <c r="B7" s="202" t="s">
        <v>118</v>
      </c>
      <c r="C7" s="225"/>
      <c r="D7" s="222">
        <v>9193052</v>
      </c>
      <c r="E7" s="178">
        <v>45188</v>
      </c>
      <c r="F7" s="181" t="s">
        <v>38</v>
      </c>
      <c r="G7" s="203">
        <v>45188</v>
      </c>
      <c r="H7" s="186"/>
      <c r="I7" s="184"/>
      <c r="J7" s="184"/>
      <c r="K7" s="184"/>
      <c r="L7" s="184"/>
      <c r="M7" s="186">
        <v>390</v>
      </c>
      <c r="N7" s="184">
        <v>600</v>
      </c>
      <c r="O7" s="186"/>
      <c r="P7" s="204"/>
      <c r="Q7" s="190"/>
      <c r="R7" s="186"/>
      <c r="S7" s="190"/>
      <c r="T7" s="193"/>
      <c r="U7" s="196">
        <f>SUM(H7:T7)</f>
        <v>990</v>
      </c>
      <c r="V7" s="200" t="s">
        <v>25</v>
      </c>
      <c r="W7" s="212" t="s">
        <v>8</v>
      </c>
      <c r="X7" s="65" t="s">
        <v>17</v>
      </c>
      <c r="Y7" s="105"/>
      <c r="Z7" s="176"/>
    </row>
    <row r="8" spans="1:26" s="2" customFormat="1" ht="14.1" customHeight="1" x14ac:dyDescent="0.35">
      <c r="A8" s="251" t="s">
        <v>37</v>
      </c>
      <c r="B8" s="218" t="s">
        <v>80</v>
      </c>
      <c r="C8" s="233"/>
      <c r="D8" s="223">
        <v>7203101</v>
      </c>
      <c r="E8" s="179">
        <v>45127</v>
      </c>
      <c r="F8" s="182" t="s">
        <v>20</v>
      </c>
      <c r="G8" s="219">
        <v>45127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240</v>
      </c>
      <c r="S8" s="191">
        <v>50</v>
      </c>
      <c r="T8" s="194">
        <v>18.600000000000001</v>
      </c>
      <c r="U8" s="197">
        <f>SUM(H8:T8)</f>
        <v>308.60000000000002</v>
      </c>
      <c r="V8" s="199" t="s">
        <v>66</v>
      </c>
      <c r="W8" s="221" t="s">
        <v>81</v>
      </c>
      <c r="X8" s="65" t="s">
        <v>17</v>
      </c>
      <c r="Y8" s="105"/>
      <c r="Z8" s="176"/>
    </row>
    <row r="9" spans="1:26" s="2" customFormat="1" ht="14.1" customHeight="1" x14ac:dyDescent="0.2">
      <c r="A9" s="241" t="s">
        <v>37</v>
      </c>
      <c r="B9" s="3" t="s">
        <v>154</v>
      </c>
      <c r="C9" s="4"/>
      <c r="D9" s="52">
        <v>10163103</v>
      </c>
      <c r="E9" s="98">
        <v>45215</v>
      </c>
      <c r="F9" s="44" t="s">
        <v>20</v>
      </c>
      <c r="G9" s="61">
        <v>45215</v>
      </c>
      <c r="H9" s="42"/>
      <c r="I9" s="28"/>
      <c r="J9" s="28"/>
      <c r="K9" s="28"/>
      <c r="L9" s="28"/>
      <c r="M9" s="42"/>
      <c r="N9" s="28"/>
      <c r="O9" s="42"/>
      <c r="P9" s="7"/>
      <c r="Q9" s="43"/>
      <c r="R9" s="42">
        <v>250</v>
      </c>
      <c r="S9" s="43">
        <v>50</v>
      </c>
      <c r="T9" s="32">
        <v>19.38</v>
      </c>
      <c r="U9" s="53">
        <f>SUM(H9:T9)</f>
        <v>319.38</v>
      </c>
      <c r="V9" s="64" t="s">
        <v>63</v>
      </c>
      <c r="W9" s="2" t="s">
        <v>112</v>
      </c>
      <c r="X9" s="65" t="s">
        <v>17</v>
      </c>
      <c r="Y9" s="176"/>
    </row>
    <row r="10" spans="1:26" s="2" customFormat="1" ht="14.1" customHeight="1" x14ac:dyDescent="0.35">
      <c r="A10" s="251" t="s">
        <v>37</v>
      </c>
      <c r="B10" s="218" t="s">
        <v>84</v>
      </c>
      <c r="C10" s="233"/>
      <c r="D10" s="223">
        <v>7243105</v>
      </c>
      <c r="E10" s="179">
        <v>45131</v>
      </c>
      <c r="F10" s="182" t="s">
        <v>20</v>
      </c>
      <c r="G10" s="219">
        <v>45132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188</v>
      </c>
      <c r="S10" s="191">
        <v>37.5</v>
      </c>
      <c r="T10" s="194">
        <v>16.22</v>
      </c>
      <c r="U10" s="197">
        <f>SUM(H10:T10)</f>
        <v>241.72</v>
      </c>
      <c r="V10" s="199" t="s">
        <v>63</v>
      </c>
      <c r="W10" s="221" t="s">
        <v>37</v>
      </c>
      <c r="X10" s="65" t="s">
        <v>17</v>
      </c>
      <c r="Y10" s="105"/>
      <c r="Z10" s="176"/>
    </row>
    <row r="11" spans="1:26" s="2" customFormat="1" ht="14.1" customHeight="1" x14ac:dyDescent="0.2">
      <c r="A11" s="249" t="s">
        <v>139</v>
      </c>
      <c r="B11" s="202" t="s">
        <v>140</v>
      </c>
      <c r="C11" s="225"/>
      <c r="D11" s="222">
        <v>10053102</v>
      </c>
      <c r="E11" s="178">
        <v>45204</v>
      </c>
      <c r="F11" s="181" t="s">
        <v>20</v>
      </c>
      <c r="G11" s="203">
        <v>45204</v>
      </c>
      <c r="H11" s="186"/>
      <c r="I11" s="184"/>
      <c r="J11" s="184"/>
      <c r="K11" s="184"/>
      <c r="L11" s="184"/>
      <c r="M11" s="186"/>
      <c r="N11" s="184"/>
      <c r="O11" s="186"/>
      <c r="P11" s="204"/>
      <c r="Q11" s="190"/>
      <c r="R11" s="186">
        <v>65</v>
      </c>
      <c r="S11" s="190">
        <v>12.5</v>
      </c>
      <c r="T11" s="193">
        <v>6.66</v>
      </c>
      <c r="U11" s="196">
        <f>SUM(H11:T11)</f>
        <v>84.16</v>
      </c>
      <c r="V11" s="200" t="s">
        <v>63</v>
      </c>
      <c r="W11" s="212" t="s">
        <v>112</v>
      </c>
      <c r="X11" s="65" t="s">
        <v>17</v>
      </c>
      <c r="Y11" s="176"/>
    </row>
    <row r="12" spans="1:26" s="2" customFormat="1" ht="14.1" customHeight="1" x14ac:dyDescent="0.2">
      <c r="A12" s="241" t="s">
        <v>37</v>
      </c>
      <c r="B12" s="3" t="s">
        <v>140</v>
      </c>
      <c r="C12" s="4"/>
      <c r="D12" s="52">
        <v>10123101</v>
      </c>
      <c r="E12" s="98">
        <v>45211</v>
      </c>
      <c r="F12" s="44" t="s">
        <v>20</v>
      </c>
      <c r="G12" s="61">
        <v>45212</v>
      </c>
      <c r="H12" s="42"/>
      <c r="I12" s="28"/>
      <c r="J12" s="28"/>
      <c r="K12" s="28"/>
      <c r="L12" s="28"/>
      <c r="M12" s="42"/>
      <c r="N12" s="28"/>
      <c r="O12" s="42"/>
      <c r="P12" s="7"/>
      <c r="Q12" s="43"/>
      <c r="R12" s="42">
        <v>45</v>
      </c>
      <c r="S12" s="43">
        <v>12.5</v>
      </c>
      <c r="T12" s="32">
        <v>4.6100000000000003</v>
      </c>
      <c r="U12" s="53">
        <f>SUM(H12:T12)</f>
        <v>62.11</v>
      </c>
      <c r="V12" s="64" t="s">
        <v>63</v>
      </c>
      <c r="W12" s="2" t="s">
        <v>37</v>
      </c>
      <c r="X12" s="65" t="s">
        <v>17</v>
      </c>
      <c r="Y12" s="176"/>
    </row>
    <row r="13" spans="1:26" s="2" customFormat="1" ht="14.1" customHeight="1" x14ac:dyDescent="0.35">
      <c r="A13" s="251" t="s">
        <v>37</v>
      </c>
      <c r="B13" s="218" t="s">
        <v>73</v>
      </c>
      <c r="C13" s="233"/>
      <c r="D13" s="223">
        <v>5303104</v>
      </c>
      <c r="E13" s="179">
        <v>45076</v>
      </c>
      <c r="F13" s="182" t="s">
        <v>20</v>
      </c>
      <c r="G13" s="219">
        <v>45076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29</v>
      </c>
      <c r="S13" s="191">
        <v>12.5</v>
      </c>
      <c r="T13" s="194">
        <v>2.5</v>
      </c>
      <c r="U13" s="197">
        <f>SUM(H13:T13)</f>
        <v>44</v>
      </c>
      <c r="V13" s="199" t="s">
        <v>63</v>
      </c>
      <c r="W13" s="221" t="s">
        <v>37</v>
      </c>
      <c r="X13" s="65" t="s">
        <v>17</v>
      </c>
      <c r="Y13" s="105"/>
      <c r="Z13" s="176"/>
    </row>
    <row r="14" spans="1:26" s="2" customFormat="1" ht="14.1" customHeight="1" x14ac:dyDescent="0.2">
      <c r="A14" s="249" t="s">
        <v>37</v>
      </c>
      <c r="B14" s="202" t="s">
        <v>132</v>
      </c>
      <c r="C14" s="225" t="s">
        <v>133</v>
      </c>
      <c r="D14" s="222">
        <v>10033104</v>
      </c>
      <c r="E14" s="178">
        <v>45202</v>
      </c>
      <c r="F14" s="181" t="s">
        <v>20</v>
      </c>
      <c r="G14" s="203">
        <v>45202</v>
      </c>
      <c r="H14" s="186"/>
      <c r="I14" s="184"/>
      <c r="J14" s="184"/>
      <c r="K14" s="184"/>
      <c r="L14" s="184"/>
      <c r="M14" s="186"/>
      <c r="N14" s="184"/>
      <c r="O14" s="186"/>
      <c r="P14" s="204"/>
      <c r="Q14" s="190"/>
      <c r="R14" s="186">
        <v>55</v>
      </c>
      <c r="S14" s="190">
        <v>12.5</v>
      </c>
      <c r="T14" s="193">
        <v>4.74</v>
      </c>
      <c r="U14" s="196">
        <f>SUM(H14:T14)</f>
        <v>72.239999999999995</v>
      </c>
      <c r="V14" s="200" t="s">
        <v>63</v>
      </c>
      <c r="W14" s="212" t="s">
        <v>37</v>
      </c>
      <c r="X14" s="65" t="s">
        <v>17</v>
      </c>
      <c r="Y14" s="176"/>
    </row>
    <row r="15" spans="1:26" s="2" customFormat="1" ht="14.1" customHeight="1" x14ac:dyDescent="0.2">
      <c r="A15" s="241" t="s">
        <v>37</v>
      </c>
      <c r="B15" s="3" t="s">
        <v>150</v>
      </c>
      <c r="C15" s="4" t="s">
        <v>151</v>
      </c>
      <c r="D15" s="52">
        <v>10123102</v>
      </c>
      <c r="E15" s="98">
        <v>45211</v>
      </c>
      <c r="F15" s="44" t="s">
        <v>20</v>
      </c>
      <c r="G15" s="61">
        <v>45212</v>
      </c>
      <c r="H15" s="42"/>
      <c r="I15" s="28"/>
      <c r="J15" s="28"/>
      <c r="K15" s="28"/>
      <c r="L15" s="28"/>
      <c r="M15" s="42"/>
      <c r="N15" s="28"/>
      <c r="O15" s="42"/>
      <c r="P15" s="7"/>
      <c r="Q15" s="43"/>
      <c r="R15" s="42">
        <v>39</v>
      </c>
      <c r="S15" s="43">
        <v>12.5</v>
      </c>
      <c r="T15" s="32">
        <v>3.36</v>
      </c>
      <c r="U15" s="53">
        <f>SUM(H15:T15)</f>
        <v>54.86</v>
      </c>
      <c r="V15" s="64" t="s">
        <v>63</v>
      </c>
      <c r="W15" s="2" t="s">
        <v>37</v>
      </c>
      <c r="X15" s="65" t="s">
        <v>17</v>
      </c>
      <c r="Y15" s="176"/>
    </row>
    <row r="16" spans="1:26" s="2" customFormat="1" ht="14.1" customHeight="1" x14ac:dyDescent="0.2">
      <c r="A16" s="241" t="s">
        <v>37</v>
      </c>
      <c r="B16" s="3" t="s">
        <v>158</v>
      </c>
      <c r="C16" s="4"/>
      <c r="D16" s="52">
        <v>10173101</v>
      </c>
      <c r="E16" s="98">
        <v>45216</v>
      </c>
      <c r="F16" s="44" t="s">
        <v>20</v>
      </c>
      <c r="G16" s="61">
        <v>45217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149</v>
      </c>
      <c r="S16" s="43">
        <v>37.5</v>
      </c>
      <c r="T16" s="32">
        <v>13.41</v>
      </c>
      <c r="U16" s="53">
        <f>SUM(H16:T16)</f>
        <v>199.91</v>
      </c>
      <c r="V16" s="64" t="s">
        <v>63</v>
      </c>
      <c r="W16" s="2" t="s">
        <v>112</v>
      </c>
      <c r="X16" s="65" t="s">
        <v>17</v>
      </c>
      <c r="Y16" s="176"/>
    </row>
    <row r="17" spans="1:26" s="2" customFormat="1" ht="14.1" customHeight="1" x14ac:dyDescent="0.2">
      <c r="A17" s="241" t="s">
        <v>37</v>
      </c>
      <c r="B17" s="3" t="s">
        <v>164</v>
      </c>
      <c r="C17" s="4"/>
      <c r="D17" s="52">
        <v>10303101</v>
      </c>
      <c r="E17" s="98">
        <v>45229</v>
      </c>
      <c r="F17" s="44" t="s">
        <v>20</v>
      </c>
      <c r="G17" s="61">
        <v>45229</v>
      </c>
      <c r="H17" s="42"/>
      <c r="I17" s="28"/>
      <c r="J17" s="28"/>
      <c r="K17" s="28"/>
      <c r="L17" s="28"/>
      <c r="M17" s="42"/>
      <c r="N17" s="28"/>
      <c r="O17" s="42"/>
      <c r="P17" s="7"/>
      <c r="Q17" s="43"/>
      <c r="R17" s="42">
        <v>402</v>
      </c>
      <c r="S17" s="43">
        <v>75</v>
      </c>
      <c r="T17" s="32">
        <v>33.17</v>
      </c>
      <c r="U17" s="53">
        <f>SUM(H17:T17)</f>
        <v>510.17</v>
      </c>
      <c r="V17" s="64" t="s">
        <v>63</v>
      </c>
      <c r="W17" s="2" t="s">
        <v>112</v>
      </c>
      <c r="X17" s="65" t="s">
        <v>17</v>
      </c>
      <c r="Y17" s="176"/>
    </row>
    <row r="18" spans="1:26" s="2" customFormat="1" ht="14.1" customHeight="1" x14ac:dyDescent="0.35">
      <c r="A18" s="250" t="s">
        <v>37</v>
      </c>
      <c r="B18" s="213" t="s">
        <v>115</v>
      </c>
      <c r="C18" s="226"/>
      <c r="D18" s="224">
        <v>9073101</v>
      </c>
      <c r="E18" s="180">
        <v>45176</v>
      </c>
      <c r="F18" s="183" t="s">
        <v>20</v>
      </c>
      <c r="G18" s="214">
        <v>45176</v>
      </c>
      <c r="H18" s="189"/>
      <c r="I18" s="187"/>
      <c r="J18" s="187"/>
      <c r="K18" s="187"/>
      <c r="L18" s="187"/>
      <c r="M18" s="189"/>
      <c r="N18" s="187"/>
      <c r="O18" s="189"/>
      <c r="P18" s="215"/>
      <c r="Q18" s="192"/>
      <c r="R18" s="189">
        <v>20.61</v>
      </c>
      <c r="S18" s="192"/>
      <c r="T18" s="195"/>
      <c r="U18" s="198">
        <f>SUM(H18:T18)</f>
        <v>20.61</v>
      </c>
      <c r="V18" s="201" t="s">
        <v>63</v>
      </c>
      <c r="W18" s="217" t="s">
        <v>57</v>
      </c>
      <c r="X18" s="65" t="s">
        <v>17</v>
      </c>
      <c r="Y18" s="105" t="s">
        <v>203</v>
      </c>
      <c r="Z18" s="176"/>
    </row>
    <row r="19" spans="1:26" s="2" customFormat="1" ht="14.1" customHeight="1" x14ac:dyDescent="0.2">
      <c r="A19" s="241" t="s">
        <v>37</v>
      </c>
      <c r="B19" s="3" t="s">
        <v>71</v>
      </c>
      <c r="C19" s="4"/>
      <c r="D19" s="52">
        <v>10263103</v>
      </c>
      <c r="E19" s="98">
        <v>45225</v>
      </c>
      <c r="F19" s="44" t="s">
        <v>20</v>
      </c>
      <c r="G19" s="61">
        <v>45225</v>
      </c>
      <c r="H19" s="42"/>
      <c r="I19" s="28"/>
      <c r="J19" s="28"/>
      <c r="K19" s="28"/>
      <c r="L19" s="28"/>
      <c r="M19" s="42"/>
      <c r="N19" s="28"/>
      <c r="O19" s="42"/>
      <c r="P19" s="7"/>
      <c r="Q19" s="43"/>
      <c r="R19" s="42">
        <v>159</v>
      </c>
      <c r="S19" s="43">
        <v>37.5</v>
      </c>
      <c r="T19" s="32">
        <v>12.32</v>
      </c>
      <c r="U19" s="53">
        <f>SUM(H19:T19)</f>
        <v>208.82</v>
      </c>
      <c r="V19" s="64" t="s">
        <v>63</v>
      </c>
      <c r="W19" s="2" t="s">
        <v>37</v>
      </c>
      <c r="X19" s="65" t="s">
        <v>17</v>
      </c>
      <c r="Y19" s="176"/>
    </row>
    <row r="20" spans="1:26" s="2" customFormat="1" ht="14.1" customHeight="1" x14ac:dyDescent="0.2">
      <c r="A20" s="241" t="s">
        <v>5</v>
      </c>
      <c r="B20" s="3" t="s">
        <v>96</v>
      </c>
      <c r="C20" s="4"/>
      <c r="D20" s="52">
        <v>10043062</v>
      </c>
      <c r="E20" s="98">
        <v>45203</v>
      </c>
      <c r="F20" s="44" t="s">
        <v>144</v>
      </c>
      <c r="G20" s="61">
        <v>45210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390</v>
      </c>
      <c r="S20" s="43"/>
      <c r="T20" s="32"/>
      <c r="U20" s="53">
        <f>SUM(H20:T20)</f>
        <v>390</v>
      </c>
      <c r="V20" s="64" t="s">
        <v>32</v>
      </c>
      <c r="W20" s="2" t="s">
        <v>146</v>
      </c>
      <c r="X20" s="65" t="s">
        <v>17</v>
      </c>
      <c r="Y20" s="176"/>
    </row>
    <row r="21" spans="1:26" s="2" customFormat="1" ht="14.1" customHeight="1" x14ac:dyDescent="0.35">
      <c r="A21" s="249" t="s">
        <v>37</v>
      </c>
      <c r="B21" s="202" t="s">
        <v>125</v>
      </c>
      <c r="C21" s="225" t="s">
        <v>126</v>
      </c>
      <c r="D21" s="222">
        <v>9253108</v>
      </c>
      <c r="E21" s="178">
        <v>45194</v>
      </c>
      <c r="F21" s="181" t="s">
        <v>20</v>
      </c>
      <c r="G21" s="203">
        <v>45194</v>
      </c>
      <c r="H21" s="186"/>
      <c r="I21" s="184"/>
      <c r="J21" s="184"/>
      <c r="K21" s="184"/>
      <c r="L21" s="184"/>
      <c r="M21" s="186"/>
      <c r="N21" s="184"/>
      <c r="O21" s="186"/>
      <c r="P21" s="204"/>
      <c r="Q21" s="190"/>
      <c r="R21" s="186">
        <v>180</v>
      </c>
      <c r="S21" s="190">
        <v>50</v>
      </c>
      <c r="T21" s="193">
        <v>15.08</v>
      </c>
      <c r="U21" s="196">
        <f>SUM(H21:T21)</f>
        <v>245.08</v>
      </c>
      <c r="V21" s="200" t="s">
        <v>63</v>
      </c>
      <c r="W21" s="212" t="s">
        <v>37</v>
      </c>
      <c r="X21" s="65" t="s">
        <v>17</v>
      </c>
      <c r="Y21" s="105"/>
      <c r="Z21" s="176"/>
    </row>
    <row r="22" spans="1:26" s="2" customFormat="1" ht="14.1" customHeight="1" x14ac:dyDescent="0.35">
      <c r="A22" s="250" t="s">
        <v>36</v>
      </c>
      <c r="B22" s="213" t="s">
        <v>94</v>
      </c>
      <c r="C22" s="226"/>
      <c r="D22" s="224">
        <v>8113251</v>
      </c>
      <c r="E22" s="180">
        <v>45149</v>
      </c>
      <c r="F22" s="183" t="s">
        <v>95</v>
      </c>
      <c r="G22" s="214">
        <v>45152</v>
      </c>
      <c r="H22" s="189"/>
      <c r="I22" s="187"/>
      <c r="J22" s="187"/>
      <c r="K22" s="187"/>
      <c r="L22" s="187"/>
      <c r="M22" s="189"/>
      <c r="N22" s="187"/>
      <c r="O22" s="189"/>
      <c r="P22" s="215">
        <v>180</v>
      </c>
      <c r="Q22" s="192">
        <v>90</v>
      </c>
      <c r="R22" s="189"/>
      <c r="S22" s="192"/>
      <c r="T22" s="195"/>
      <c r="U22" s="198">
        <f>SUM(H22:T22)</f>
        <v>270</v>
      </c>
      <c r="V22" s="201" t="s">
        <v>7</v>
      </c>
      <c r="W22" s="217" t="s">
        <v>36</v>
      </c>
      <c r="X22" s="65" t="s">
        <v>17</v>
      </c>
      <c r="Y22" s="105"/>
      <c r="Z22" s="176"/>
    </row>
    <row r="23" spans="1:26" s="2" customFormat="1" ht="14.1" customHeight="1" x14ac:dyDescent="0.2">
      <c r="A23" s="241" t="s">
        <v>37</v>
      </c>
      <c r="B23" s="3" t="s">
        <v>148</v>
      </c>
      <c r="C23" s="4" t="s">
        <v>149</v>
      </c>
      <c r="D23" s="52">
        <v>10113102</v>
      </c>
      <c r="E23" s="98">
        <v>45210</v>
      </c>
      <c r="F23" s="44" t="s">
        <v>20</v>
      </c>
      <c r="G23" s="61">
        <v>45212</v>
      </c>
      <c r="H23" s="42"/>
      <c r="I23" s="28"/>
      <c r="J23" s="28"/>
      <c r="K23" s="28"/>
      <c r="L23" s="28"/>
      <c r="M23" s="42"/>
      <c r="N23" s="28"/>
      <c r="O23" s="42"/>
      <c r="P23" s="7"/>
      <c r="Q23" s="43"/>
      <c r="R23" s="42">
        <v>195</v>
      </c>
      <c r="S23" s="43">
        <v>37.5</v>
      </c>
      <c r="T23" s="32">
        <v>19.010000000000002</v>
      </c>
      <c r="U23" s="53">
        <f>SUM(H23:T23)</f>
        <v>251.51</v>
      </c>
      <c r="V23" s="64" t="s">
        <v>63</v>
      </c>
      <c r="W23" s="2" t="s">
        <v>112</v>
      </c>
      <c r="X23" s="65" t="s">
        <v>17</v>
      </c>
      <c r="Y23" s="176"/>
    </row>
    <row r="24" spans="1:26" s="2" customFormat="1" ht="14.1" customHeight="1" thickBot="1" x14ac:dyDescent="0.4">
      <c r="A24" s="250" t="s">
        <v>5</v>
      </c>
      <c r="B24" s="213" t="s">
        <v>33</v>
      </c>
      <c r="C24" s="226"/>
      <c r="D24" s="224">
        <v>8093064</v>
      </c>
      <c r="E24" s="180">
        <v>45147</v>
      </c>
      <c r="F24" s="183" t="s">
        <v>20</v>
      </c>
      <c r="G24" s="214">
        <v>45147</v>
      </c>
      <c r="H24" s="189"/>
      <c r="I24" s="187"/>
      <c r="J24" s="187"/>
      <c r="K24" s="187"/>
      <c r="L24" s="187"/>
      <c r="M24" s="189"/>
      <c r="N24" s="187"/>
      <c r="O24" s="189"/>
      <c r="P24" s="215"/>
      <c r="Q24" s="192"/>
      <c r="R24" s="189">
        <v>256</v>
      </c>
      <c r="S24" s="192"/>
      <c r="T24" s="195"/>
      <c r="U24" s="198">
        <f>SUM(H24:T24)</f>
        <v>256</v>
      </c>
      <c r="V24" s="201" t="s">
        <v>63</v>
      </c>
      <c r="W24" s="217" t="s">
        <v>57</v>
      </c>
      <c r="X24" s="65" t="s">
        <v>17</v>
      </c>
      <c r="Y24" s="105"/>
      <c r="Z24" s="176"/>
    </row>
    <row r="25" spans="1:26" s="2" customFormat="1" ht="14.1" customHeight="1" thickBot="1" x14ac:dyDescent="0.4">
      <c r="A25" s="259" t="s">
        <v>5</v>
      </c>
      <c r="B25" s="260" t="s">
        <v>33</v>
      </c>
      <c r="C25" s="261"/>
      <c r="D25" s="261">
        <v>8113064</v>
      </c>
      <c r="E25" s="262">
        <v>45149</v>
      </c>
      <c r="F25" s="263" t="s">
        <v>20</v>
      </c>
      <c r="G25" s="264">
        <v>45149</v>
      </c>
      <c r="H25" s="265"/>
      <c r="I25" s="265"/>
      <c r="J25" s="266"/>
      <c r="K25" s="266"/>
      <c r="L25" s="266"/>
      <c r="M25" s="265"/>
      <c r="N25" s="265"/>
      <c r="O25" s="265"/>
      <c r="P25" s="267"/>
      <c r="Q25" s="268"/>
      <c r="R25" s="265">
        <v>690</v>
      </c>
      <c r="S25" s="268"/>
      <c r="T25" s="269"/>
      <c r="U25" s="270">
        <f>SUM(H25:T25)</f>
        <v>690</v>
      </c>
      <c r="V25" s="271" t="s">
        <v>63</v>
      </c>
      <c r="W25" s="272" t="s">
        <v>5</v>
      </c>
      <c r="X25" s="84" t="s">
        <v>17</v>
      </c>
      <c r="Y25" s="258"/>
      <c r="Z25" s="176"/>
    </row>
    <row r="26" spans="1:26" s="2" customFormat="1" ht="14.1" customHeight="1" x14ac:dyDescent="0.35">
      <c r="A26" s="249" t="s">
        <v>5</v>
      </c>
      <c r="B26" s="202" t="s">
        <v>33</v>
      </c>
      <c r="C26" s="225"/>
      <c r="D26" s="222">
        <v>9213062</v>
      </c>
      <c r="E26" s="178">
        <v>45190</v>
      </c>
      <c r="F26" s="181" t="s">
        <v>20</v>
      </c>
      <c r="G26" s="203">
        <v>45191</v>
      </c>
      <c r="H26" s="186"/>
      <c r="I26" s="184"/>
      <c r="J26" s="184"/>
      <c r="K26" s="184"/>
      <c r="L26" s="184"/>
      <c r="M26" s="186"/>
      <c r="N26" s="184"/>
      <c r="O26" s="186"/>
      <c r="P26" s="204"/>
      <c r="Q26" s="190"/>
      <c r="R26" s="186">
        <v>651</v>
      </c>
      <c r="S26" s="190"/>
      <c r="T26" s="193"/>
      <c r="U26" s="196">
        <f>SUM(H26:T26)</f>
        <v>651</v>
      </c>
      <c r="V26" s="200" t="s">
        <v>63</v>
      </c>
      <c r="W26" s="212" t="s">
        <v>57</v>
      </c>
      <c r="X26" s="65" t="s">
        <v>17</v>
      </c>
      <c r="Y26" s="105"/>
      <c r="Z26" s="176"/>
    </row>
    <row r="27" spans="1:26" s="2" customFormat="1" ht="13.2" customHeight="1" x14ac:dyDescent="0.2">
      <c r="A27" s="241" t="s">
        <v>5</v>
      </c>
      <c r="B27" s="3" t="s">
        <v>33</v>
      </c>
      <c r="C27" s="4">
        <v>366681</v>
      </c>
      <c r="D27" s="52">
        <v>10093064</v>
      </c>
      <c r="E27" s="98">
        <v>45208</v>
      </c>
      <c r="F27" s="44" t="s">
        <v>20</v>
      </c>
      <c r="G27" s="61">
        <v>45208</v>
      </c>
      <c r="H27" s="42"/>
      <c r="I27" s="28"/>
      <c r="J27" s="28"/>
      <c r="K27" s="28"/>
      <c r="L27" s="28"/>
      <c r="M27" s="42"/>
      <c r="N27" s="28"/>
      <c r="O27" s="42"/>
      <c r="P27" s="7"/>
      <c r="Q27" s="43"/>
      <c r="R27" s="42">
        <v>1035</v>
      </c>
      <c r="S27" s="43"/>
      <c r="T27" s="32"/>
      <c r="U27" s="53">
        <f>SUM(H27:T27)</f>
        <v>1035</v>
      </c>
      <c r="V27" s="64" t="s">
        <v>63</v>
      </c>
      <c r="W27" s="2" t="s">
        <v>5</v>
      </c>
      <c r="X27" s="65" t="s">
        <v>17</v>
      </c>
      <c r="Y27" s="176"/>
    </row>
    <row r="28" spans="1:26" s="2" customFormat="1" ht="14.1" customHeight="1" x14ac:dyDescent="0.2">
      <c r="A28" s="241" t="s">
        <v>5</v>
      </c>
      <c r="B28" s="3" t="s">
        <v>33</v>
      </c>
      <c r="C28" s="4">
        <v>366680</v>
      </c>
      <c r="D28" s="52">
        <v>10093065</v>
      </c>
      <c r="E28" s="98">
        <v>45208</v>
      </c>
      <c r="F28" s="44" t="s">
        <v>20</v>
      </c>
      <c r="G28" s="61">
        <v>45208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286</v>
      </c>
      <c r="S28" s="43"/>
      <c r="T28" s="32"/>
      <c r="U28" s="53">
        <f>SUM(H28:T28)</f>
        <v>286</v>
      </c>
      <c r="V28" s="64" t="s">
        <v>63</v>
      </c>
      <c r="W28" s="2" t="s">
        <v>5</v>
      </c>
      <c r="X28" s="65" t="s">
        <v>17</v>
      </c>
      <c r="Y28" s="176"/>
    </row>
    <row r="29" spans="1:26" s="2" customFormat="1" ht="14.1" customHeight="1" x14ac:dyDescent="0.2">
      <c r="A29" s="241" t="s">
        <v>5</v>
      </c>
      <c r="B29" s="3" t="s">
        <v>33</v>
      </c>
      <c r="C29" s="4"/>
      <c r="D29" s="52">
        <v>10233064</v>
      </c>
      <c r="E29" s="98">
        <v>45222</v>
      </c>
      <c r="F29" s="44" t="s">
        <v>20</v>
      </c>
      <c r="G29" s="61">
        <v>45222</v>
      </c>
      <c r="H29" s="42"/>
      <c r="I29" s="28"/>
      <c r="J29" s="28"/>
      <c r="K29" s="28"/>
      <c r="L29" s="28"/>
      <c r="M29" s="42"/>
      <c r="N29" s="28"/>
      <c r="O29" s="42"/>
      <c r="P29" s="7"/>
      <c r="Q29" s="43"/>
      <c r="R29" s="42">
        <v>345</v>
      </c>
      <c r="S29" s="43"/>
      <c r="T29" s="32"/>
      <c r="U29" s="53">
        <f>SUM(H29:T29)</f>
        <v>345</v>
      </c>
      <c r="V29" s="64" t="s">
        <v>63</v>
      </c>
      <c r="W29" s="2" t="s">
        <v>112</v>
      </c>
      <c r="X29" s="65" t="s">
        <v>17</v>
      </c>
      <c r="Y29" s="176"/>
    </row>
    <row r="30" spans="1:26" s="2" customFormat="1" ht="14.1" customHeight="1" x14ac:dyDescent="0.2">
      <c r="A30" s="241" t="s">
        <v>5</v>
      </c>
      <c r="B30" s="3" t="s">
        <v>33</v>
      </c>
      <c r="C30" s="4"/>
      <c r="D30" s="52">
        <v>10233065</v>
      </c>
      <c r="E30" s="98">
        <v>45222</v>
      </c>
      <c r="F30" s="44" t="s">
        <v>20</v>
      </c>
      <c r="G30" s="61">
        <v>45222</v>
      </c>
      <c r="H30" s="42"/>
      <c r="I30" s="28"/>
      <c r="J30" s="28"/>
      <c r="K30" s="28"/>
      <c r="L30" s="28"/>
      <c r="M30" s="42"/>
      <c r="N30" s="28"/>
      <c r="O30" s="42"/>
      <c r="P30" s="7"/>
      <c r="Q30" s="43"/>
      <c r="R30" s="42">
        <v>395</v>
      </c>
      <c r="S30" s="43"/>
      <c r="T30" s="32"/>
      <c r="U30" s="53">
        <f>SUM(H30:T30)</f>
        <v>395</v>
      </c>
      <c r="V30" s="64" t="s">
        <v>63</v>
      </c>
      <c r="W30" s="2" t="s">
        <v>112</v>
      </c>
      <c r="X30" s="65" t="s">
        <v>17</v>
      </c>
      <c r="Y30" s="176"/>
    </row>
    <row r="31" spans="1:26" s="2" customFormat="1" ht="14.1" customHeight="1" x14ac:dyDescent="0.35">
      <c r="A31" s="251" t="s">
        <v>37</v>
      </c>
      <c r="B31" s="218" t="s">
        <v>76</v>
      </c>
      <c r="C31" s="233"/>
      <c r="D31" s="223">
        <v>7273105</v>
      </c>
      <c r="E31" s="179">
        <v>45134</v>
      </c>
      <c r="F31" s="182" t="s">
        <v>20</v>
      </c>
      <c r="G31" s="219">
        <v>45135</v>
      </c>
      <c r="H31" s="188"/>
      <c r="I31" s="185"/>
      <c r="J31" s="185"/>
      <c r="K31" s="185"/>
      <c r="L31" s="185"/>
      <c r="M31" s="188"/>
      <c r="N31" s="185"/>
      <c r="O31" s="188"/>
      <c r="P31" s="220"/>
      <c r="Q31" s="191"/>
      <c r="R31" s="188">
        <v>195</v>
      </c>
      <c r="S31" s="191">
        <v>37.5</v>
      </c>
      <c r="T31" s="194">
        <v>16.82</v>
      </c>
      <c r="U31" s="197">
        <f>SUM(H31:T31)</f>
        <v>249.32</v>
      </c>
      <c r="V31" s="199" t="s">
        <v>63</v>
      </c>
      <c r="W31" s="221" t="s">
        <v>57</v>
      </c>
      <c r="X31" s="65" t="s">
        <v>17</v>
      </c>
      <c r="Y31" s="105"/>
      <c r="Z31" s="176"/>
    </row>
    <row r="32" spans="1:26" s="2" customFormat="1" ht="14.1" customHeight="1" x14ac:dyDescent="0.2">
      <c r="A32" s="241" t="s">
        <v>37</v>
      </c>
      <c r="B32" s="3" t="s">
        <v>153</v>
      </c>
      <c r="C32" s="4"/>
      <c r="D32" s="52">
        <v>10133101</v>
      </c>
      <c r="E32" s="98">
        <v>45212</v>
      </c>
      <c r="F32" s="44" t="s">
        <v>20</v>
      </c>
      <c r="G32" s="61">
        <v>45212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331</v>
      </c>
      <c r="S32" s="43">
        <v>50</v>
      </c>
      <c r="T32" s="32">
        <v>28.55</v>
      </c>
      <c r="U32" s="53">
        <f>SUM(H32:T32)</f>
        <v>409.55</v>
      </c>
      <c r="V32" s="64" t="s">
        <v>63</v>
      </c>
      <c r="W32" s="2" t="s">
        <v>57</v>
      </c>
      <c r="X32" s="65" t="s">
        <v>17</v>
      </c>
      <c r="Y32" s="176"/>
    </row>
    <row r="33" spans="1:26" s="2" customFormat="1" ht="14.1" customHeight="1" x14ac:dyDescent="0.2">
      <c r="A33" s="249" t="s">
        <v>37</v>
      </c>
      <c r="B33" s="202" t="s">
        <v>137</v>
      </c>
      <c r="C33" s="225"/>
      <c r="D33" s="222">
        <v>10033109</v>
      </c>
      <c r="E33" s="178">
        <v>45202</v>
      </c>
      <c r="F33" s="181" t="s">
        <v>20</v>
      </c>
      <c r="G33" s="203">
        <v>45203</v>
      </c>
      <c r="H33" s="186"/>
      <c r="I33" s="184"/>
      <c r="J33" s="184"/>
      <c r="K33" s="184"/>
      <c r="L33" s="184"/>
      <c r="M33" s="186"/>
      <c r="N33" s="184"/>
      <c r="O33" s="186"/>
      <c r="P33" s="204"/>
      <c r="Q33" s="190"/>
      <c r="R33" s="186">
        <v>182</v>
      </c>
      <c r="S33" s="190">
        <v>50</v>
      </c>
      <c r="T33" s="193">
        <v>14.11</v>
      </c>
      <c r="U33" s="196">
        <f>SUM(H33:T33)</f>
        <v>246.11</v>
      </c>
      <c r="V33" s="200" t="s">
        <v>63</v>
      </c>
      <c r="W33" s="212" t="s">
        <v>112</v>
      </c>
      <c r="X33" s="65" t="s">
        <v>17</v>
      </c>
      <c r="Y33" s="176"/>
    </row>
    <row r="34" spans="1:26" s="2" customFormat="1" ht="14.1" customHeight="1" x14ac:dyDescent="0.35">
      <c r="A34" s="251" t="s">
        <v>37</v>
      </c>
      <c r="B34" s="218" t="s">
        <v>79</v>
      </c>
      <c r="C34" s="233"/>
      <c r="D34" s="223">
        <v>7103107</v>
      </c>
      <c r="E34" s="179">
        <v>45117</v>
      </c>
      <c r="F34" s="182" t="s">
        <v>20</v>
      </c>
      <c r="G34" s="219">
        <v>45118</v>
      </c>
      <c r="H34" s="188"/>
      <c r="I34" s="185"/>
      <c r="J34" s="185"/>
      <c r="K34" s="185"/>
      <c r="L34" s="185"/>
      <c r="M34" s="188"/>
      <c r="N34" s="185"/>
      <c r="O34" s="188"/>
      <c r="P34" s="220"/>
      <c r="Q34" s="191"/>
      <c r="R34" s="188">
        <v>65</v>
      </c>
      <c r="S34" s="191">
        <v>12.5</v>
      </c>
      <c r="T34" s="194">
        <v>6.01</v>
      </c>
      <c r="U34" s="197">
        <f>SUM(H34:T34)</f>
        <v>83.51</v>
      </c>
      <c r="V34" s="199" t="s">
        <v>63</v>
      </c>
      <c r="W34" s="221" t="s">
        <v>37</v>
      </c>
      <c r="X34" s="65" t="s">
        <v>17</v>
      </c>
      <c r="Y34" s="105"/>
      <c r="Z34" s="176"/>
    </row>
    <row r="35" spans="1:26" s="2" customFormat="1" ht="14.1" customHeight="1" x14ac:dyDescent="0.2">
      <c r="A35" s="241" t="s">
        <v>37</v>
      </c>
      <c r="B35" s="3" t="s">
        <v>145</v>
      </c>
      <c r="C35" s="4" t="s">
        <v>111</v>
      </c>
      <c r="D35" s="52">
        <v>10103103</v>
      </c>
      <c r="E35" s="98">
        <v>45209</v>
      </c>
      <c r="F35" s="44" t="s">
        <v>20</v>
      </c>
      <c r="G35" s="61">
        <v>45209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168</v>
      </c>
      <c r="S35" s="43">
        <v>37.5</v>
      </c>
      <c r="T35" s="32">
        <v>14.49</v>
      </c>
      <c r="U35" s="53">
        <f>SUM(H35:T35)</f>
        <v>219.99</v>
      </c>
      <c r="V35" s="64" t="s">
        <v>63</v>
      </c>
      <c r="W35" s="2" t="s">
        <v>112</v>
      </c>
      <c r="X35" s="65" t="s">
        <v>17</v>
      </c>
      <c r="Y35" s="176"/>
    </row>
    <row r="36" spans="1:26" s="2" customFormat="1" ht="14.1" customHeight="1" x14ac:dyDescent="0.2">
      <c r="A36" s="241" t="s">
        <v>37</v>
      </c>
      <c r="B36" s="3" t="s">
        <v>169</v>
      </c>
      <c r="C36" s="4"/>
      <c r="D36" s="52">
        <v>10303110</v>
      </c>
      <c r="E36" s="98">
        <v>45229</v>
      </c>
      <c r="F36" s="44" t="s">
        <v>20</v>
      </c>
      <c r="G36" s="61">
        <v>45230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208</v>
      </c>
      <c r="S36" s="43">
        <v>37.5</v>
      </c>
      <c r="T36" s="32">
        <v>17.940000000000001</v>
      </c>
      <c r="U36" s="53">
        <f>SUM(H36:T36)</f>
        <v>263.44</v>
      </c>
      <c r="V36" s="64" t="s">
        <v>63</v>
      </c>
      <c r="W36" s="2" t="s">
        <v>112</v>
      </c>
      <c r="X36" s="65" t="s">
        <v>17</v>
      </c>
      <c r="Y36" s="176"/>
    </row>
    <row r="37" spans="1:26" s="2" customFormat="1" ht="14.1" customHeight="1" x14ac:dyDescent="0.2">
      <c r="A37" s="241" t="s">
        <v>37</v>
      </c>
      <c r="B37" s="3" t="s">
        <v>152</v>
      </c>
      <c r="C37" s="4" t="s">
        <v>111</v>
      </c>
      <c r="D37" s="52">
        <v>10123103</v>
      </c>
      <c r="E37" s="98">
        <v>45211</v>
      </c>
      <c r="F37" s="44" t="s">
        <v>20</v>
      </c>
      <c r="G37" s="61">
        <v>45212</v>
      </c>
      <c r="H37" s="42"/>
      <c r="I37" s="28"/>
      <c r="J37" s="28"/>
      <c r="K37" s="28"/>
      <c r="L37" s="28"/>
      <c r="M37" s="42"/>
      <c r="N37" s="28"/>
      <c r="O37" s="42"/>
      <c r="P37" s="7"/>
      <c r="Q37" s="43"/>
      <c r="R37" s="42">
        <v>214</v>
      </c>
      <c r="S37" s="43">
        <v>50</v>
      </c>
      <c r="T37" s="32">
        <v>18.46</v>
      </c>
      <c r="U37" s="53">
        <f>SUM(H37:T37)</f>
        <v>282.45999999999998</v>
      </c>
      <c r="V37" s="64" t="s">
        <v>63</v>
      </c>
      <c r="W37" s="2" t="s">
        <v>37</v>
      </c>
      <c r="X37" s="65" t="s">
        <v>17</v>
      </c>
      <c r="Y37" s="176"/>
    </row>
    <row r="38" spans="1:26" s="2" customFormat="1" ht="14.1" customHeight="1" x14ac:dyDescent="0.35">
      <c r="A38" s="251" t="s">
        <v>37</v>
      </c>
      <c r="B38" s="218" t="s">
        <v>60</v>
      </c>
      <c r="C38" s="233"/>
      <c r="D38" s="223">
        <v>3133101</v>
      </c>
      <c r="E38" s="179">
        <v>44998</v>
      </c>
      <c r="F38" s="182" t="s">
        <v>20</v>
      </c>
      <c r="G38" s="219">
        <v>44998</v>
      </c>
      <c r="H38" s="188"/>
      <c r="I38" s="185"/>
      <c r="J38" s="185"/>
      <c r="K38" s="185"/>
      <c r="L38" s="185"/>
      <c r="M38" s="188"/>
      <c r="N38" s="185"/>
      <c r="O38" s="188"/>
      <c r="P38" s="220"/>
      <c r="Q38" s="191"/>
      <c r="R38" s="188">
        <v>298</v>
      </c>
      <c r="S38" s="191">
        <v>62.5</v>
      </c>
      <c r="T38" s="194">
        <v>24.59</v>
      </c>
      <c r="U38" s="197">
        <f>SUM(H38:T38)</f>
        <v>385.09</v>
      </c>
      <c r="V38" s="199" t="s">
        <v>63</v>
      </c>
      <c r="W38" s="221" t="s">
        <v>59</v>
      </c>
      <c r="X38" s="65" t="s">
        <v>17</v>
      </c>
      <c r="Y38" s="105"/>
      <c r="Z38" s="176"/>
    </row>
    <row r="39" spans="1:26" s="2" customFormat="1" ht="14.1" customHeight="1" x14ac:dyDescent="0.35">
      <c r="A39" s="251" t="s">
        <v>37</v>
      </c>
      <c r="B39" s="218" t="s">
        <v>60</v>
      </c>
      <c r="C39" s="233"/>
      <c r="D39" s="223">
        <v>4103101</v>
      </c>
      <c r="E39" s="179">
        <v>45026</v>
      </c>
      <c r="F39" s="182" t="s">
        <v>20</v>
      </c>
      <c r="G39" s="219">
        <v>45026</v>
      </c>
      <c r="H39" s="188"/>
      <c r="I39" s="185"/>
      <c r="J39" s="185"/>
      <c r="K39" s="185"/>
      <c r="L39" s="185"/>
      <c r="M39" s="188"/>
      <c r="N39" s="185"/>
      <c r="O39" s="188"/>
      <c r="P39" s="220"/>
      <c r="Q39" s="191"/>
      <c r="R39" s="188">
        <v>415</v>
      </c>
      <c r="S39" s="191">
        <v>62.5</v>
      </c>
      <c r="T39" s="194">
        <v>34.24</v>
      </c>
      <c r="U39" s="197">
        <f>SUM(H39:T39)</f>
        <v>511.74</v>
      </c>
      <c r="V39" s="199" t="s">
        <v>63</v>
      </c>
      <c r="W39" s="221" t="s">
        <v>57</v>
      </c>
      <c r="X39" s="65" t="s">
        <v>17</v>
      </c>
      <c r="Y39" s="105"/>
      <c r="Z39" s="176"/>
    </row>
    <row r="40" spans="1:26" s="2" customFormat="1" ht="14.1" customHeight="1" thickBot="1" x14ac:dyDescent="0.4">
      <c r="A40" s="251" t="s">
        <v>37</v>
      </c>
      <c r="B40" s="218" t="s">
        <v>60</v>
      </c>
      <c r="C40" s="233"/>
      <c r="D40" s="223">
        <v>6063102</v>
      </c>
      <c r="E40" s="179">
        <v>45083</v>
      </c>
      <c r="F40" s="182" t="s">
        <v>20</v>
      </c>
      <c r="G40" s="219">
        <v>45083</v>
      </c>
      <c r="H40" s="188"/>
      <c r="I40" s="185"/>
      <c r="J40" s="185"/>
      <c r="K40" s="185"/>
      <c r="L40" s="185"/>
      <c r="M40" s="188"/>
      <c r="N40" s="185"/>
      <c r="O40" s="188"/>
      <c r="P40" s="220"/>
      <c r="Q40" s="191"/>
      <c r="R40" s="188">
        <v>415</v>
      </c>
      <c r="S40" s="191">
        <v>62.5</v>
      </c>
      <c r="T40" s="194">
        <v>34.24</v>
      </c>
      <c r="U40" s="197">
        <f>SUM(H40:T40)</f>
        <v>511.74</v>
      </c>
      <c r="V40" s="199" t="s">
        <v>63</v>
      </c>
      <c r="W40" s="221" t="s">
        <v>57</v>
      </c>
      <c r="X40" s="65" t="s">
        <v>17</v>
      </c>
      <c r="Y40" s="105"/>
      <c r="Z40" s="176"/>
    </row>
    <row r="41" spans="1:26" s="2" customFormat="1" ht="14.1" customHeight="1" thickBot="1" x14ac:dyDescent="0.4">
      <c r="A41" s="293" t="s">
        <v>37</v>
      </c>
      <c r="B41" s="294" t="s">
        <v>60</v>
      </c>
      <c r="C41" s="295"/>
      <c r="D41" s="295">
        <v>7103102</v>
      </c>
      <c r="E41" s="296">
        <v>45117</v>
      </c>
      <c r="F41" s="297" t="s">
        <v>20</v>
      </c>
      <c r="G41" s="298">
        <v>45117</v>
      </c>
      <c r="H41" s="299"/>
      <c r="I41" s="299"/>
      <c r="J41" s="300"/>
      <c r="K41" s="300"/>
      <c r="L41" s="300"/>
      <c r="M41" s="299"/>
      <c r="N41" s="299"/>
      <c r="O41" s="299"/>
      <c r="P41" s="301"/>
      <c r="Q41" s="302"/>
      <c r="R41" s="299">
        <v>220</v>
      </c>
      <c r="S41" s="302">
        <v>50</v>
      </c>
      <c r="T41" s="303">
        <v>18.149999999999999</v>
      </c>
      <c r="U41" s="304">
        <f>SUM(H41:T41)</f>
        <v>288.14999999999998</v>
      </c>
      <c r="V41" s="305" t="s">
        <v>63</v>
      </c>
      <c r="W41" s="306" t="s">
        <v>5</v>
      </c>
      <c r="X41" s="84" t="s">
        <v>17</v>
      </c>
      <c r="Y41" s="258"/>
      <c r="Z41" s="176"/>
    </row>
    <row r="42" spans="1:26" s="2" customFormat="1" ht="14.1" customHeight="1" x14ac:dyDescent="0.35">
      <c r="A42" s="250" t="s">
        <v>37</v>
      </c>
      <c r="B42" s="213" t="s">
        <v>60</v>
      </c>
      <c r="C42" s="226"/>
      <c r="D42" s="224">
        <v>8153102</v>
      </c>
      <c r="E42" s="180">
        <v>45153</v>
      </c>
      <c r="F42" s="183" t="s">
        <v>20</v>
      </c>
      <c r="G42" s="214">
        <v>45153</v>
      </c>
      <c r="H42" s="189"/>
      <c r="I42" s="187"/>
      <c r="J42" s="187"/>
      <c r="K42" s="187"/>
      <c r="L42" s="187"/>
      <c r="M42" s="189"/>
      <c r="N42" s="187"/>
      <c r="O42" s="189"/>
      <c r="P42" s="215"/>
      <c r="Q42" s="192"/>
      <c r="R42" s="189">
        <v>220</v>
      </c>
      <c r="S42" s="192">
        <v>50</v>
      </c>
      <c r="T42" s="195">
        <v>18.149999999999999</v>
      </c>
      <c r="U42" s="198">
        <f>SUM(H42:T42)</f>
        <v>288.14999999999998</v>
      </c>
      <c r="V42" s="201" t="s">
        <v>63</v>
      </c>
      <c r="W42" s="217" t="s">
        <v>37</v>
      </c>
      <c r="X42" s="65" t="s">
        <v>17</v>
      </c>
      <c r="Y42" s="105"/>
      <c r="Z42" s="176"/>
    </row>
    <row r="43" spans="1:26" s="2" customFormat="1" ht="14.1" customHeight="1" x14ac:dyDescent="0.2">
      <c r="A43" s="241" t="s">
        <v>37</v>
      </c>
      <c r="B43" s="3" t="s">
        <v>61</v>
      </c>
      <c r="C43" s="4"/>
      <c r="D43" s="52">
        <v>10303102</v>
      </c>
      <c r="E43" s="98">
        <v>45229</v>
      </c>
      <c r="F43" s="44" t="s">
        <v>20</v>
      </c>
      <c r="G43" s="61">
        <v>45229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282</v>
      </c>
      <c r="S43" s="43">
        <v>50</v>
      </c>
      <c r="T43" s="32">
        <v>26.44</v>
      </c>
      <c r="U43" s="53">
        <f>SUM(H43:T43)</f>
        <v>358.44</v>
      </c>
      <c r="V43" s="64" t="s">
        <v>63</v>
      </c>
      <c r="W43" s="2" t="s">
        <v>112</v>
      </c>
      <c r="X43" s="65" t="s">
        <v>17</v>
      </c>
      <c r="Y43" s="176"/>
    </row>
    <row r="44" spans="1:26" s="2" customFormat="1" ht="14.1" customHeight="1" x14ac:dyDescent="0.2">
      <c r="A44" s="241" t="s">
        <v>37</v>
      </c>
      <c r="B44" s="3" t="s">
        <v>134</v>
      </c>
      <c r="C44" s="4"/>
      <c r="D44" s="52">
        <v>10213102</v>
      </c>
      <c r="E44" s="98">
        <v>45223</v>
      </c>
      <c r="F44" s="44" t="s">
        <v>20</v>
      </c>
      <c r="G44" s="61">
        <v>45223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110</v>
      </c>
      <c r="S44" s="43">
        <v>25</v>
      </c>
      <c r="T44" s="32">
        <v>9.08</v>
      </c>
      <c r="U44" s="53">
        <f>SUM(H44:T44)</f>
        <v>144.08000000000001</v>
      </c>
      <c r="V44" s="64" t="s">
        <v>63</v>
      </c>
      <c r="W44" s="2" t="s">
        <v>112</v>
      </c>
      <c r="X44" s="65" t="s">
        <v>17</v>
      </c>
      <c r="Y44" s="176"/>
    </row>
    <row r="45" spans="1:26" s="2" customFormat="1" ht="14.1" customHeight="1" x14ac:dyDescent="0.35">
      <c r="A45" s="249" t="s">
        <v>37</v>
      </c>
      <c r="B45" s="202" t="s">
        <v>117</v>
      </c>
      <c r="C45" s="225"/>
      <c r="D45" s="222">
        <v>9143102</v>
      </c>
      <c r="E45" s="178">
        <v>45183</v>
      </c>
      <c r="F45" s="181" t="s">
        <v>20</v>
      </c>
      <c r="G45" s="203">
        <v>45183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155</v>
      </c>
      <c r="S45" s="190">
        <v>37.5</v>
      </c>
      <c r="T45" s="193">
        <v>13.18</v>
      </c>
      <c r="U45" s="196">
        <f>SUM(H45:T45)</f>
        <v>205.68</v>
      </c>
      <c r="V45" s="200" t="s">
        <v>63</v>
      </c>
      <c r="W45" s="212" t="s">
        <v>112</v>
      </c>
      <c r="X45" s="65" t="s">
        <v>17</v>
      </c>
      <c r="Y45" s="105"/>
      <c r="Z45" s="176"/>
    </row>
    <row r="46" spans="1:26" s="2" customFormat="1" ht="14.1" customHeight="1" x14ac:dyDescent="0.35">
      <c r="A46" s="249" t="s">
        <v>37</v>
      </c>
      <c r="B46" s="202" t="s">
        <v>124</v>
      </c>
      <c r="C46" s="225"/>
      <c r="D46" s="222">
        <v>9253107</v>
      </c>
      <c r="E46" s="178">
        <v>45194</v>
      </c>
      <c r="F46" s="181" t="s">
        <v>20</v>
      </c>
      <c r="G46" s="203">
        <v>45194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220</v>
      </c>
      <c r="S46" s="190">
        <v>50</v>
      </c>
      <c r="T46" s="193">
        <v>20.239999999999998</v>
      </c>
      <c r="U46" s="196">
        <f>SUM(H46:T46)</f>
        <v>290.24</v>
      </c>
      <c r="V46" s="200" t="s">
        <v>63</v>
      </c>
      <c r="W46" s="212" t="s">
        <v>37</v>
      </c>
      <c r="X46" s="65" t="s">
        <v>17</v>
      </c>
      <c r="Y46" s="105"/>
      <c r="Z46" s="176"/>
    </row>
    <row r="47" spans="1:26" s="2" customFormat="1" ht="14.1" customHeight="1" x14ac:dyDescent="0.35">
      <c r="A47" s="250" t="s">
        <v>37</v>
      </c>
      <c r="B47" s="213" t="s">
        <v>102</v>
      </c>
      <c r="C47" s="226" t="s">
        <v>103</v>
      </c>
      <c r="D47" s="224">
        <v>8233102</v>
      </c>
      <c r="E47" s="180">
        <v>45161</v>
      </c>
      <c r="F47" s="183" t="s">
        <v>20</v>
      </c>
      <c r="G47" s="214">
        <v>45162</v>
      </c>
      <c r="H47" s="189"/>
      <c r="I47" s="187"/>
      <c r="J47" s="187"/>
      <c r="K47" s="187"/>
      <c r="L47" s="187"/>
      <c r="M47" s="189"/>
      <c r="N47" s="187"/>
      <c r="O47" s="189"/>
      <c r="P47" s="215"/>
      <c r="Q47" s="192"/>
      <c r="R47" s="189">
        <v>130</v>
      </c>
      <c r="S47" s="192">
        <v>25</v>
      </c>
      <c r="T47" s="195">
        <v>11.21</v>
      </c>
      <c r="U47" s="198">
        <f>SUM(H47:T47)</f>
        <v>166.21</v>
      </c>
      <c r="V47" s="201" t="s">
        <v>63</v>
      </c>
      <c r="W47" s="217" t="s">
        <v>57</v>
      </c>
      <c r="X47" s="65" t="s">
        <v>17</v>
      </c>
      <c r="Y47" s="105"/>
      <c r="Z47" s="176"/>
    </row>
    <row r="48" spans="1:26" s="2" customFormat="1" ht="14.1" customHeight="1" x14ac:dyDescent="0.2">
      <c r="A48" s="241" t="s">
        <v>6</v>
      </c>
      <c r="B48" s="3" t="s">
        <v>157</v>
      </c>
      <c r="C48" s="4"/>
      <c r="D48" s="52">
        <v>10163107</v>
      </c>
      <c r="E48" s="98">
        <v>45215</v>
      </c>
      <c r="F48" s="44" t="s">
        <v>20</v>
      </c>
      <c r="G48" s="61">
        <v>45216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227</v>
      </c>
      <c r="S48" s="43">
        <v>37.5</v>
      </c>
      <c r="T48" s="32">
        <v>21</v>
      </c>
      <c r="U48" s="53">
        <f>SUM(H48:T48)</f>
        <v>285.5</v>
      </c>
      <c r="V48" s="64" t="s">
        <v>63</v>
      </c>
      <c r="W48" s="2" t="s">
        <v>112</v>
      </c>
      <c r="X48" s="65" t="s">
        <v>17</v>
      </c>
      <c r="Y48" s="176"/>
    </row>
    <row r="49" spans="1:28" s="2" customFormat="1" ht="14.1" customHeight="1" x14ac:dyDescent="0.35">
      <c r="A49" s="251" t="s">
        <v>37</v>
      </c>
      <c r="B49" s="218" t="s">
        <v>64</v>
      </c>
      <c r="C49" s="233"/>
      <c r="D49" s="223">
        <v>3093104</v>
      </c>
      <c r="E49" s="179">
        <v>44994</v>
      </c>
      <c r="F49" s="182" t="s">
        <v>20</v>
      </c>
      <c r="G49" s="219">
        <v>44995</v>
      </c>
      <c r="H49" s="188"/>
      <c r="I49" s="185"/>
      <c r="J49" s="185"/>
      <c r="K49" s="185"/>
      <c r="L49" s="185"/>
      <c r="M49" s="188"/>
      <c r="N49" s="185"/>
      <c r="O49" s="188"/>
      <c r="P49" s="220"/>
      <c r="Q49" s="191"/>
      <c r="R49" s="188">
        <v>39</v>
      </c>
      <c r="S49" s="191">
        <v>12.5</v>
      </c>
      <c r="T49" s="194">
        <v>4</v>
      </c>
      <c r="U49" s="197">
        <f>SUM(H49:T49)</f>
        <v>55.5</v>
      </c>
      <c r="V49" s="199" t="s">
        <v>63</v>
      </c>
      <c r="W49" s="221" t="s">
        <v>57</v>
      </c>
      <c r="X49" s="65" t="s">
        <v>17</v>
      </c>
      <c r="Y49" s="105"/>
      <c r="Z49" s="176"/>
    </row>
    <row r="50" spans="1:28" s="2" customFormat="1" ht="14.1" customHeight="1" x14ac:dyDescent="0.2">
      <c r="A50" s="241" t="s">
        <v>131</v>
      </c>
      <c r="B50" s="3" t="s">
        <v>159</v>
      </c>
      <c r="C50" s="4"/>
      <c r="D50" s="52">
        <v>10173102</v>
      </c>
      <c r="E50" s="98">
        <v>45216</v>
      </c>
      <c r="F50" s="44" t="s">
        <v>20</v>
      </c>
      <c r="G50" s="61">
        <v>45217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130</v>
      </c>
      <c r="S50" s="43">
        <v>25</v>
      </c>
      <c r="T50" s="32">
        <v>11.21</v>
      </c>
      <c r="U50" s="53">
        <f>SUM(H50:T50)</f>
        <v>166.21</v>
      </c>
      <c r="V50" s="64" t="s">
        <v>63</v>
      </c>
      <c r="W50" s="2" t="s">
        <v>112</v>
      </c>
      <c r="X50" s="65" t="s">
        <v>17</v>
      </c>
      <c r="Y50" s="176"/>
    </row>
    <row r="51" spans="1:28" s="2" customFormat="1" ht="14.1" customHeight="1" x14ac:dyDescent="0.35">
      <c r="A51" s="251" t="s">
        <v>37</v>
      </c>
      <c r="B51" s="218" t="s">
        <v>85</v>
      </c>
      <c r="C51" s="233"/>
      <c r="D51" s="223">
        <v>7273103</v>
      </c>
      <c r="E51" s="179">
        <v>45134</v>
      </c>
      <c r="F51" s="182" t="s">
        <v>20</v>
      </c>
      <c r="G51" s="219">
        <v>45135</v>
      </c>
      <c r="H51" s="188"/>
      <c r="I51" s="185"/>
      <c r="J51" s="185"/>
      <c r="K51" s="185"/>
      <c r="L51" s="185"/>
      <c r="M51" s="188"/>
      <c r="N51" s="185"/>
      <c r="O51" s="188"/>
      <c r="P51" s="220"/>
      <c r="Q51" s="191"/>
      <c r="R51" s="188">
        <v>39</v>
      </c>
      <c r="S51" s="191">
        <v>12.5</v>
      </c>
      <c r="T51" s="194">
        <v>3.36</v>
      </c>
      <c r="U51" s="197">
        <f>SUM(H51:T51)</f>
        <v>54.86</v>
      </c>
      <c r="V51" s="199" t="s">
        <v>63</v>
      </c>
      <c r="W51" s="221" t="s">
        <v>57</v>
      </c>
      <c r="X51" s="65" t="s">
        <v>17</v>
      </c>
      <c r="Y51" s="105"/>
      <c r="Z51" s="176"/>
    </row>
    <row r="52" spans="1:28" s="2" customFormat="1" ht="14.1" customHeight="1" x14ac:dyDescent="0.35">
      <c r="A52" s="249" t="s">
        <v>37</v>
      </c>
      <c r="B52" s="202" t="s">
        <v>123</v>
      </c>
      <c r="C52" s="225"/>
      <c r="D52" s="222">
        <v>9253102</v>
      </c>
      <c r="E52" s="178">
        <v>45194</v>
      </c>
      <c r="F52" s="181" t="s">
        <v>20</v>
      </c>
      <c r="G52" s="203">
        <v>45194</v>
      </c>
      <c r="H52" s="186"/>
      <c r="I52" s="184"/>
      <c r="J52" s="184"/>
      <c r="K52" s="184"/>
      <c r="L52" s="184"/>
      <c r="M52" s="186"/>
      <c r="N52" s="184"/>
      <c r="O52" s="186"/>
      <c r="P52" s="204"/>
      <c r="Q52" s="190"/>
      <c r="R52" s="186">
        <v>65</v>
      </c>
      <c r="S52" s="190">
        <v>12.5</v>
      </c>
      <c r="T52" s="193">
        <v>5.53</v>
      </c>
      <c r="U52" s="196">
        <f>SUM(H52:T52)</f>
        <v>83.03</v>
      </c>
      <c r="V52" s="200" t="s">
        <v>63</v>
      </c>
      <c r="W52" s="212" t="s">
        <v>37</v>
      </c>
      <c r="X52" s="65" t="s">
        <v>17</v>
      </c>
      <c r="Y52" s="105"/>
      <c r="Z52" s="176"/>
    </row>
    <row r="53" spans="1:28" s="2" customFormat="1" ht="14.1" customHeight="1" x14ac:dyDescent="0.35">
      <c r="A53" s="249" t="s">
        <v>36</v>
      </c>
      <c r="B53" s="202" t="s">
        <v>127</v>
      </c>
      <c r="C53" s="225" t="s">
        <v>128</v>
      </c>
      <c r="D53" s="222">
        <v>9263251</v>
      </c>
      <c r="E53" s="178">
        <v>45195</v>
      </c>
      <c r="F53" s="181" t="s">
        <v>129</v>
      </c>
      <c r="G53" s="203">
        <v>45195</v>
      </c>
      <c r="H53" s="186">
        <v>3512.67</v>
      </c>
      <c r="I53" s="184"/>
      <c r="J53" s="184">
        <v>1440</v>
      </c>
      <c r="K53" s="184"/>
      <c r="L53" s="184"/>
      <c r="M53" s="186"/>
      <c r="N53" s="184"/>
      <c r="O53" s="186"/>
      <c r="P53" s="204"/>
      <c r="Q53" s="190"/>
      <c r="R53" s="186"/>
      <c r="S53" s="190"/>
      <c r="T53" s="193">
        <v>377.61</v>
      </c>
      <c r="U53" s="196">
        <f>SUM(H53:T53)</f>
        <v>5330.28</v>
      </c>
      <c r="V53" s="200" t="s">
        <v>7</v>
      </c>
      <c r="W53" s="212" t="s">
        <v>36</v>
      </c>
      <c r="X53" s="65" t="s">
        <v>17</v>
      </c>
      <c r="Y53" s="105"/>
      <c r="Z53" s="176"/>
    </row>
    <row r="54" spans="1:28" s="2" customFormat="1" ht="14.1" customHeight="1" x14ac:dyDescent="0.35">
      <c r="A54" s="251" t="s">
        <v>8</v>
      </c>
      <c r="B54" s="218" t="s">
        <v>86</v>
      </c>
      <c r="C54" s="233"/>
      <c r="D54" s="223">
        <v>7263051</v>
      </c>
      <c r="E54" s="179">
        <v>45133</v>
      </c>
      <c r="F54" s="182" t="s">
        <v>105</v>
      </c>
      <c r="G54" s="219">
        <v>45138</v>
      </c>
      <c r="H54" s="188">
        <v>99</v>
      </c>
      <c r="I54" s="185"/>
      <c r="J54" s="185"/>
      <c r="K54" s="185"/>
      <c r="L54" s="185"/>
      <c r="M54" s="188"/>
      <c r="N54" s="185"/>
      <c r="O54" s="188"/>
      <c r="P54" s="220"/>
      <c r="Q54" s="191"/>
      <c r="R54" s="188"/>
      <c r="S54" s="191"/>
      <c r="T54" s="194">
        <v>8.42</v>
      </c>
      <c r="U54" s="197">
        <f>SUM(H54:T54)</f>
        <v>107.42</v>
      </c>
      <c r="V54" s="199" t="s">
        <v>25</v>
      </c>
      <c r="W54" s="221" t="s">
        <v>8</v>
      </c>
      <c r="X54" s="65" t="s">
        <v>17</v>
      </c>
      <c r="Y54" s="105"/>
      <c r="Z54" s="176"/>
    </row>
    <row r="55" spans="1:28" s="2" customFormat="1" ht="14.1" customHeight="1" x14ac:dyDescent="0.35">
      <c r="A55" s="250" t="s">
        <v>8</v>
      </c>
      <c r="B55" s="213" t="s">
        <v>86</v>
      </c>
      <c r="C55" s="226"/>
      <c r="D55" s="224">
        <v>8263051</v>
      </c>
      <c r="E55" s="180">
        <v>45164</v>
      </c>
      <c r="F55" s="183" t="s">
        <v>105</v>
      </c>
      <c r="G55" s="214">
        <v>45166</v>
      </c>
      <c r="H55" s="189">
        <v>99</v>
      </c>
      <c r="I55" s="187"/>
      <c r="J55" s="187"/>
      <c r="K55" s="187"/>
      <c r="L55" s="187"/>
      <c r="M55" s="189"/>
      <c r="N55" s="187"/>
      <c r="O55" s="189"/>
      <c r="P55" s="215"/>
      <c r="Q55" s="192"/>
      <c r="R55" s="189"/>
      <c r="S55" s="192"/>
      <c r="T55" s="195">
        <v>8.42</v>
      </c>
      <c r="U55" s="198">
        <f>SUM(H55:T55)</f>
        <v>107.42</v>
      </c>
      <c r="V55" s="201" t="s">
        <v>7</v>
      </c>
      <c r="W55" s="217" t="s">
        <v>8</v>
      </c>
      <c r="X55" s="65" t="s">
        <v>17</v>
      </c>
      <c r="Y55" s="105"/>
      <c r="Z55" s="176"/>
    </row>
    <row r="56" spans="1:28" s="2" customFormat="1" ht="14.1" customHeight="1" thickBot="1" x14ac:dyDescent="0.4">
      <c r="A56" s="249" t="s">
        <v>8</v>
      </c>
      <c r="B56" s="202" t="s">
        <v>86</v>
      </c>
      <c r="C56" s="225"/>
      <c r="D56" s="222">
        <v>9263051</v>
      </c>
      <c r="E56" s="178">
        <v>45195</v>
      </c>
      <c r="F56" s="181" t="s">
        <v>130</v>
      </c>
      <c r="G56" s="203">
        <v>45197</v>
      </c>
      <c r="H56" s="186">
        <v>99</v>
      </c>
      <c r="I56" s="184"/>
      <c r="J56" s="184"/>
      <c r="K56" s="184"/>
      <c r="L56" s="184"/>
      <c r="M56" s="186"/>
      <c r="N56" s="184"/>
      <c r="O56" s="186"/>
      <c r="P56" s="204"/>
      <c r="Q56" s="190"/>
      <c r="R56" s="186"/>
      <c r="S56" s="190"/>
      <c r="T56" s="193">
        <v>8.42</v>
      </c>
      <c r="U56" s="196">
        <f>SUM(H56:T56)</f>
        <v>107.42</v>
      </c>
      <c r="V56" s="200" t="s">
        <v>7</v>
      </c>
      <c r="W56" s="212" t="s">
        <v>8</v>
      </c>
      <c r="X56" s="65" t="s">
        <v>17</v>
      </c>
      <c r="Y56" s="105"/>
      <c r="Z56" s="176"/>
    </row>
    <row r="57" spans="1:28" s="2" customFormat="1" ht="14.1" customHeight="1" thickBot="1" x14ac:dyDescent="0.25">
      <c r="A57" s="242" t="s">
        <v>37</v>
      </c>
      <c r="B57" s="172" t="s">
        <v>161</v>
      </c>
      <c r="C57" s="173" t="s">
        <v>162</v>
      </c>
      <c r="D57" s="173">
        <v>10253102</v>
      </c>
      <c r="E57" s="205">
        <v>45224</v>
      </c>
      <c r="F57" s="206" t="s">
        <v>20</v>
      </c>
      <c r="G57" s="174">
        <v>45224</v>
      </c>
      <c r="H57" s="207"/>
      <c r="I57" s="207"/>
      <c r="J57" s="208"/>
      <c r="K57" s="208"/>
      <c r="L57" s="208"/>
      <c r="M57" s="207"/>
      <c r="N57" s="207"/>
      <c r="O57" s="207"/>
      <c r="P57" s="50"/>
      <c r="Q57" s="216"/>
      <c r="R57" s="207">
        <v>305</v>
      </c>
      <c r="S57" s="216"/>
      <c r="T57" s="209">
        <v>25.16</v>
      </c>
      <c r="U57" s="210">
        <f>SUM(H57:T57)</f>
        <v>330.16</v>
      </c>
      <c r="V57" s="211" t="s">
        <v>32</v>
      </c>
      <c r="W57" s="84" t="s">
        <v>163</v>
      </c>
      <c r="X57" s="84" t="s">
        <v>17</v>
      </c>
      <c r="Y57" s="290"/>
    </row>
    <row r="58" spans="1:28" s="2" customFormat="1" ht="14.1" customHeight="1" x14ac:dyDescent="0.35">
      <c r="A58" s="251" t="s">
        <v>37</v>
      </c>
      <c r="B58" s="218" t="s">
        <v>93</v>
      </c>
      <c r="C58" s="233"/>
      <c r="D58" s="223">
        <v>7273101</v>
      </c>
      <c r="E58" s="179">
        <v>45134</v>
      </c>
      <c r="F58" s="182" t="s">
        <v>20</v>
      </c>
      <c r="G58" s="219">
        <v>45134</v>
      </c>
      <c r="H58" s="188"/>
      <c r="I58" s="185"/>
      <c r="J58" s="185"/>
      <c r="K58" s="185"/>
      <c r="L58" s="185"/>
      <c r="M58" s="188"/>
      <c r="N58" s="185"/>
      <c r="O58" s="188"/>
      <c r="P58" s="220"/>
      <c r="Q58" s="191"/>
      <c r="R58" s="188">
        <v>-145</v>
      </c>
      <c r="S58" s="191">
        <v>-37.5</v>
      </c>
      <c r="T58" s="194">
        <v>-14.86</v>
      </c>
      <c r="U58" s="197">
        <f>SUM(H58:T58)</f>
        <v>-197.36</v>
      </c>
      <c r="V58" s="199" t="s">
        <v>63</v>
      </c>
      <c r="W58" s="221" t="s">
        <v>57</v>
      </c>
      <c r="X58" s="65" t="s">
        <v>17</v>
      </c>
      <c r="Y58" s="105"/>
      <c r="Z58" s="105"/>
      <c r="AA58" s="105"/>
      <c r="AB58" s="105"/>
    </row>
    <row r="59" spans="1:28" s="2" customFormat="1" ht="14.1" customHeight="1" x14ac:dyDescent="0.2">
      <c r="A59" s="241" t="s">
        <v>37</v>
      </c>
      <c r="B59" s="3" t="s">
        <v>93</v>
      </c>
      <c r="C59" s="4"/>
      <c r="D59" s="52">
        <v>10303103</v>
      </c>
      <c r="E59" s="98">
        <v>45229</v>
      </c>
      <c r="F59" s="44" t="s">
        <v>20</v>
      </c>
      <c r="G59" s="61">
        <v>45229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80</v>
      </c>
      <c r="S59" s="43">
        <v>25</v>
      </c>
      <c r="T59" s="32">
        <v>8.1999999999999993</v>
      </c>
      <c r="U59" s="53">
        <f>SUM(H59:T59)</f>
        <v>113.2</v>
      </c>
      <c r="V59" s="64" t="s">
        <v>63</v>
      </c>
      <c r="W59" s="2" t="s">
        <v>112</v>
      </c>
      <c r="X59" s="65" t="s">
        <v>17</v>
      </c>
      <c r="Y59" s="176"/>
    </row>
    <row r="60" spans="1:28" s="2" customFormat="1" ht="14.1" customHeight="1" x14ac:dyDescent="0.2">
      <c r="A60" s="241" t="s">
        <v>37</v>
      </c>
      <c r="B60" s="3" t="s">
        <v>143</v>
      </c>
      <c r="C60" s="4"/>
      <c r="D60" s="52">
        <v>10093103</v>
      </c>
      <c r="E60" s="98">
        <v>45208</v>
      </c>
      <c r="F60" s="44" t="s">
        <v>20</v>
      </c>
      <c r="G60" s="61">
        <v>45208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55</v>
      </c>
      <c r="S60" s="43">
        <v>12.5</v>
      </c>
      <c r="T60" s="32">
        <v>5.09</v>
      </c>
      <c r="U60" s="53">
        <f>SUM(H60:T60)</f>
        <v>72.59</v>
      </c>
      <c r="V60" s="64" t="s">
        <v>63</v>
      </c>
      <c r="W60" s="2" t="s">
        <v>5</v>
      </c>
      <c r="X60" s="65" t="s">
        <v>17</v>
      </c>
      <c r="Y60" s="176"/>
    </row>
    <row r="61" spans="1:28" s="2" customFormat="1" ht="14.1" customHeight="1" x14ac:dyDescent="0.35">
      <c r="A61" s="250" t="s">
        <v>37</v>
      </c>
      <c r="B61" s="213" t="s">
        <v>114</v>
      </c>
      <c r="C61" s="226"/>
      <c r="D61" s="224">
        <v>9013106</v>
      </c>
      <c r="E61" s="180">
        <v>45170</v>
      </c>
      <c r="F61" s="183" t="s">
        <v>20</v>
      </c>
      <c r="G61" s="214">
        <v>45174</v>
      </c>
      <c r="H61" s="189"/>
      <c r="I61" s="187"/>
      <c r="J61" s="187"/>
      <c r="K61" s="187"/>
      <c r="L61" s="187"/>
      <c r="M61" s="189"/>
      <c r="N61" s="187"/>
      <c r="O61" s="189"/>
      <c r="P61" s="215"/>
      <c r="Q61" s="192"/>
      <c r="R61" s="189">
        <v>135</v>
      </c>
      <c r="S61" s="192">
        <v>25</v>
      </c>
      <c r="T61" s="195">
        <v>12.99</v>
      </c>
      <c r="U61" s="198">
        <f>SUM(H61:T61)</f>
        <v>172.99</v>
      </c>
      <c r="V61" s="201" t="s">
        <v>7</v>
      </c>
      <c r="W61" s="217" t="s">
        <v>59</v>
      </c>
      <c r="X61" s="65" t="s">
        <v>17</v>
      </c>
      <c r="Y61" s="105"/>
      <c r="Z61" s="176"/>
    </row>
    <row r="62" spans="1:28" s="2" customFormat="1" ht="14.1" customHeight="1" x14ac:dyDescent="0.35">
      <c r="A62" s="251" t="s">
        <v>37</v>
      </c>
      <c r="B62" s="218" t="s">
        <v>82</v>
      </c>
      <c r="C62" s="233"/>
      <c r="D62" s="223">
        <v>7203104</v>
      </c>
      <c r="E62" s="179">
        <v>45127</v>
      </c>
      <c r="F62" s="182" t="s">
        <v>20</v>
      </c>
      <c r="G62" s="219">
        <v>45127</v>
      </c>
      <c r="H62" s="188"/>
      <c r="I62" s="185"/>
      <c r="J62" s="185"/>
      <c r="K62" s="185"/>
      <c r="L62" s="185"/>
      <c r="M62" s="188"/>
      <c r="N62" s="185"/>
      <c r="O62" s="188"/>
      <c r="P62" s="220"/>
      <c r="Q62" s="191"/>
      <c r="R62" s="188">
        <v>29</v>
      </c>
      <c r="S62" s="191"/>
      <c r="T62" s="194">
        <v>2.68</v>
      </c>
      <c r="U62" s="197">
        <f>SUM(H62:T62)</f>
        <v>31.68</v>
      </c>
      <c r="V62" s="199" t="s">
        <v>32</v>
      </c>
      <c r="W62" s="221" t="s">
        <v>83</v>
      </c>
      <c r="X62" s="65" t="s">
        <v>17</v>
      </c>
      <c r="Y62" s="105"/>
      <c r="Z62" s="176"/>
    </row>
    <row r="63" spans="1:28" s="2" customFormat="1" ht="14.1" customHeight="1" x14ac:dyDescent="0.35">
      <c r="A63" s="251" t="s">
        <v>37</v>
      </c>
      <c r="B63" s="218" t="s">
        <v>75</v>
      </c>
      <c r="C63" s="233"/>
      <c r="D63" s="223">
        <v>6263103</v>
      </c>
      <c r="E63" s="179">
        <v>45103</v>
      </c>
      <c r="F63" s="182" t="s">
        <v>20</v>
      </c>
      <c r="G63" s="219">
        <v>45103</v>
      </c>
      <c r="H63" s="188"/>
      <c r="I63" s="185"/>
      <c r="J63" s="185"/>
      <c r="K63" s="185"/>
      <c r="L63" s="185"/>
      <c r="M63" s="188"/>
      <c r="N63" s="185"/>
      <c r="O63" s="188"/>
      <c r="P63" s="220"/>
      <c r="Q63" s="191"/>
      <c r="R63" s="188">
        <v>204</v>
      </c>
      <c r="S63" s="191">
        <v>50</v>
      </c>
      <c r="T63" s="194">
        <v>18.36</v>
      </c>
      <c r="U63" s="197">
        <f>SUM(H63:T63)</f>
        <v>272.36</v>
      </c>
      <c r="V63" s="199" t="s">
        <v>63</v>
      </c>
      <c r="W63" s="221" t="s">
        <v>5</v>
      </c>
      <c r="X63" s="65" t="s">
        <v>17</v>
      </c>
      <c r="Y63" s="105"/>
      <c r="Z63" s="176"/>
    </row>
    <row r="64" spans="1:28" s="2" customFormat="1" ht="14.1" customHeight="1" x14ac:dyDescent="0.35">
      <c r="A64" s="251" t="s">
        <v>37</v>
      </c>
      <c r="B64" s="218" t="s">
        <v>88</v>
      </c>
      <c r="C64" s="233"/>
      <c r="D64" s="223">
        <v>8033102</v>
      </c>
      <c r="E64" s="179">
        <v>45141</v>
      </c>
      <c r="F64" s="182" t="s">
        <v>20</v>
      </c>
      <c r="G64" s="219">
        <v>45141</v>
      </c>
      <c r="H64" s="188"/>
      <c r="I64" s="185"/>
      <c r="J64" s="185"/>
      <c r="K64" s="185"/>
      <c r="L64" s="185"/>
      <c r="M64" s="188"/>
      <c r="N64" s="185"/>
      <c r="O64" s="188"/>
      <c r="P64" s="220"/>
      <c r="Q64" s="191"/>
      <c r="R64" s="188">
        <v>260</v>
      </c>
      <c r="S64" s="191">
        <v>50</v>
      </c>
      <c r="T64" s="194">
        <v>25.35</v>
      </c>
      <c r="U64" s="197">
        <f>SUM(H64:T64)</f>
        <v>335.35</v>
      </c>
      <c r="V64" s="199" t="s">
        <v>63</v>
      </c>
      <c r="W64" s="221" t="s">
        <v>37</v>
      </c>
      <c r="X64" s="65" t="s">
        <v>17</v>
      </c>
      <c r="Y64" s="105"/>
      <c r="Z64" s="176"/>
    </row>
    <row r="65" spans="1:26" s="2" customFormat="1" ht="14.1" customHeight="1" x14ac:dyDescent="0.35">
      <c r="A65" s="249" t="s">
        <v>37</v>
      </c>
      <c r="B65" s="202" t="s">
        <v>121</v>
      </c>
      <c r="C65" s="225"/>
      <c r="D65" s="222">
        <v>9223103</v>
      </c>
      <c r="E65" s="178">
        <v>45191</v>
      </c>
      <c r="F65" s="181" t="s">
        <v>20</v>
      </c>
      <c r="G65" s="203">
        <v>45194</v>
      </c>
      <c r="H65" s="186"/>
      <c r="I65" s="184"/>
      <c r="J65" s="184"/>
      <c r="K65" s="184"/>
      <c r="L65" s="184"/>
      <c r="M65" s="186"/>
      <c r="N65" s="184"/>
      <c r="O65" s="186"/>
      <c r="P65" s="204"/>
      <c r="Q65" s="190"/>
      <c r="R65" s="186">
        <v>505</v>
      </c>
      <c r="S65" s="190">
        <v>112.5</v>
      </c>
      <c r="T65" s="193">
        <v>46.71</v>
      </c>
      <c r="U65" s="196">
        <f>SUM(H65:T65)</f>
        <v>664.21</v>
      </c>
      <c r="V65" s="200" t="s">
        <v>63</v>
      </c>
      <c r="W65" s="212" t="s">
        <v>57</v>
      </c>
      <c r="X65" s="65" t="s">
        <v>122</v>
      </c>
      <c r="Y65" s="105"/>
      <c r="Z65" s="176"/>
    </row>
    <row r="66" spans="1:26" s="2" customFormat="1" ht="14.1" customHeight="1" x14ac:dyDescent="0.35">
      <c r="A66" s="250" t="s">
        <v>37</v>
      </c>
      <c r="B66" s="213" t="s">
        <v>98</v>
      </c>
      <c r="C66" s="226" t="s">
        <v>99</v>
      </c>
      <c r="D66" s="224">
        <v>8153101</v>
      </c>
      <c r="E66" s="180">
        <v>45153</v>
      </c>
      <c r="F66" s="183" t="s">
        <v>20</v>
      </c>
      <c r="G66" s="214">
        <v>45156</v>
      </c>
      <c r="H66" s="189"/>
      <c r="I66" s="187"/>
      <c r="J66" s="187"/>
      <c r="K66" s="187"/>
      <c r="L66" s="187"/>
      <c r="M66" s="189"/>
      <c r="N66" s="187"/>
      <c r="O66" s="189"/>
      <c r="P66" s="215"/>
      <c r="Q66" s="192"/>
      <c r="R66" s="189">
        <v>149</v>
      </c>
      <c r="S66" s="192"/>
      <c r="T66" s="195">
        <v>13.78</v>
      </c>
      <c r="U66" s="198">
        <f>SUM(H66:T66)</f>
        <v>162.78</v>
      </c>
      <c r="V66" s="201" t="s">
        <v>63</v>
      </c>
      <c r="W66" s="217" t="s">
        <v>57</v>
      </c>
      <c r="X66" s="65" t="s">
        <v>17</v>
      </c>
      <c r="Y66" s="105"/>
      <c r="Z66" s="176"/>
    </row>
    <row r="67" spans="1:26" s="2" customFormat="1" ht="14.1" customHeight="1" x14ac:dyDescent="0.35">
      <c r="A67" s="251" t="s">
        <v>37</v>
      </c>
      <c r="B67" s="218" t="s">
        <v>77</v>
      </c>
      <c r="C67" s="233"/>
      <c r="D67" s="223">
        <v>7103107</v>
      </c>
      <c r="E67" s="179">
        <v>45117</v>
      </c>
      <c r="F67" s="182" t="s">
        <v>20</v>
      </c>
      <c r="G67" s="219">
        <v>45117</v>
      </c>
      <c r="H67" s="188"/>
      <c r="I67" s="185"/>
      <c r="J67" s="185"/>
      <c r="K67" s="185"/>
      <c r="L67" s="185"/>
      <c r="M67" s="188"/>
      <c r="N67" s="185"/>
      <c r="O67" s="188"/>
      <c r="P67" s="220"/>
      <c r="Q67" s="191"/>
      <c r="R67" s="188">
        <v>130</v>
      </c>
      <c r="S67" s="191">
        <v>25</v>
      </c>
      <c r="T67" s="194">
        <v>10.08</v>
      </c>
      <c r="U67" s="197">
        <f>SUM(H67:T67)</f>
        <v>165.08</v>
      </c>
      <c r="V67" s="199" t="s">
        <v>63</v>
      </c>
      <c r="W67" s="221" t="s">
        <v>5</v>
      </c>
      <c r="X67" s="65" t="s">
        <v>17</v>
      </c>
      <c r="Y67" s="105"/>
      <c r="Z67" s="176"/>
    </row>
    <row r="68" spans="1:26" s="2" customFormat="1" ht="14.1" customHeight="1" x14ac:dyDescent="0.35">
      <c r="A68" s="250" t="s">
        <v>37</v>
      </c>
      <c r="B68" s="213" t="s">
        <v>104</v>
      </c>
      <c r="C68" s="226" t="s">
        <v>65</v>
      </c>
      <c r="D68" s="224">
        <v>8253104</v>
      </c>
      <c r="E68" s="180">
        <v>45163</v>
      </c>
      <c r="F68" s="183" t="s">
        <v>20</v>
      </c>
      <c r="G68" s="214">
        <v>45166</v>
      </c>
      <c r="H68" s="189"/>
      <c r="I68" s="187"/>
      <c r="J68" s="187"/>
      <c r="K68" s="187"/>
      <c r="L68" s="187"/>
      <c r="M68" s="189"/>
      <c r="N68" s="187"/>
      <c r="O68" s="189"/>
      <c r="P68" s="215"/>
      <c r="Q68" s="192"/>
      <c r="R68" s="189">
        <v>45</v>
      </c>
      <c r="S68" s="192">
        <v>12.5</v>
      </c>
      <c r="T68" s="195">
        <v>3.94</v>
      </c>
      <c r="U68" s="198">
        <f>SUM(H68:T68)</f>
        <v>61.44</v>
      </c>
      <c r="V68" s="201" t="s">
        <v>63</v>
      </c>
      <c r="W68" s="217" t="s">
        <v>5</v>
      </c>
      <c r="X68" s="65" t="s">
        <v>17</v>
      </c>
      <c r="Y68" s="105"/>
      <c r="Z68" s="176"/>
    </row>
    <row r="69" spans="1:26" s="2" customFormat="1" ht="14.1" customHeight="1" x14ac:dyDescent="0.35">
      <c r="A69" s="249" t="s">
        <v>37</v>
      </c>
      <c r="B69" s="202" t="s">
        <v>106</v>
      </c>
      <c r="C69" s="225"/>
      <c r="D69" s="224">
        <v>8303102</v>
      </c>
      <c r="E69" s="180">
        <v>45168</v>
      </c>
      <c r="F69" s="183" t="s">
        <v>20</v>
      </c>
      <c r="G69" s="214">
        <v>45168</v>
      </c>
      <c r="H69" s="189"/>
      <c r="I69" s="187"/>
      <c r="J69" s="187"/>
      <c r="K69" s="187"/>
      <c r="L69" s="187"/>
      <c r="M69" s="189"/>
      <c r="N69" s="187"/>
      <c r="O69" s="189"/>
      <c r="P69" s="215"/>
      <c r="Q69" s="192"/>
      <c r="R69" s="189">
        <v>175</v>
      </c>
      <c r="S69" s="192">
        <v>37.5</v>
      </c>
      <c r="T69" s="195">
        <v>16.63</v>
      </c>
      <c r="U69" s="198">
        <f>SUM(H69:T69)</f>
        <v>229.13</v>
      </c>
      <c r="V69" s="201" t="s">
        <v>63</v>
      </c>
      <c r="W69" s="217" t="s">
        <v>5</v>
      </c>
      <c r="X69" s="65" t="s">
        <v>17</v>
      </c>
      <c r="Y69" s="105"/>
      <c r="Z69" s="176"/>
    </row>
    <row r="70" spans="1:26" s="2" customFormat="1" ht="14.1" customHeight="1" x14ac:dyDescent="0.35">
      <c r="A70" s="249" t="s">
        <v>37</v>
      </c>
      <c r="B70" s="202" t="s">
        <v>119</v>
      </c>
      <c r="C70" s="225"/>
      <c r="D70" s="222">
        <v>9203102</v>
      </c>
      <c r="E70" s="178">
        <v>45189</v>
      </c>
      <c r="F70" s="181" t="s">
        <v>20</v>
      </c>
      <c r="G70" s="203">
        <v>45189</v>
      </c>
      <c r="H70" s="186"/>
      <c r="I70" s="184"/>
      <c r="J70" s="184"/>
      <c r="K70" s="184"/>
      <c r="L70" s="184"/>
      <c r="M70" s="186"/>
      <c r="N70" s="184"/>
      <c r="O70" s="186"/>
      <c r="P70" s="204"/>
      <c r="Q70" s="190"/>
      <c r="R70" s="186">
        <v>188</v>
      </c>
      <c r="S70" s="190">
        <v>50</v>
      </c>
      <c r="T70" s="193">
        <v>16.22</v>
      </c>
      <c r="U70" s="196">
        <f>SUM(H70:T70)</f>
        <v>254.22</v>
      </c>
      <c r="V70" s="200" t="s">
        <v>63</v>
      </c>
      <c r="W70" s="212" t="s">
        <v>37</v>
      </c>
      <c r="X70" s="65" t="s">
        <v>17</v>
      </c>
      <c r="Y70" s="105"/>
      <c r="Z70" s="176"/>
    </row>
    <row r="71" spans="1:26" s="2" customFormat="1" ht="14.1" customHeight="1" x14ac:dyDescent="0.2">
      <c r="A71" s="241" t="s">
        <v>37</v>
      </c>
      <c r="B71" s="3" t="s">
        <v>116</v>
      </c>
      <c r="C71" s="4"/>
      <c r="D71" s="52">
        <v>10213101</v>
      </c>
      <c r="E71" s="98">
        <v>45223</v>
      </c>
      <c r="F71" s="44" t="s">
        <v>20</v>
      </c>
      <c r="G71" s="61">
        <v>45223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130</v>
      </c>
      <c r="S71" s="43">
        <v>25</v>
      </c>
      <c r="T71" s="32">
        <v>10.73</v>
      </c>
      <c r="U71" s="53">
        <f>SUM(H71:T71)</f>
        <v>165.73</v>
      </c>
      <c r="V71" s="64" t="s">
        <v>63</v>
      </c>
      <c r="W71" s="2" t="s">
        <v>112</v>
      </c>
      <c r="X71" s="65" t="s">
        <v>17</v>
      </c>
      <c r="Y71" s="176"/>
    </row>
    <row r="72" spans="1:26" s="2" customFormat="1" ht="14.1" customHeight="1" x14ac:dyDescent="0.35">
      <c r="A72" s="251" t="s">
        <v>37</v>
      </c>
      <c r="B72" s="218" t="s">
        <v>74</v>
      </c>
      <c r="C72" s="233"/>
      <c r="D72" s="223">
        <v>6233103</v>
      </c>
      <c r="E72" s="179">
        <v>45100</v>
      </c>
      <c r="F72" s="182" t="s">
        <v>20</v>
      </c>
      <c r="G72" s="219">
        <v>45100</v>
      </c>
      <c r="H72" s="188"/>
      <c r="I72" s="185"/>
      <c r="J72" s="185"/>
      <c r="K72" s="185"/>
      <c r="L72" s="185"/>
      <c r="M72" s="188"/>
      <c r="N72" s="185"/>
      <c r="O72" s="188"/>
      <c r="P72" s="220"/>
      <c r="Q72" s="191"/>
      <c r="R72" s="188">
        <v>110</v>
      </c>
      <c r="S72" s="191">
        <v>25</v>
      </c>
      <c r="T72" s="194">
        <v>9.35</v>
      </c>
      <c r="U72" s="197">
        <f>SUM(H72:T72)</f>
        <v>144.35</v>
      </c>
      <c r="V72" s="199" t="s">
        <v>63</v>
      </c>
      <c r="W72" s="221" t="s">
        <v>37</v>
      </c>
      <c r="X72" s="65" t="s">
        <v>17</v>
      </c>
      <c r="Y72" s="105"/>
      <c r="Z72" s="176"/>
    </row>
    <row r="73" spans="1:26" s="2" customFormat="1" ht="14.1" customHeight="1" x14ac:dyDescent="0.35">
      <c r="A73" s="251" t="s">
        <v>37</v>
      </c>
      <c r="B73" s="218" t="s">
        <v>92</v>
      </c>
      <c r="C73" s="233" t="s">
        <v>91</v>
      </c>
      <c r="D73" s="223">
        <v>8043104</v>
      </c>
      <c r="E73" s="179">
        <v>45142</v>
      </c>
      <c r="F73" s="182" t="s">
        <v>20</v>
      </c>
      <c r="G73" s="219">
        <v>45145</v>
      </c>
      <c r="H73" s="188"/>
      <c r="I73" s="185"/>
      <c r="J73" s="185"/>
      <c r="K73" s="185"/>
      <c r="L73" s="185"/>
      <c r="M73" s="188"/>
      <c r="N73" s="185"/>
      <c r="O73" s="188"/>
      <c r="P73" s="220"/>
      <c r="Q73" s="191"/>
      <c r="R73" s="188">
        <v>110</v>
      </c>
      <c r="S73" s="191">
        <v>25</v>
      </c>
      <c r="T73" s="194">
        <v>9.08</v>
      </c>
      <c r="U73" s="197">
        <f>SUM(H73:T73)</f>
        <v>144.08000000000001</v>
      </c>
      <c r="V73" s="199" t="s">
        <v>63</v>
      </c>
      <c r="W73" s="221" t="s">
        <v>5</v>
      </c>
      <c r="X73" s="65" t="s">
        <v>17</v>
      </c>
      <c r="Y73" s="105"/>
      <c r="Z73" s="176"/>
    </row>
    <row r="74" spans="1:26" s="2" customFormat="1" ht="14.1" customHeight="1" x14ac:dyDescent="0.35">
      <c r="A74" s="250" t="s">
        <v>37</v>
      </c>
      <c r="B74" s="213" t="s">
        <v>109</v>
      </c>
      <c r="C74" s="226"/>
      <c r="D74" s="224">
        <v>9013102</v>
      </c>
      <c r="E74" s="180">
        <v>45170</v>
      </c>
      <c r="F74" s="183" t="s">
        <v>20</v>
      </c>
      <c r="G74" s="214">
        <v>45170</v>
      </c>
      <c r="H74" s="189"/>
      <c r="I74" s="187"/>
      <c r="J74" s="187"/>
      <c r="K74" s="187"/>
      <c r="L74" s="187"/>
      <c r="M74" s="189"/>
      <c r="N74" s="187"/>
      <c r="O74" s="189"/>
      <c r="P74" s="215"/>
      <c r="Q74" s="192"/>
      <c r="R74" s="189">
        <v>215</v>
      </c>
      <c r="S74" s="192">
        <v>67.5</v>
      </c>
      <c r="T74" s="195">
        <v>19.89</v>
      </c>
      <c r="U74" s="198">
        <f>SUM(H74:T74)</f>
        <v>302.39</v>
      </c>
      <c r="V74" s="201" t="s">
        <v>63</v>
      </c>
      <c r="W74" s="217" t="s">
        <v>110</v>
      </c>
      <c r="X74" s="65" t="s">
        <v>17</v>
      </c>
      <c r="Y74" s="105"/>
      <c r="Z74" s="176"/>
    </row>
    <row r="75" spans="1:26" s="2" customFormat="1" ht="14.1" customHeight="1" x14ac:dyDescent="0.2">
      <c r="A75" s="241" t="s">
        <v>37</v>
      </c>
      <c r="B75" s="3" t="s">
        <v>109</v>
      </c>
      <c r="C75" s="4"/>
      <c r="D75" s="52">
        <v>10113101</v>
      </c>
      <c r="E75" s="98">
        <v>45210</v>
      </c>
      <c r="F75" s="44" t="s">
        <v>20</v>
      </c>
      <c r="G75" s="61">
        <v>45210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175</v>
      </c>
      <c r="S75" s="43">
        <v>67.5</v>
      </c>
      <c r="T75" s="32">
        <v>16.190000000000001</v>
      </c>
      <c r="U75" s="53">
        <f>SUM(H75:T75)</f>
        <v>258.69</v>
      </c>
      <c r="V75" s="64" t="s">
        <v>63</v>
      </c>
      <c r="W75" s="2" t="s">
        <v>112</v>
      </c>
      <c r="X75" s="65" t="s">
        <v>17</v>
      </c>
      <c r="Y75" s="176"/>
    </row>
    <row r="76" spans="1:26" s="2" customFormat="1" ht="14.1" customHeight="1" x14ac:dyDescent="0.35">
      <c r="A76" s="251" t="s">
        <v>37</v>
      </c>
      <c r="B76" s="218" t="s">
        <v>87</v>
      </c>
      <c r="C76" s="233"/>
      <c r="D76" s="223">
        <v>7313106</v>
      </c>
      <c r="E76" s="179">
        <v>45138</v>
      </c>
      <c r="F76" s="182" t="s">
        <v>20</v>
      </c>
      <c r="G76" s="219">
        <v>45138</v>
      </c>
      <c r="H76" s="188"/>
      <c r="I76" s="185"/>
      <c r="J76" s="185"/>
      <c r="K76" s="185"/>
      <c r="L76" s="185"/>
      <c r="M76" s="188"/>
      <c r="N76" s="185"/>
      <c r="O76" s="188"/>
      <c r="P76" s="220"/>
      <c r="Q76" s="191"/>
      <c r="R76" s="188">
        <v>39</v>
      </c>
      <c r="S76" s="191">
        <v>12.5</v>
      </c>
      <c r="T76" s="194">
        <v>3.61</v>
      </c>
      <c r="U76" s="197">
        <f>SUM(H76:T76)</f>
        <v>55.11</v>
      </c>
      <c r="V76" s="199" t="s">
        <v>63</v>
      </c>
      <c r="W76" s="221" t="s">
        <v>5</v>
      </c>
      <c r="X76" s="65" t="s">
        <v>17</v>
      </c>
      <c r="Y76" s="105"/>
      <c r="Z76" s="176"/>
    </row>
    <row r="77" spans="1:26" s="2" customFormat="1" ht="14.1" customHeight="1" x14ac:dyDescent="0.35">
      <c r="A77" s="250" t="s">
        <v>6</v>
      </c>
      <c r="B77" s="213" t="s">
        <v>100</v>
      </c>
      <c r="C77" s="226"/>
      <c r="D77" s="224">
        <v>8083071</v>
      </c>
      <c r="E77" s="180">
        <v>45146</v>
      </c>
      <c r="F77" s="183" t="s">
        <v>97</v>
      </c>
      <c r="G77" s="214">
        <v>45159</v>
      </c>
      <c r="H77" s="189">
        <v>75</v>
      </c>
      <c r="I77" s="187"/>
      <c r="J77" s="187"/>
      <c r="K77" s="187"/>
      <c r="L77" s="187"/>
      <c r="M77" s="189"/>
      <c r="N77" s="187"/>
      <c r="O77" s="189"/>
      <c r="P77" s="215"/>
      <c r="Q77" s="192"/>
      <c r="R77" s="189"/>
      <c r="S77" s="192"/>
      <c r="T77" s="195">
        <v>6.19</v>
      </c>
      <c r="U77" s="198">
        <f>SUM(H77:T77)</f>
        <v>81.19</v>
      </c>
      <c r="V77" s="201" t="s">
        <v>66</v>
      </c>
      <c r="W77" s="217" t="s">
        <v>6</v>
      </c>
      <c r="X77" s="65" t="s">
        <v>17</v>
      </c>
      <c r="Y77" s="105"/>
      <c r="Z77" s="176"/>
    </row>
    <row r="78" spans="1:26" s="2" customFormat="1" ht="14.1" customHeight="1" x14ac:dyDescent="0.2">
      <c r="A78" s="249" t="s">
        <v>37</v>
      </c>
      <c r="B78" s="202" t="s">
        <v>100</v>
      </c>
      <c r="C78" s="225"/>
      <c r="D78" s="222">
        <v>10033111</v>
      </c>
      <c r="E78" s="178">
        <v>45202</v>
      </c>
      <c r="F78" s="181" t="s">
        <v>20</v>
      </c>
      <c r="G78" s="203">
        <v>45203</v>
      </c>
      <c r="H78" s="186"/>
      <c r="I78" s="184"/>
      <c r="J78" s="184"/>
      <c r="K78" s="184"/>
      <c r="L78" s="184"/>
      <c r="M78" s="186"/>
      <c r="N78" s="184"/>
      <c r="O78" s="186"/>
      <c r="P78" s="204"/>
      <c r="Q78" s="190"/>
      <c r="R78" s="186">
        <v>149</v>
      </c>
      <c r="S78" s="190">
        <v>37.5</v>
      </c>
      <c r="T78" s="193">
        <v>12.29</v>
      </c>
      <c r="U78" s="196">
        <f>SUM(H78:T78)</f>
        <v>198.79</v>
      </c>
      <c r="V78" s="200" t="s">
        <v>63</v>
      </c>
      <c r="W78" s="212" t="s">
        <v>37</v>
      </c>
      <c r="X78" s="65" t="s">
        <v>17</v>
      </c>
      <c r="Y78" s="176"/>
    </row>
    <row r="79" spans="1:26" s="2" customFormat="1" ht="14.1" customHeight="1" x14ac:dyDescent="0.2">
      <c r="A79" s="241" t="s">
        <v>5</v>
      </c>
      <c r="B79" s="3" t="s">
        <v>155</v>
      </c>
      <c r="C79" s="4" t="s">
        <v>156</v>
      </c>
      <c r="D79" s="52">
        <v>10153051</v>
      </c>
      <c r="E79" s="98">
        <v>45214</v>
      </c>
      <c r="F79" s="44" t="s">
        <v>89</v>
      </c>
      <c r="G79" s="61">
        <v>45216</v>
      </c>
      <c r="H79" s="42"/>
      <c r="I79" s="28"/>
      <c r="J79" s="28"/>
      <c r="K79" s="28"/>
      <c r="L79" s="28"/>
      <c r="M79" s="42">
        <v>95</v>
      </c>
      <c r="N79" s="28"/>
      <c r="O79" s="42"/>
      <c r="P79" s="7"/>
      <c r="Q79" s="43"/>
      <c r="R79" s="42"/>
      <c r="S79" s="43"/>
      <c r="T79" s="32"/>
      <c r="U79" s="53">
        <f>SUM(H79:T79)</f>
        <v>95</v>
      </c>
      <c r="V79" s="64" t="s">
        <v>25</v>
      </c>
      <c r="W79" s="2" t="s">
        <v>5</v>
      </c>
      <c r="X79" s="65" t="s">
        <v>17</v>
      </c>
      <c r="Y79" s="176"/>
    </row>
    <row r="80" spans="1:26" s="2" customFormat="1" ht="14.1" customHeight="1" x14ac:dyDescent="0.35">
      <c r="A80" s="251" t="s">
        <v>36</v>
      </c>
      <c r="B80" s="218" t="s">
        <v>69</v>
      </c>
      <c r="C80" s="233"/>
      <c r="D80" s="223">
        <v>5013262</v>
      </c>
      <c r="E80" s="179">
        <v>45047</v>
      </c>
      <c r="F80" s="182" t="s">
        <v>70</v>
      </c>
      <c r="G80" s="219">
        <v>45047</v>
      </c>
      <c r="H80" s="188"/>
      <c r="I80" s="185"/>
      <c r="J80" s="185"/>
      <c r="K80" s="185"/>
      <c r="L80" s="185"/>
      <c r="M80" s="188"/>
      <c r="N80" s="185"/>
      <c r="O80" s="188">
        <v>37.5</v>
      </c>
      <c r="P80" s="220"/>
      <c r="Q80" s="191"/>
      <c r="R80" s="188"/>
      <c r="S80" s="191">
        <v>12.5</v>
      </c>
      <c r="T80" s="194">
        <v>3.52</v>
      </c>
      <c r="U80" s="197">
        <f>SUM(H80:T80)</f>
        <v>53.52</v>
      </c>
      <c r="V80" s="199" t="s">
        <v>7</v>
      </c>
      <c r="W80" s="221" t="s">
        <v>36</v>
      </c>
      <c r="X80" s="65" t="s">
        <v>17</v>
      </c>
      <c r="Y80" s="105"/>
      <c r="Z80" s="176"/>
    </row>
    <row r="81" spans="1:26" s="2" customFormat="1" ht="14.1" customHeight="1" x14ac:dyDescent="0.2">
      <c r="A81" s="241" t="s">
        <v>37</v>
      </c>
      <c r="B81" s="3" t="s">
        <v>135</v>
      </c>
      <c r="C81" s="4"/>
      <c r="D81" s="52">
        <v>10273102</v>
      </c>
      <c r="E81" s="98">
        <v>45226</v>
      </c>
      <c r="F81" s="44" t="s">
        <v>20</v>
      </c>
      <c r="G81" s="61">
        <v>45229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70</v>
      </c>
      <c r="S81" s="43">
        <v>25</v>
      </c>
      <c r="T81" s="32">
        <v>5.95</v>
      </c>
      <c r="U81" s="53">
        <f>SUM(H81:T81)</f>
        <v>100.95</v>
      </c>
      <c r="V81" s="64" t="s">
        <v>63</v>
      </c>
      <c r="W81" s="2" t="s">
        <v>57</v>
      </c>
      <c r="X81" s="65" t="s">
        <v>17</v>
      </c>
      <c r="Y81" s="176"/>
    </row>
    <row r="82" spans="1:26" s="2" customFormat="1" ht="14.1" customHeight="1" x14ac:dyDescent="0.35">
      <c r="A82" s="251" t="s">
        <v>37</v>
      </c>
      <c r="B82" s="218" t="s">
        <v>62</v>
      </c>
      <c r="C82" s="233" t="s">
        <v>107</v>
      </c>
      <c r="D82" s="223">
        <v>7263102</v>
      </c>
      <c r="E82" s="179">
        <v>45133</v>
      </c>
      <c r="F82" s="182" t="s">
        <v>20</v>
      </c>
      <c r="G82" s="219">
        <v>45133</v>
      </c>
      <c r="H82" s="188"/>
      <c r="I82" s="185"/>
      <c r="J82" s="185"/>
      <c r="K82" s="185"/>
      <c r="L82" s="185"/>
      <c r="M82" s="188"/>
      <c r="N82" s="185"/>
      <c r="O82" s="188"/>
      <c r="P82" s="220"/>
      <c r="Q82" s="191"/>
      <c r="R82" s="188">
        <v>195</v>
      </c>
      <c r="S82" s="191">
        <v>37.5</v>
      </c>
      <c r="T82" s="194"/>
      <c r="U82" s="197">
        <f>SUM(H82:T82)</f>
        <v>232.5</v>
      </c>
      <c r="V82" s="199" t="s">
        <v>63</v>
      </c>
      <c r="W82" s="221" t="s">
        <v>57</v>
      </c>
      <c r="X82" s="65" t="s">
        <v>17</v>
      </c>
      <c r="Y82" s="105"/>
      <c r="Z82" s="176"/>
    </row>
    <row r="83" spans="1:26" s="2" customFormat="1" ht="14.1" customHeight="1" x14ac:dyDescent="0.35">
      <c r="A83" s="250" t="s">
        <v>37</v>
      </c>
      <c r="B83" s="213" t="s">
        <v>113</v>
      </c>
      <c r="C83" s="226"/>
      <c r="D83" s="224">
        <v>9053102</v>
      </c>
      <c r="E83" s="180">
        <v>45174</v>
      </c>
      <c r="F83" s="183" t="s">
        <v>20</v>
      </c>
      <c r="G83" s="214">
        <v>45174</v>
      </c>
      <c r="H83" s="189"/>
      <c r="I83" s="187"/>
      <c r="J83" s="187"/>
      <c r="K83" s="187"/>
      <c r="L83" s="187"/>
      <c r="M83" s="189"/>
      <c r="N83" s="187"/>
      <c r="O83" s="189"/>
      <c r="P83" s="215"/>
      <c r="Q83" s="192"/>
      <c r="R83" s="189">
        <v>219</v>
      </c>
      <c r="S83" s="192">
        <v>62.5</v>
      </c>
      <c r="T83" s="195">
        <v>22.45</v>
      </c>
      <c r="U83" s="198">
        <f>SUM(H83:T83)</f>
        <v>303.95</v>
      </c>
      <c r="V83" s="201" t="s">
        <v>63</v>
      </c>
      <c r="W83" s="217" t="s">
        <v>5</v>
      </c>
      <c r="X83" s="65" t="s">
        <v>17</v>
      </c>
      <c r="Y83" s="105"/>
      <c r="Z83" s="176"/>
    </row>
    <row r="84" spans="1:26" s="2" customFormat="1" ht="14.1" customHeight="1" x14ac:dyDescent="0.2">
      <c r="A84" s="241" t="s">
        <v>37</v>
      </c>
      <c r="B84" s="3" t="s">
        <v>113</v>
      </c>
      <c r="C84" s="4"/>
      <c r="D84" s="52">
        <v>10303108</v>
      </c>
      <c r="E84" s="98">
        <v>45229</v>
      </c>
      <c r="F84" s="44" t="s">
        <v>20</v>
      </c>
      <c r="G84" s="61">
        <v>45230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246</v>
      </c>
      <c r="S84" s="43">
        <v>37.5</v>
      </c>
      <c r="T84" s="32">
        <v>25.22</v>
      </c>
      <c r="U84" s="53">
        <f>SUM(H84:T84)</f>
        <v>308.72000000000003</v>
      </c>
      <c r="V84" s="64" t="s">
        <v>63</v>
      </c>
      <c r="W84" s="2" t="s">
        <v>112</v>
      </c>
      <c r="X84" s="65" t="s">
        <v>17</v>
      </c>
      <c r="Y84" s="176"/>
    </row>
    <row r="85" spans="1:26" s="2" customFormat="1" ht="14.1" customHeight="1" x14ac:dyDescent="0.35">
      <c r="A85" s="251" t="s">
        <v>6</v>
      </c>
      <c r="B85" s="218" t="s">
        <v>78</v>
      </c>
      <c r="C85" s="233"/>
      <c r="D85" s="223">
        <v>7103067</v>
      </c>
      <c r="E85" s="179">
        <v>45117</v>
      </c>
      <c r="F85" s="182" t="s">
        <v>20</v>
      </c>
      <c r="G85" s="219">
        <v>45117</v>
      </c>
      <c r="H85" s="188"/>
      <c r="I85" s="185"/>
      <c r="J85" s="185"/>
      <c r="K85" s="185"/>
      <c r="L85" s="185"/>
      <c r="M85" s="188"/>
      <c r="N85" s="185"/>
      <c r="O85" s="188"/>
      <c r="P85" s="220"/>
      <c r="Q85" s="191"/>
      <c r="R85" s="188">
        <v>726</v>
      </c>
      <c r="S85" s="191">
        <v>75</v>
      </c>
      <c r="T85" s="194">
        <v>67.16</v>
      </c>
      <c r="U85" s="197">
        <f>SUM(H85:T85)</f>
        <v>868.16</v>
      </c>
      <c r="V85" s="199" t="s">
        <v>7</v>
      </c>
      <c r="W85" s="221" t="s">
        <v>6</v>
      </c>
      <c r="X85" s="65" t="s">
        <v>17</v>
      </c>
      <c r="Y85" s="105"/>
      <c r="Z85" s="176"/>
    </row>
    <row r="86" spans="1:26" s="2" customFormat="1" ht="14.1" customHeight="1" x14ac:dyDescent="0.2">
      <c r="A86" s="249" t="s">
        <v>37</v>
      </c>
      <c r="B86" s="202" t="s">
        <v>78</v>
      </c>
      <c r="C86" s="225"/>
      <c r="D86" s="222">
        <v>10333105</v>
      </c>
      <c r="E86" s="178">
        <v>45202</v>
      </c>
      <c r="F86" s="181" t="s">
        <v>20</v>
      </c>
      <c r="G86" s="203">
        <v>45202</v>
      </c>
      <c r="H86" s="186"/>
      <c r="I86" s="184"/>
      <c r="J86" s="184"/>
      <c r="K86" s="184"/>
      <c r="L86" s="184"/>
      <c r="M86" s="186"/>
      <c r="N86" s="184"/>
      <c r="O86" s="186"/>
      <c r="P86" s="204"/>
      <c r="Q86" s="190"/>
      <c r="R86" s="186">
        <v>285</v>
      </c>
      <c r="S86" s="190"/>
      <c r="T86" s="193">
        <v>26.36</v>
      </c>
      <c r="U86" s="196">
        <f>SUM(H86:T86)</f>
        <v>311.36</v>
      </c>
      <c r="V86" s="200" t="s">
        <v>32</v>
      </c>
      <c r="W86" s="212" t="s">
        <v>136</v>
      </c>
      <c r="X86" s="65" t="s">
        <v>17</v>
      </c>
      <c r="Y86" s="176"/>
    </row>
    <row r="87" spans="1:26" s="2" customFormat="1" ht="14.1" customHeight="1" x14ac:dyDescent="0.2">
      <c r="A87" s="249" t="s">
        <v>37</v>
      </c>
      <c r="B87" s="202" t="s">
        <v>141</v>
      </c>
      <c r="C87" s="225" t="s">
        <v>142</v>
      </c>
      <c r="D87" s="222">
        <v>10053103</v>
      </c>
      <c r="E87" s="178">
        <v>45204</v>
      </c>
      <c r="F87" s="181" t="s">
        <v>20</v>
      </c>
      <c r="G87" s="203">
        <v>45204</v>
      </c>
      <c r="H87" s="186"/>
      <c r="I87" s="184"/>
      <c r="J87" s="184"/>
      <c r="K87" s="184"/>
      <c r="L87" s="184"/>
      <c r="M87" s="186"/>
      <c r="N87" s="184"/>
      <c r="O87" s="186"/>
      <c r="P87" s="204"/>
      <c r="Q87" s="190"/>
      <c r="R87" s="186">
        <v>155</v>
      </c>
      <c r="S87" s="190">
        <v>25</v>
      </c>
      <c r="T87" s="193"/>
      <c r="U87" s="196">
        <f>SUM(H87:T87)</f>
        <v>180</v>
      </c>
      <c r="V87" s="200" t="s">
        <v>63</v>
      </c>
      <c r="W87" s="212" t="s">
        <v>112</v>
      </c>
      <c r="X87" s="65" t="s">
        <v>17</v>
      </c>
      <c r="Y87" s="176"/>
    </row>
    <row r="88" spans="1:26" s="2" customFormat="1" ht="14.1" customHeight="1" x14ac:dyDescent="0.2">
      <c r="A88" s="241" t="s">
        <v>37</v>
      </c>
      <c r="B88" s="3" t="s">
        <v>165</v>
      </c>
      <c r="C88" s="4" t="s">
        <v>138</v>
      </c>
      <c r="D88" s="52">
        <v>10303104</v>
      </c>
      <c r="E88" s="98">
        <v>45229</v>
      </c>
      <c r="F88" s="44" t="s">
        <v>20</v>
      </c>
      <c r="G88" s="61">
        <v>45230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110</v>
      </c>
      <c r="S88" s="43">
        <v>25</v>
      </c>
      <c r="T88" s="32">
        <v>8.5299999999999994</v>
      </c>
      <c r="U88" s="53">
        <f>SUM(H88:T88)</f>
        <v>143.53</v>
      </c>
      <c r="V88" s="64" t="s">
        <v>63</v>
      </c>
      <c r="W88" s="2" t="s">
        <v>112</v>
      </c>
      <c r="X88" s="65" t="s">
        <v>17</v>
      </c>
      <c r="Y88" s="176"/>
    </row>
    <row r="89" spans="1:26" s="2" customFormat="1" ht="14.1" customHeight="1" x14ac:dyDescent="0.2">
      <c r="A89" s="241" t="s">
        <v>37</v>
      </c>
      <c r="B89" s="3" t="s">
        <v>165</v>
      </c>
      <c r="C89" s="4" t="s">
        <v>166</v>
      </c>
      <c r="D89" s="52">
        <v>10303105</v>
      </c>
      <c r="E89" s="98">
        <v>45229</v>
      </c>
      <c r="F89" s="44" t="s">
        <v>20</v>
      </c>
      <c r="G89" s="61">
        <v>45230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65</v>
      </c>
      <c r="S89" s="43">
        <v>12.5</v>
      </c>
      <c r="T89" s="32">
        <v>5.93</v>
      </c>
      <c r="U89" s="53">
        <f>SUM(H89:T89)</f>
        <v>83.43</v>
      </c>
      <c r="V89" s="64" t="s">
        <v>63</v>
      </c>
      <c r="W89" s="2" t="s">
        <v>112</v>
      </c>
      <c r="X89" s="65" t="s">
        <v>17</v>
      </c>
      <c r="Y89" s="176"/>
    </row>
    <row r="90" spans="1:26" s="2" customFormat="1" ht="14.1" customHeight="1" x14ac:dyDescent="0.2">
      <c r="A90" s="241" t="s">
        <v>37</v>
      </c>
      <c r="B90" s="3" t="s">
        <v>165</v>
      </c>
      <c r="C90" s="4" t="s">
        <v>167</v>
      </c>
      <c r="D90" s="52">
        <v>10303106</v>
      </c>
      <c r="E90" s="98">
        <v>45229</v>
      </c>
      <c r="F90" s="44" t="s">
        <v>20</v>
      </c>
      <c r="G90" s="61">
        <v>45230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149</v>
      </c>
      <c r="S90" s="43">
        <v>37.5</v>
      </c>
      <c r="T90" s="32">
        <v>13.78</v>
      </c>
      <c r="U90" s="53">
        <f>SUM(H90:T90)</f>
        <v>200.28</v>
      </c>
      <c r="V90" s="64" t="s">
        <v>63</v>
      </c>
      <c r="W90" s="2" t="s">
        <v>112</v>
      </c>
      <c r="X90" s="65" t="s">
        <v>17</v>
      </c>
      <c r="Y90" s="176"/>
    </row>
    <row r="91" spans="1:26" s="2" customFormat="1" ht="14.1" customHeight="1" x14ac:dyDescent="0.2">
      <c r="A91" s="241" t="s">
        <v>37</v>
      </c>
      <c r="B91" s="3" t="s">
        <v>165</v>
      </c>
      <c r="C91" s="4" t="s">
        <v>168</v>
      </c>
      <c r="D91" s="52">
        <v>10303107</v>
      </c>
      <c r="E91" s="98">
        <v>45229</v>
      </c>
      <c r="F91" s="44" t="s">
        <v>20</v>
      </c>
      <c r="G91" s="61">
        <v>45230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104</v>
      </c>
      <c r="S91" s="43">
        <v>25</v>
      </c>
      <c r="T91" s="32">
        <v>9.6199999999999992</v>
      </c>
      <c r="U91" s="53">
        <f>SUM(H91:T91)</f>
        <v>138.62</v>
      </c>
      <c r="V91" s="64" t="s">
        <v>63</v>
      </c>
      <c r="W91" s="2" t="s">
        <v>112</v>
      </c>
      <c r="X91" s="65" t="s">
        <v>17</v>
      </c>
      <c r="Y91" s="176"/>
    </row>
    <row r="92" spans="1:26" s="2" customFormat="1" ht="14.1" customHeight="1" x14ac:dyDescent="0.2">
      <c r="A92" s="241" t="s">
        <v>37</v>
      </c>
      <c r="B92" s="3" t="s">
        <v>160</v>
      </c>
      <c r="C92" s="4"/>
      <c r="D92" s="52">
        <v>10203102</v>
      </c>
      <c r="E92" s="98">
        <v>45219</v>
      </c>
      <c r="F92" s="44" t="s">
        <v>20</v>
      </c>
      <c r="G92" s="61">
        <v>45219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650</v>
      </c>
      <c r="S92" s="43">
        <v>125</v>
      </c>
      <c r="T92" s="32">
        <v>66.63</v>
      </c>
      <c r="U92" s="53">
        <f>SUM(H92:T92)</f>
        <v>841.63</v>
      </c>
      <c r="V92" s="64" t="s">
        <v>63</v>
      </c>
      <c r="W92" s="2" t="s">
        <v>112</v>
      </c>
      <c r="X92" s="65" t="s">
        <v>17</v>
      </c>
      <c r="Y92" s="176"/>
    </row>
    <row r="93" spans="1:26" s="2" customFormat="1" ht="14.1" customHeight="1" x14ac:dyDescent="0.2">
      <c r="A93" s="241" t="s">
        <v>8</v>
      </c>
      <c r="B93" s="3" t="s">
        <v>147</v>
      </c>
      <c r="C93" s="4"/>
      <c r="D93" s="52">
        <v>9193014</v>
      </c>
      <c r="E93" s="98">
        <v>45210</v>
      </c>
      <c r="F93" s="44" t="s">
        <v>95</v>
      </c>
      <c r="G93" s="61">
        <v>45212</v>
      </c>
      <c r="H93" s="42"/>
      <c r="I93" s="28"/>
      <c r="J93" s="28"/>
      <c r="K93" s="28"/>
      <c r="L93" s="28"/>
      <c r="M93" s="42"/>
      <c r="N93" s="28"/>
      <c r="O93" s="42"/>
      <c r="P93" s="7">
        <v>720</v>
      </c>
      <c r="Q93" s="43"/>
      <c r="R93" s="42"/>
      <c r="S93" s="43"/>
      <c r="T93" s="32"/>
      <c r="U93" s="53">
        <f>SUM(H93:T93)</f>
        <v>720</v>
      </c>
      <c r="V93" s="64" t="s">
        <v>7</v>
      </c>
      <c r="W93" s="2" t="s">
        <v>36</v>
      </c>
      <c r="X93" s="65" t="s">
        <v>17</v>
      </c>
      <c r="Y93" s="176"/>
    </row>
    <row r="94" spans="1:26" s="2" customFormat="1" ht="14.1" customHeight="1" x14ac:dyDescent="0.35">
      <c r="A94" s="249" t="s">
        <v>37</v>
      </c>
      <c r="B94" s="202" t="s">
        <v>120</v>
      </c>
      <c r="C94" s="225"/>
      <c r="D94" s="222">
        <v>9223101</v>
      </c>
      <c r="E94" s="178">
        <v>45191</v>
      </c>
      <c r="F94" s="181" t="s">
        <v>20</v>
      </c>
      <c r="G94" s="203">
        <v>45194</v>
      </c>
      <c r="H94" s="186"/>
      <c r="I94" s="184"/>
      <c r="J94" s="184"/>
      <c r="K94" s="184"/>
      <c r="L94" s="184"/>
      <c r="M94" s="186"/>
      <c r="N94" s="184"/>
      <c r="O94" s="186"/>
      <c r="P94" s="204"/>
      <c r="Q94" s="190"/>
      <c r="R94" s="186">
        <v>182</v>
      </c>
      <c r="S94" s="190">
        <v>50</v>
      </c>
      <c r="T94" s="193">
        <v>15.7</v>
      </c>
      <c r="U94" s="196">
        <f>SUM(H94:T94)</f>
        <v>247.7</v>
      </c>
      <c r="V94" s="200" t="s">
        <v>63</v>
      </c>
      <c r="W94" s="212" t="s">
        <v>5</v>
      </c>
      <c r="X94" s="65" t="s">
        <v>17</v>
      </c>
      <c r="Y94" s="105"/>
      <c r="Z94" s="176"/>
    </row>
    <row r="95" spans="1:26" s="2" customFormat="1" ht="14.1" customHeight="1" x14ac:dyDescent="0.35">
      <c r="A95" s="251" t="s">
        <v>37</v>
      </c>
      <c r="B95" s="218" t="s">
        <v>67</v>
      </c>
      <c r="C95" s="233"/>
      <c r="D95" s="223">
        <v>8013062</v>
      </c>
      <c r="E95" s="179">
        <v>45139</v>
      </c>
      <c r="F95" s="182" t="s">
        <v>20</v>
      </c>
      <c r="G95" s="219">
        <v>45140</v>
      </c>
      <c r="H95" s="188"/>
      <c r="I95" s="185"/>
      <c r="J95" s="185"/>
      <c r="K95" s="185"/>
      <c r="L95" s="185"/>
      <c r="M95" s="188"/>
      <c r="N95" s="185"/>
      <c r="O95" s="188"/>
      <c r="P95" s="220"/>
      <c r="Q95" s="191"/>
      <c r="R95" s="188">
        <v>130</v>
      </c>
      <c r="S95" s="191">
        <v>25</v>
      </c>
      <c r="T95" s="194">
        <v>11.21</v>
      </c>
      <c r="U95" s="197">
        <f>SUM(H95:T95)</f>
        <v>166.21</v>
      </c>
      <c r="V95" s="199" t="s">
        <v>63</v>
      </c>
      <c r="W95" s="221" t="s">
        <v>37</v>
      </c>
      <c r="X95" s="65" t="s">
        <v>17</v>
      </c>
      <c r="Y95" s="105"/>
      <c r="Z95" s="176"/>
    </row>
    <row r="96" spans="1:26" s="2" customFormat="1" ht="14.1" customHeight="1" x14ac:dyDescent="0.35">
      <c r="A96" s="251" t="s">
        <v>5</v>
      </c>
      <c r="B96" s="218" t="s">
        <v>67</v>
      </c>
      <c r="C96" s="233"/>
      <c r="D96" s="223">
        <v>8043068</v>
      </c>
      <c r="E96" s="179">
        <v>45142</v>
      </c>
      <c r="F96" s="182" t="s">
        <v>20</v>
      </c>
      <c r="G96" s="219">
        <v>45142</v>
      </c>
      <c r="H96" s="188"/>
      <c r="I96" s="185"/>
      <c r="J96" s="185"/>
      <c r="K96" s="185"/>
      <c r="L96" s="185"/>
      <c r="M96" s="188"/>
      <c r="N96" s="185"/>
      <c r="O96" s="188"/>
      <c r="P96" s="220"/>
      <c r="Q96" s="191"/>
      <c r="R96" s="188">
        <v>-65</v>
      </c>
      <c r="S96" s="191"/>
      <c r="T96" s="194">
        <v>-5.61</v>
      </c>
      <c r="U96" s="197">
        <f>SUM(H96:T96)</f>
        <v>-70.61</v>
      </c>
      <c r="V96" s="199" t="s">
        <v>32</v>
      </c>
      <c r="W96" s="221" t="s">
        <v>8</v>
      </c>
      <c r="X96" s="65" t="s">
        <v>17</v>
      </c>
      <c r="Y96" s="105"/>
      <c r="Z96" s="176"/>
    </row>
    <row r="97" spans="1:27" s="2" customFormat="1" ht="14.1" customHeight="1" x14ac:dyDescent="0.2">
      <c r="A97" s="257"/>
      <c r="B97" s="311"/>
      <c r="C97" s="312"/>
      <c r="D97" s="52"/>
      <c r="E97" s="98"/>
      <c r="F97" s="44"/>
      <c r="G97" s="313"/>
      <c r="H97" s="42"/>
      <c r="I97" s="28"/>
      <c r="J97" s="28"/>
      <c r="K97" s="28"/>
      <c r="L97" s="28"/>
      <c r="M97" s="42"/>
      <c r="N97" s="28"/>
      <c r="O97" s="42"/>
      <c r="P97" s="314"/>
      <c r="Q97" s="43"/>
      <c r="R97" s="42"/>
      <c r="S97" s="43"/>
      <c r="T97" s="32"/>
      <c r="U97" s="53"/>
      <c r="V97" s="64"/>
      <c r="W97" s="315"/>
      <c r="X97" s="65"/>
      <c r="Y97" s="318">
        <f>SUM(U76:U96)</f>
        <v>5260.04</v>
      </c>
      <c r="Z97" s="231" t="e">
        <f>Y97/V174</f>
        <v>#DIV/0!</v>
      </c>
      <c r="AA97" s="176"/>
    </row>
    <row r="98" spans="1:27" s="2" customFormat="1" ht="14.1" customHeight="1" x14ac:dyDescent="0.2">
      <c r="A98" s="257"/>
      <c r="B98" s="311"/>
      <c r="C98" s="312"/>
      <c r="D98" s="52"/>
      <c r="E98" s="98"/>
      <c r="F98" s="44"/>
      <c r="G98" s="313"/>
      <c r="H98" s="42"/>
      <c r="I98" s="28"/>
      <c r="J98" s="28"/>
      <c r="K98" s="28"/>
      <c r="L98" s="28"/>
      <c r="M98" s="42"/>
      <c r="N98" s="28"/>
      <c r="O98" s="42"/>
      <c r="P98" s="314"/>
      <c r="Q98" s="43"/>
      <c r="R98" s="42"/>
      <c r="S98" s="43"/>
      <c r="T98" s="32"/>
      <c r="U98" s="53"/>
      <c r="V98" s="64"/>
      <c r="W98" s="315"/>
      <c r="X98" s="65"/>
      <c r="Y98" s="317">
        <f>SUM(U83:U97)</f>
        <v>4442.9800000000005</v>
      </c>
      <c r="Z98" s="231" t="e">
        <f>Y98/V159</f>
        <v>#DIV/0!</v>
      </c>
      <c r="AA98" s="176"/>
    </row>
    <row r="99" spans="1:27" s="2" customFormat="1" ht="14.1" customHeight="1" thickBot="1" x14ac:dyDescent="0.25">
      <c r="A99" s="257"/>
      <c r="B99" s="311"/>
      <c r="C99" s="312"/>
      <c r="D99" s="52"/>
      <c r="E99" s="98"/>
      <c r="F99" s="44"/>
      <c r="G99" s="313"/>
      <c r="H99" s="42"/>
      <c r="I99" s="28"/>
      <c r="J99" s="28"/>
      <c r="K99" s="28"/>
      <c r="L99" s="28"/>
      <c r="M99" s="42"/>
      <c r="N99" s="28"/>
      <c r="O99" s="42"/>
      <c r="P99" s="314"/>
      <c r="Q99" s="43"/>
      <c r="R99" s="42"/>
      <c r="S99" s="43"/>
      <c r="T99" s="32"/>
      <c r="U99" s="53"/>
      <c r="V99" s="64"/>
      <c r="W99" s="315"/>
      <c r="X99" s="65"/>
      <c r="Y99" s="316">
        <f>SUM(U84:U98)</f>
        <v>4139.0300000000007</v>
      </c>
      <c r="Z99" s="231" t="e">
        <f>Y99/V144</f>
        <v>#DIV/0!</v>
      </c>
      <c r="AA99" s="176"/>
    </row>
    <row r="100" spans="1:27" s="2" customFormat="1" ht="14.1" customHeight="1" thickBot="1" x14ac:dyDescent="0.25">
      <c r="A100" s="171"/>
      <c r="B100" s="172"/>
      <c r="C100" s="173"/>
      <c r="D100" s="173"/>
      <c r="E100" s="205"/>
      <c r="F100" s="206"/>
      <c r="G100" s="174"/>
      <c r="H100" s="207"/>
      <c r="I100" s="207"/>
      <c r="J100" s="208"/>
      <c r="K100" s="208"/>
      <c r="L100" s="208"/>
      <c r="M100" s="207"/>
      <c r="N100" s="207"/>
      <c r="O100" s="207"/>
      <c r="P100" s="50"/>
      <c r="Q100" s="216"/>
      <c r="R100" s="207"/>
      <c r="S100" s="216"/>
      <c r="T100" s="209"/>
      <c r="U100" s="210"/>
      <c r="V100" s="211"/>
      <c r="W100" s="84"/>
      <c r="X100" s="84"/>
      <c r="Y100" s="252">
        <f>SUM(U58:U99)</f>
        <v>8612.9499999999971</v>
      </c>
      <c r="Z100" s="231">
        <f>Y100/V102</f>
        <v>0.30415300330322026</v>
      </c>
      <c r="AA100" s="176"/>
    </row>
    <row r="101" spans="1:27" s="2" customFormat="1" ht="19.5" customHeight="1" thickBot="1" x14ac:dyDescent="0.4">
      <c r="A101" s="242"/>
      <c r="B101" s="158" t="s">
        <v>10</v>
      </c>
      <c r="C101" s="45"/>
      <c r="D101" s="89"/>
      <c r="E101" s="90"/>
      <c r="F101" s="45"/>
      <c r="G101" s="91"/>
      <c r="H101" s="159">
        <f>SUM(H4:H99)</f>
        <v>3884.67</v>
      </c>
      <c r="I101" s="159">
        <f>SUM(I4:I99)</f>
        <v>0</v>
      </c>
      <c r="J101" s="159">
        <f>SUM(J4:J99)</f>
        <v>1440</v>
      </c>
      <c r="K101" s="160">
        <f>SUM(K4:K99)</f>
        <v>0</v>
      </c>
      <c r="L101" s="161">
        <f>SUM(L4:L99)</f>
        <v>0</v>
      </c>
      <c r="M101" s="291">
        <f>SUM(M4:N99)</f>
        <v>1173</v>
      </c>
      <c r="N101" s="292"/>
      <c r="O101" s="167">
        <f t="shared" ref="O101:U101" si="0">SUM(O4:O99)</f>
        <v>37.5</v>
      </c>
      <c r="P101" s="167">
        <f t="shared" si="0"/>
        <v>900</v>
      </c>
      <c r="Q101" s="167">
        <f t="shared" si="0"/>
        <v>90</v>
      </c>
      <c r="R101" s="168">
        <f t="shared" si="0"/>
        <v>16773.61</v>
      </c>
      <c r="S101" s="168">
        <f t="shared" si="0"/>
        <v>2510</v>
      </c>
      <c r="T101" s="166">
        <f t="shared" si="0"/>
        <v>1509.04</v>
      </c>
      <c r="U101" s="162">
        <f t="shared" si="0"/>
        <v>28317.819999999992</v>
      </c>
      <c r="V101" s="50"/>
      <c r="W101" s="287"/>
      <c r="X101" s="287"/>
      <c r="Y101" s="288"/>
    </row>
    <row r="102" spans="1:27" s="2" customFormat="1" ht="14.1" customHeight="1" thickBot="1" x14ac:dyDescent="0.3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232">
        <f>SUM(H101:T101)</f>
        <v>28317.82</v>
      </c>
      <c r="Y102" s="164"/>
      <c r="Z102" s="177"/>
    </row>
    <row r="103" spans="1:27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7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7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7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7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7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7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7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7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7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35">
      <c r="A191" s="3"/>
      <c r="B191" s="3"/>
      <c r="C191" s="130"/>
      <c r="D191" s="4"/>
      <c r="E191" s="5"/>
      <c r="F191" s="4"/>
      <c r="G191" s="61"/>
      <c r="H191" s="7"/>
      <c r="I191" s="7"/>
      <c r="J191" s="7"/>
      <c r="K191" s="134"/>
      <c r="L191" s="7"/>
      <c r="M191" s="7"/>
      <c r="N191" s="7"/>
      <c r="O191" s="7"/>
      <c r="P191" s="7"/>
      <c r="Q191" s="7"/>
      <c r="R191" s="7"/>
      <c r="S191" s="6"/>
      <c r="T191" s="6"/>
      <c r="V191" s="131"/>
      <c r="W191" s="129"/>
      <c r="X191" s="129"/>
      <c r="Y191" s="229"/>
      <c r="Z191" s="3"/>
    </row>
    <row r="192" spans="1:26" s="135" customFormat="1" ht="26.25" customHeight="1" x14ac:dyDescent="0.45">
      <c r="A192" s="132"/>
      <c r="B192" s="133"/>
      <c r="C192" s="133"/>
      <c r="D192" s="2"/>
      <c r="E192" s="2"/>
      <c r="F192" s="164"/>
      <c r="G192" s="2"/>
      <c r="H192" s="134"/>
      <c r="I192" s="134"/>
      <c r="J192" s="134"/>
      <c r="K192" s="7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37"/>
      <c r="W192" s="26"/>
      <c r="X192" s="26"/>
      <c r="Y192" s="4"/>
      <c r="Z192" s="3"/>
    </row>
    <row r="193" spans="4:25" ht="15" customHeight="1" x14ac:dyDescent="0.35">
      <c r="V193" s="136"/>
      <c r="W193" s="3"/>
      <c r="X193" s="3"/>
    </row>
    <row r="195" spans="4:25" ht="15" customHeight="1" x14ac:dyDescent="0.35"/>
    <row r="196" spans="4:25" ht="15" customHeight="1" x14ac:dyDescent="0.35"/>
    <row r="201" spans="4:25" ht="9.75" customHeight="1" x14ac:dyDescent="0.2"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</row>
    <row r="202" spans="4:25" ht="10.5" customHeight="1" x14ac:dyDescent="0.2"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</row>
    <row r="203" spans="4:25" ht="9.75" customHeight="1" x14ac:dyDescent="0.2"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</row>
    <row r="204" spans="4:25" ht="10.5" customHeight="1" x14ac:dyDescent="0.35"/>
    <row r="216" spans="10:10" s="3" customFormat="1" ht="9.75" customHeight="1" x14ac:dyDescent="0.2">
      <c r="J216" s="5"/>
    </row>
  </sheetData>
  <sortState xmlns:xlrd2="http://schemas.microsoft.com/office/spreadsheetml/2017/richdata2" ref="A4:AB99">
    <sortCondition ref="B4:B99"/>
    <sortCondition ref="G4:G99"/>
  </sortState>
  <phoneticPr fontId="0" type="noConversion"/>
  <printOptions gridLines="1"/>
  <pageMargins left="0.2" right="0.21" top="0.17" bottom="0.17" header="0.5" footer="0.31"/>
  <pageSetup scale="54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B372"/>
  <sheetViews>
    <sheetView zoomScale="120" zoomScaleNormal="120" workbookViewId="0">
      <pane ySplit="1" topLeftCell="A90" activePane="bottomLeft" state="frozen"/>
      <selection pane="bottomLeft" activeCell="C103" sqref="C103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45237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6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>SUM(H5:T5)</f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6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>SUM(H6:T6)</f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6" s="2" customFormat="1" ht="14.1" customHeight="1" x14ac:dyDescent="0.35">
      <c r="A7" s="251" t="s">
        <v>37</v>
      </c>
      <c r="B7" s="218" t="s">
        <v>73</v>
      </c>
      <c r="C7" s="233"/>
      <c r="D7" s="223">
        <v>5303104</v>
      </c>
      <c r="E7" s="179">
        <v>45076</v>
      </c>
      <c r="F7" s="182" t="s">
        <v>20</v>
      </c>
      <c r="G7" s="219">
        <v>45076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29</v>
      </c>
      <c r="S7" s="191">
        <v>12.5</v>
      </c>
      <c r="T7" s="194">
        <v>2.5</v>
      </c>
      <c r="U7" s="197">
        <f>SUM(H7:T7)</f>
        <v>44</v>
      </c>
      <c r="V7" s="199" t="s">
        <v>63</v>
      </c>
      <c r="W7" s="221" t="s">
        <v>37</v>
      </c>
      <c r="X7" s="65" t="s">
        <v>17</v>
      </c>
      <c r="Y7" s="105"/>
      <c r="Z7" s="176"/>
    </row>
    <row r="8" spans="1:26" s="2" customFormat="1" ht="14.1" customHeight="1" x14ac:dyDescent="0.35">
      <c r="A8" s="251" t="s">
        <v>37</v>
      </c>
      <c r="B8" s="218" t="s">
        <v>60</v>
      </c>
      <c r="C8" s="233"/>
      <c r="D8" s="223">
        <v>6063102</v>
      </c>
      <c r="E8" s="179">
        <v>45083</v>
      </c>
      <c r="F8" s="182" t="s">
        <v>20</v>
      </c>
      <c r="G8" s="219">
        <v>45083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415</v>
      </c>
      <c r="S8" s="191">
        <v>62.5</v>
      </c>
      <c r="T8" s="194">
        <v>34.24</v>
      </c>
      <c r="U8" s="197">
        <f>SUM(H8:T8)</f>
        <v>511.74</v>
      </c>
      <c r="V8" s="199" t="s">
        <v>63</v>
      </c>
      <c r="W8" s="221" t="s">
        <v>57</v>
      </c>
      <c r="X8" s="65" t="s">
        <v>17</v>
      </c>
      <c r="Y8" s="105"/>
      <c r="Z8" s="176"/>
    </row>
    <row r="9" spans="1:26" s="2" customFormat="1" ht="14.1" customHeight="1" x14ac:dyDescent="0.35">
      <c r="A9" s="251" t="s">
        <v>37</v>
      </c>
      <c r="B9" s="218" t="s">
        <v>74</v>
      </c>
      <c r="C9" s="233"/>
      <c r="D9" s="223">
        <v>6233103</v>
      </c>
      <c r="E9" s="179">
        <v>45100</v>
      </c>
      <c r="F9" s="182" t="s">
        <v>20</v>
      </c>
      <c r="G9" s="219">
        <v>45100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110</v>
      </c>
      <c r="S9" s="191">
        <v>25</v>
      </c>
      <c r="T9" s="194">
        <v>9.35</v>
      </c>
      <c r="U9" s="197">
        <f>SUM(H9:T9)</f>
        <v>144.35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6" s="2" customFormat="1" ht="14.1" customHeight="1" x14ac:dyDescent="0.35">
      <c r="A10" s="251" t="s">
        <v>37</v>
      </c>
      <c r="B10" s="218" t="s">
        <v>75</v>
      </c>
      <c r="C10" s="233"/>
      <c r="D10" s="223">
        <v>6263103</v>
      </c>
      <c r="E10" s="179">
        <v>45103</v>
      </c>
      <c r="F10" s="182" t="s">
        <v>20</v>
      </c>
      <c r="G10" s="219">
        <v>45103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204</v>
      </c>
      <c r="S10" s="191">
        <v>50</v>
      </c>
      <c r="T10" s="194">
        <v>18.36</v>
      </c>
      <c r="U10" s="197">
        <f>SUM(H10:T10)</f>
        <v>272.36</v>
      </c>
      <c r="V10" s="199" t="s">
        <v>63</v>
      </c>
      <c r="W10" s="221" t="s">
        <v>5</v>
      </c>
      <c r="X10" s="65" t="s">
        <v>17</v>
      </c>
      <c r="Y10" s="105"/>
      <c r="Z10" s="176"/>
    </row>
    <row r="11" spans="1:26" s="2" customFormat="1" ht="14.1" customHeight="1" x14ac:dyDescent="0.35">
      <c r="A11" s="251" t="s">
        <v>37</v>
      </c>
      <c r="B11" s="218" t="s">
        <v>60</v>
      </c>
      <c r="C11" s="233"/>
      <c r="D11" s="223">
        <v>7103102</v>
      </c>
      <c r="E11" s="179">
        <v>45117</v>
      </c>
      <c r="F11" s="182" t="s">
        <v>20</v>
      </c>
      <c r="G11" s="219">
        <v>45117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220</v>
      </c>
      <c r="S11" s="191">
        <v>50</v>
      </c>
      <c r="T11" s="194">
        <v>18.149999999999999</v>
      </c>
      <c r="U11" s="197">
        <f>SUM(H11:T11)</f>
        <v>288.14999999999998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6" s="2" customFormat="1" ht="14.1" customHeight="1" x14ac:dyDescent="0.35">
      <c r="A12" s="251" t="s">
        <v>37</v>
      </c>
      <c r="B12" s="218" t="s">
        <v>77</v>
      </c>
      <c r="C12" s="233"/>
      <c r="D12" s="223">
        <v>7103107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130</v>
      </c>
      <c r="S12" s="191">
        <v>25</v>
      </c>
      <c r="T12" s="194">
        <v>10.08</v>
      </c>
      <c r="U12" s="197">
        <f>SUM(H12:T12)</f>
        <v>165.08</v>
      </c>
      <c r="V12" s="199" t="s">
        <v>63</v>
      </c>
      <c r="W12" s="221" t="s">
        <v>5</v>
      </c>
      <c r="X12" s="65" t="s">
        <v>17</v>
      </c>
      <c r="Y12" s="105"/>
      <c r="Z12" s="176"/>
    </row>
    <row r="13" spans="1:26" s="2" customFormat="1" ht="14.1" customHeight="1" x14ac:dyDescent="0.35">
      <c r="A13" s="251" t="s">
        <v>37</v>
      </c>
      <c r="B13" s="218" t="s">
        <v>79</v>
      </c>
      <c r="C13" s="233"/>
      <c r="D13" s="223">
        <v>7103107</v>
      </c>
      <c r="E13" s="179">
        <v>45117</v>
      </c>
      <c r="F13" s="182" t="s">
        <v>20</v>
      </c>
      <c r="G13" s="219">
        <v>45118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65</v>
      </c>
      <c r="S13" s="191">
        <v>12.5</v>
      </c>
      <c r="T13" s="194">
        <v>6.01</v>
      </c>
      <c r="U13" s="197">
        <f>SUM(H13:T13)</f>
        <v>83.51</v>
      </c>
      <c r="V13" s="199" t="s">
        <v>63</v>
      </c>
      <c r="W13" s="221" t="s">
        <v>37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37</v>
      </c>
      <c r="B14" s="218" t="s">
        <v>80</v>
      </c>
      <c r="C14" s="233"/>
      <c r="D14" s="223">
        <v>7203101</v>
      </c>
      <c r="E14" s="179">
        <v>45127</v>
      </c>
      <c r="F14" s="182" t="s">
        <v>20</v>
      </c>
      <c r="G14" s="219">
        <v>45127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240</v>
      </c>
      <c r="S14" s="191">
        <v>50</v>
      </c>
      <c r="T14" s="194">
        <v>18.600000000000001</v>
      </c>
      <c r="U14" s="197">
        <f>SUM(H14:T14)</f>
        <v>308.60000000000002</v>
      </c>
      <c r="V14" s="199" t="s">
        <v>66</v>
      </c>
      <c r="W14" s="221" t="s">
        <v>81</v>
      </c>
      <c r="X14" s="65" t="s">
        <v>17</v>
      </c>
      <c r="Y14" s="105"/>
      <c r="Z14" s="176"/>
    </row>
    <row r="15" spans="1:26" s="2" customFormat="1" ht="14.1" customHeight="1" x14ac:dyDescent="0.35">
      <c r="A15" s="251" t="s">
        <v>37</v>
      </c>
      <c r="B15" s="218" t="s">
        <v>82</v>
      </c>
      <c r="C15" s="233"/>
      <c r="D15" s="223">
        <v>7203104</v>
      </c>
      <c r="E15" s="179">
        <v>45127</v>
      </c>
      <c r="F15" s="182" t="s">
        <v>20</v>
      </c>
      <c r="G15" s="219">
        <v>45127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29</v>
      </c>
      <c r="S15" s="191"/>
      <c r="T15" s="194">
        <v>2.68</v>
      </c>
      <c r="U15" s="197">
        <f>SUM(H15:T15)</f>
        <v>31.68</v>
      </c>
      <c r="V15" s="199" t="s">
        <v>32</v>
      </c>
      <c r="W15" s="221" t="s">
        <v>83</v>
      </c>
      <c r="X15" s="65" t="s">
        <v>17</v>
      </c>
      <c r="Y15" s="105"/>
      <c r="Z15" s="176"/>
    </row>
    <row r="16" spans="1:26" s="2" customFormat="1" ht="14.1" customHeight="1" x14ac:dyDescent="0.35">
      <c r="A16" s="251" t="s">
        <v>37</v>
      </c>
      <c r="B16" s="218" t="s">
        <v>84</v>
      </c>
      <c r="C16" s="233"/>
      <c r="D16" s="223">
        <v>7243105</v>
      </c>
      <c r="E16" s="179">
        <v>45131</v>
      </c>
      <c r="F16" s="182" t="s">
        <v>20</v>
      </c>
      <c r="G16" s="219">
        <v>45132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188</v>
      </c>
      <c r="S16" s="191">
        <v>37.5</v>
      </c>
      <c r="T16" s="194">
        <v>16.22</v>
      </c>
      <c r="U16" s="197">
        <f>SUM(H16:T16)</f>
        <v>241.72</v>
      </c>
      <c r="V16" s="199" t="s">
        <v>63</v>
      </c>
      <c r="W16" s="221" t="s">
        <v>37</v>
      </c>
      <c r="X16" s="65" t="s">
        <v>17</v>
      </c>
      <c r="Y16" s="105"/>
      <c r="Z16" s="176"/>
    </row>
    <row r="17" spans="1:28" s="2" customFormat="1" ht="14.1" customHeight="1" x14ac:dyDescent="0.35">
      <c r="A17" s="251" t="s">
        <v>37</v>
      </c>
      <c r="B17" s="218" t="s">
        <v>62</v>
      </c>
      <c r="C17" s="233" t="s">
        <v>107</v>
      </c>
      <c r="D17" s="223">
        <v>7263102</v>
      </c>
      <c r="E17" s="179">
        <v>45133</v>
      </c>
      <c r="F17" s="182" t="s">
        <v>20</v>
      </c>
      <c r="G17" s="219">
        <v>45133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195</v>
      </c>
      <c r="S17" s="191">
        <v>37.5</v>
      </c>
      <c r="T17" s="194"/>
      <c r="U17" s="197">
        <f>SUM(H17:T17)</f>
        <v>232.5</v>
      </c>
      <c r="V17" s="199" t="s">
        <v>63</v>
      </c>
      <c r="W17" s="221" t="s">
        <v>57</v>
      </c>
      <c r="X17" s="65" t="s">
        <v>17</v>
      </c>
      <c r="Y17" s="105"/>
      <c r="Z17" s="176"/>
    </row>
    <row r="18" spans="1:28" s="2" customFormat="1" ht="14.1" customHeight="1" x14ac:dyDescent="0.35">
      <c r="A18" s="251" t="s">
        <v>37</v>
      </c>
      <c r="B18" s="218" t="s">
        <v>93</v>
      </c>
      <c r="C18" s="233"/>
      <c r="D18" s="223">
        <v>7273101</v>
      </c>
      <c r="E18" s="179">
        <v>45134</v>
      </c>
      <c r="F18" s="182" t="s">
        <v>20</v>
      </c>
      <c r="G18" s="219">
        <v>45134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-145</v>
      </c>
      <c r="S18" s="191">
        <v>-37.5</v>
      </c>
      <c r="T18" s="194">
        <v>-14.86</v>
      </c>
      <c r="U18" s="197">
        <f>SUM(H18:T18)</f>
        <v>-197.36</v>
      </c>
      <c r="V18" s="199" t="s">
        <v>63</v>
      </c>
      <c r="W18" s="221" t="s">
        <v>57</v>
      </c>
      <c r="X18" s="65" t="s">
        <v>17</v>
      </c>
      <c r="Y18" s="105"/>
      <c r="Z18" s="105"/>
      <c r="AA18" s="105"/>
      <c r="AB18" s="105"/>
    </row>
    <row r="19" spans="1:28" s="2" customFormat="1" ht="14.1" customHeight="1" x14ac:dyDescent="0.35">
      <c r="A19" s="251" t="s">
        <v>37</v>
      </c>
      <c r="B19" s="218" t="s">
        <v>85</v>
      </c>
      <c r="C19" s="233"/>
      <c r="D19" s="223">
        <v>7273103</v>
      </c>
      <c r="E19" s="179">
        <v>45134</v>
      </c>
      <c r="F19" s="182" t="s">
        <v>20</v>
      </c>
      <c r="G19" s="219">
        <v>45135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39</v>
      </c>
      <c r="S19" s="191">
        <v>12.5</v>
      </c>
      <c r="T19" s="194">
        <v>3.36</v>
      </c>
      <c r="U19" s="197">
        <f>SUM(H19:T19)</f>
        <v>54.86</v>
      </c>
      <c r="V19" s="199" t="s">
        <v>63</v>
      </c>
      <c r="W19" s="221" t="s">
        <v>57</v>
      </c>
      <c r="X19" s="65" t="s">
        <v>17</v>
      </c>
      <c r="Y19" s="105"/>
      <c r="Z19" s="176"/>
    </row>
    <row r="20" spans="1:28" s="2" customFormat="1" ht="14.1" customHeight="1" x14ac:dyDescent="0.35">
      <c r="A20" s="251" t="s">
        <v>37</v>
      </c>
      <c r="B20" s="218" t="s">
        <v>76</v>
      </c>
      <c r="C20" s="233"/>
      <c r="D20" s="223">
        <v>7273105</v>
      </c>
      <c r="E20" s="179">
        <v>45134</v>
      </c>
      <c r="F20" s="182" t="s">
        <v>20</v>
      </c>
      <c r="G20" s="219">
        <v>45135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195</v>
      </c>
      <c r="S20" s="191">
        <v>37.5</v>
      </c>
      <c r="T20" s="194">
        <v>16.82</v>
      </c>
      <c r="U20" s="197">
        <f>SUM(H20:T20)</f>
        <v>249.32</v>
      </c>
      <c r="V20" s="199" t="s">
        <v>63</v>
      </c>
      <c r="W20" s="221" t="s">
        <v>57</v>
      </c>
      <c r="X20" s="65" t="s">
        <v>17</v>
      </c>
      <c r="Y20" s="105"/>
      <c r="Z20" s="176"/>
    </row>
    <row r="21" spans="1:28" s="2" customFormat="1" ht="14.1" customHeight="1" x14ac:dyDescent="0.35">
      <c r="A21" s="251" t="s">
        <v>37</v>
      </c>
      <c r="B21" s="218" t="s">
        <v>87</v>
      </c>
      <c r="C21" s="233"/>
      <c r="D21" s="223">
        <v>7313106</v>
      </c>
      <c r="E21" s="179">
        <v>45138</v>
      </c>
      <c r="F21" s="182" t="s">
        <v>20</v>
      </c>
      <c r="G21" s="219">
        <v>45138</v>
      </c>
      <c r="H21" s="188"/>
      <c r="I21" s="185"/>
      <c r="J21" s="185"/>
      <c r="K21" s="185"/>
      <c r="L21" s="185"/>
      <c r="M21" s="188"/>
      <c r="N21" s="185"/>
      <c r="O21" s="188"/>
      <c r="P21" s="220"/>
      <c r="Q21" s="191"/>
      <c r="R21" s="188">
        <v>39</v>
      </c>
      <c r="S21" s="191">
        <v>12.5</v>
      </c>
      <c r="T21" s="194">
        <v>3.61</v>
      </c>
      <c r="U21" s="197">
        <f>SUM(H21:T21)</f>
        <v>55.11</v>
      </c>
      <c r="V21" s="199" t="s">
        <v>63</v>
      </c>
      <c r="W21" s="221" t="s">
        <v>5</v>
      </c>
      <c r="X21" s="65" t="s">
        <v>17</v>
      </c>
      <c r="Y21" s="105"/>
      <c r="Z21" s="176"/>
    </row>
    <row r="22" spans="1:28" s="2" customFormat="1" ht="14.1" customHeight="1" x14ac:dyDescent="0.35">
      <c r="A22" s="251" t="s">
        <v>37</v>
      </c>
      <c r="B22" s="218" t="s">
        <v>67</v>
      </c>
      <c r="C22" s="233"/>
      <c r="D22" s="223">
        <v>8013062</v>
      </c>
      <c r="E22" s="179">
        <v>45139</v>
      </c>
      <c r="F22" s="182" t="s">
        <v>20</v>
      </c>
      <c r="G22" s="219">
        <v>45140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130</v>
      </c>
      <c r="S22" s="191">
        <v>25</v>
      </c>
      <c r="T22" s="194">
        <v>11.21</v>
      </c>
      <c r="U22" s="197">
        <f>SUM(H22:T22)</f>
        <v>166.21</v>
      </c>
      <c r="V22" s="199" t="s">
        <v>63</v>
      </c>
      <c r="W22" s="221" t="s">
        <v>37</v>
      </c>
      <c r="X22" s="65" t="s">
        <v>17</v>
      </c>
      <c r="Y22" s="105"/>
      <c r="Z22" s="176"/>
    </row>
    <row r="23" spans="1:28" s="2" customFormat="1" ht="14.1" customHeight="1" x14ac:dyDescent="0.35">
      <c r="A23" s="251" t="s">
        <v>37</v>
      </c>
      <c r="B23" s="218" t="s">
        <v>88</v>
      </c>
      <c r="C23" s="233"/>
      <c r="D23" s="223">
        <v>8033102</v>
      </c>
      <c r="E23" s="179">
        <v>45141</v>
      </c>
      <c r="F23" s="182" t="s">
        <v>20</v>
      </c>
      <c r="G23" s="219">
        <v>45141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260</v>
      </c>
      <c r="S23" s="191">
        <v>50</v>
      </c>
      <c r="T23" s="194">
        <v>25.35</v>
      </c>
      <c r="U23" s="197">
        <f>SUM(H23:T23)</f>
        <v>335.35</v>
      </c>
      <c r="V23" s="199" t="s">
        <v>63</v>
      </c>
      <c r="W23" s="221" t="s">
        <v>37</v>
      </c>
      <c r="X23" s="65" t="s">
        <v>17</v>
      </c>
      <c r="Y23" s="105"/>
      <c r="Z23" s="176"/>
    </row>
    <row r="24" spans="1:28" s="2" customFormat="1" ht="14.1" customHeight="1" thickBot="1" x14ac:dyDescent="0.4">
      <c r="A24" s="251" t="s">
        <v>37</v>
      </c>
      <c r="B24" s="218" t="s">
        <v>92</v>
      </c>
      <c r="C24" s="233" t="s">
        <v>91</v>
      </c>
      <c r="D24" s="223">
        <v>8043104</v>
      </c>
      <c r="E24" s="179">
        <v>45142</v>
      </c>
      <c r="F24" s="182" t="s">
        <v>20</v>
      </c>
      <c r="G24" s="219">
        <v>45145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110</v>
      </c>
      <c r="S24" s="191">
        <v>25</v>
      </c>
      <c r="T24" s="194">
        <v>9.08</v>
      </c>
      <c r="U24" s="197">
        <f>SUM(H24:T24)</f>
        <v>144.08000000000001</v>
      </c>
      <c r="V24" s="199" t="s">
        <v>63</v>
      </c>
      <c r="W24" s="221" t="s">
        <v>5</v>
      </c>
      <c r="X24" s="65" t="s">
        <v>17</v>
      </c>
      <c r="Y24" s="105"/>
      <c r="Z24" s="176"/>
    </row>
    <row r="25" spans="1:28" s="2" customFormat="1" ht="14.1" customHeight="1" thickBot="1" x14ac:dyDescent="0.4">
      <c r="A25" s="259" t="s">
        <v>37</v>
      </c>
      <c r="B25" s="260" t="s">
        <v>60</v>
      </c>
      <c r="C25" s="261"/>
      <c r="D25" s="261">
        <v>8153102</v>
      </c>
      <c r="E25" s="262">
        <v>45153</v>
      </c>
      <c r="F25" s="263" t="s">
        <v>20</v>
      </c>
      <c r="G25" s="264">
        <v>45153</v>
      </c>
      <c r="H25" s="265"/>
      <c r="I25" s="265"/>
      <c r="J25" s="266"/>
      <c r="K25" s="266"/>
      <c r="L25" s="266"/>
      <c r="M25" s="265"/>
      <c r="N25" s="265"/>
      <c r="O25" s="265"/>
      <c r="P25" s="267"/>
      <c r="Q25" s="268"/>
      <c r="R25" s="265">
        <v>220</v>
      </c>
      <c r="S25" s="268">
        <v>50</v>
      </c>
      <c r="T25" s="269">
        <v>18.149999999999999</v>
      </c>
      <c r="U25" s="270">
        <f>SUM(H25:T25)</f>
        <v>288.14999999999998</v>
      </c>
      <c r="V25" s="271" t="s">
        <v>63</v>
      </c>
      <c r="W25" s="272" t="s">
        <v>37</v>
      </c>
      <c r="X25" s="84" t="s">
        <v>17</v>
      </c>
      <c r="Y25" s="258"/>
      <c r="Z25" s="176"/>
    </row>
    <row r="26" spans="1:28" s="2" customFormat="1" ht="14.1" customHeight="1" x14ac:dyDescent="0.35">
      <c r="A26" s="250" t="s">
        <v>37</v>
      </c>
      <c r="B26" s="213" t="s">
        <v>98</v>
      </c>
      <c r="C26" s="226" t="s">
        <v>99</v>
      </c>
      <c r="D26" s="224">
        <v>8153101</v>
      </c>
      <c r="E26" s="180">
        <v>45153</v>
      </c>
      <c r="F26" s="183" t="s">
        <v>20</v>
      </c>
      <c r="G26" s="214">
        <v>45156</v>
      </c>
      <c r="H26" s="189"/>
      <c r="I26" s="187"/>
      <c r="J26" s="187"/>
      <c r="K26" s="187"/>
      <c r="L26" s="187"/>
      <c r="M26" s="189"/>
      <c r="N26" s="187"/>
      <c r="O26" s="189"/>
      <c r="P26" s="215"/>
      <c r="Q26" s="192"/>
      <c r="R26" s="189">
        <v>149</v>
      </c>
      <c r="S26" s="192"/>
      <c r="T26" s="195">
        <v>13.78</v>
      </c>
      <c r="U26" s="198">
        <f>SUM(H26:T26)</f>
        <v>162.78</v>
      </c>
      <c r="V26" s="201" t="s">
        <v>63</v>
      </c>
      <c r="W26" s="217" t="s">
        <v>57</v>
      </c>
      <c r="X26" s="65" t="s">
        <v>17</v>
      </c>
      <c r="Y26" s="105"/>
      <c r="Z26" s="176"/>
    </row>
    <row r="27" spans="1:28" s="2" customFormat="1" ht="13.2" customHeight="1" x14ac:dyDescent="0.35">
      <c r="A27" s="250" t="s">
        <v>37</v>
      </c>
      <c r="B27" s="213" t="s">
        <v>101</v>
      </c>
      <c r="C27" s="226"/>
      <c r="D27" s="224">
        <v>8233101</v>
      </c>
      <c r="E27" s="180">
        <v>45161</v>
      </c>
      <c r="F27" s="183" t="s">
        <v>20</v>
      </c>
      <c r="G27" s="214">
        <v>45162</v>
      </c>
      <c r="H27" s="189"/>
      <c r="I27" s="187"/>
      <c r="J27" s="187"/>
      <c r="K27" s="187"/>
      <c r="L27" s="187"/>
      <c r="M27" s="189"/>
      <c r="N27" s="187"/>
      <c r="O27" s="189"/>
      <c r="P27" s="215"/>
      <c r="Q27" s="192"/>
      <c r="R27" s="189">
        <v>39</v>
      </c>
      <c r="S27" s="192">
        <v>12.5</v>
      </c>
      <c r="T27" s="195">
        <v>4</v>
      </c>
      <c r="U27" s="198">
        <f>SUM(H27:T27)</f>
        <v>55.5</v>
      </c>
      <c r="V27" s="201" t="s">
        <v>63</v>
      </c>
      <c r="W27" s="217" t="s">
        <v>57</v>
      </c>
      <c r="X27" s="65" t="s">
        <v>17</v>
      </c>
      <c r="Y27" s="105"/>
      <c r="Z27" s="176"/>
    </row>
    <row r="28" spans="1:28" s="2" customFormat="1" ht="14.1" customHeight="1" x14ac:dyDescent="0.35">
      <c r="A28" s="250" t="s">
        <v>37</v>
      </c>
      <c r="B28" s="213" t="s">
        <v>102</v>
      </c>
      <c r="C28" s="226" t="s">
        <v>103</v>
      </c>
      <c r="D28" s="224">
        <v>8233102</v>
      </c>
      <c r="E28" s="180">
        <v>45161</v>
      </c>
      <c r="F28" s="183" t="s">
        <v>20</v>
      </c>
      <c r="G28" s="214">
        <v>45162</v>
      </c>
      <c r="H28" s="189"/>
      <c r="I28" s="187"/>
      <c r="J28" s="187"/>
      <c r="K28" s="187"/>
      <c r="L28" s="187"/>
      <c r="M28" s="189"/>
      <c r="N28" s="187"/>
      <c r="O28" s="189"/>
      <c r="P28" s="215"/>
      <c r="Q28" s="192"/>
      <c r="R28" s="189">
        <v>130</v>
      </c>
      <c r="S28" s="192">
        <v>25</v>
      </c>
      <c r="T28" s="195">
        <v>11.21</v>
      </c>
      <c r="U28" s="198">
        <f>SUM(H28:T28)</f>
        <v>166.21</v>
      </c>
      <c r="V28" s="201" t="s">
        <v>63</v>
      </c>
      <c r="W28" s="217" t="s">
        <v>57</v>
      </c>
      <c r="X28" s="65" t="s">
        <v>17</v>
      </c>
      <c r="Y28" s="105"/>
      <c r="Z28" s="176"/>
    </row>
    <row r="29" spans="1:28" s="2" customFormat="1" ht="14.1" customHeight="1" x14ac:dyDescent="0.35">
      <c r="A29" s="250" t="s">
        <v>37</v>
      </c>
      <c r="B29" s="213" t="s">
        <v>104</v>
      </c>
      <c r="C29" s="226" t="s">
        <v>65</v>
      </c>
      <c r="D29" s="224">
        <v>8253104</v>
      </c>
      <c r="E29" s="180">
        <v>45163</v>
      </c>
      <c r="F29" s="183" t="s">
        <v>20</v>
      </c>
      <c r="G29" s="214">
        <v>45166</v>
      </c>
      <c r="H29" s="189"/>
      <c r="I29" s="187"/>
      <c r="J29" s="187"/>
      <c r="K29" s="187"/>
      <c r="L29" s="187"/>
      <c r="M29" s="189"/>
      <c r="N29" s="187"/>
      <c r="O29" s="189"/>
      <c r="P29" s="215"/>
      <c r="Q29" s="192"/>
      <c r="R29" s="189">
        <v>45</v>
      </c>
      <c r="S29" s="192">
        <v>12.5</v>
      </c>
      <c r="T29" s="195">
        <v>3.94</v>
      </c>
      <c r="U29" s="198">
        <f>SUM(H29:T29)</f>
        <v>61.44</v>
      </c>
      <c r="V29" s="201" t="s">
        <v>63</v>
      </c>
      <c r="W29" s="217" t="s">
        <v>5</v>
      </c>
      <c r="X29" s="65" t="s">
        <v>17</v>
      </c>
      <c r="Y29" s="105"/>
      <c r="Z29" s="176"/>
    </row>
    <row r="30" spans="1:28" s="2" customFormat="1" ht="14.1" customHeight="1" x14ac:dyDescent="0.35">
      <c r="A30" s="249" t="s">
        <v>37</v>
      </c>
      <c r="B30" s="202" t="s">
        <v>106</v>
      </c>
      <c r="C30" s="225"/>
      <c r="D30" s="224">
        <v>8303102</v>
      </c>
      <c r="E30" s="180">
        <v>45168</v>
      </c>
      <c r="F30" s="183" t="s">
        <v>20</v>
      </c>
      <c r="G30" s="214">
        <v>45168</v>
      </c>
      <c r="H30" s="189"/>
      <c r="I30" s="187"/>
      <c r="J30" s="187"/>
      <c r="K30" s="187"/>
      <c r="L30" s="187"/>
      <c r="M30" s="189"/>
      <c r="N30" s="187"/>
      <c r="O30" s="189"/>
      <c r="P30" s="215"/>
      <c r="Q30" s="192"/>
      <c r="R30" s="189">
        <v>175</v>
      </c>
      <c r="S30" s="192">
        <v>37.5</v>
      </c>
      <c r="T30" s="195">
        <v>16.63</v>
      </c>
      <c r="U30" s="198">
        <f>SUM(H30:T30)</f>
        <v>229.13</v>
      </c>
      <c r="V30" s="201" t="s">
        <v>63</v>
      </c>
      <c r="W30" s="217" t="s">
        <v>5</v>
      </c>
      <c r="X30" s="65" t="s">
        <v>17</v>
      </c>
      <c r="Y30" s="105"/>
      <c r="Z30" s="176"/>
    </row>
    <row r="31" spans="1:28" s="2" customFormat="1" ht="14.1" customHeight="1" x14ac:dyDescent="0.35">
      <c r="A31" s="250" t="s">
        <v>37</v>
      </c>
      <c r="B31" s="213" t="s">
        <v>109</v>
      </c>
      <c r="C31" s="226"/>
      <c r="D31" s="224">
        <v>9013102</v>
      </c>
      <c r="E31" s="180">
        <v>45170</v>
      </c>
      <c r="F31" s="183" t="s">
        <v>20</v>
      </c>
      <c r="G31" s="214">
        <v>45170</v>
      </c>
      <c r="H31" s="189"/>
      <c r="I31" s="187"/>
      <c r="J31" s="187"/>
      <c r="K31" s="187"/>
      <c r="L31" s="187"/>
      <c r="M31" s="189"/>
      <c r="N31" s="187"/>
      <c r="O31" s="189"/>
      <c r="P31" s="215"/>
      <c r="Q31" s="192"/>
      <c r="R31" s="189">
        <v>215</v>
      </c>
      <c r="S31" s="192">
        <v>67.5</v>
      </c>
      <c r="T31" s="195">
        <v>19.89</v>
      </c>
      <c r="U31" s="198">
        <f>SUM(H31:T31)</f>
        <v>302.39</v>
      </c>
      <c r="V31" s="201" t="s">
        <v>63</v>
      </c>
      <c r="W31" s="217" t="s">
        <v>110</v>
      </c>
      <c r="X31" s="65" t="s">
        <v>17</v>
      </c>
      <c r="Y31" s="105"/>
      <c r="Z31" s="176"/>
    </row>
    <row r="32" spans="1:28" s="2" customFormat="1" ht="14.1" customHeight="1" x14ac:dyDescent="0.35">
      <c r="A32" s="250" t="s">
        <v>37</v>
      </c>
      <c r="B32" s="213" t="s">
        <v>113</v>
      </c>
      <c r="C32" s="226"/>
      <c r="D32" s="224">
        <v>9053102</v>
      </c>
      <c r="E32" s="180">
        <v>45174</v>
      </c>
      <c r="F32" s="183" t="s">
        <v>20</v>
      </c>
      <c r="G32" s="214">
        <v>45174</v>
      </c>
      <c r="H32" s="189"/>
      <c r="I32" s="187"/>
      <c r="J32" s="187"/>
      <c r="K32" s="187"/>
      <c r="L32" s="187"/>
      <c r="M32" s="189"/>
      <c r="N32" s="187"/>
      <c r="O32" s="189"/>
      <c r="P32" s="215"/>
      <c r="Q32" s="192"/>
      <c r="R32" s="189">
        <v>219</v>
      </c>
      <c r="S32" s="192">
        <v>62.5</v>
      </c>
      <c r="T32" s="195">
        <v>22.45</v>
      </c>
      <c r="U32" s="198">
        <f>SUM(H32:T32)</f>
        <v>303.95</v>
      </c>
      <c r="V32" s="201" t="s">
        <v>63</v>
      </c>
      <c r="W32" s="217" t="s">
        <v>5</v>
      </c>
      <c r="X32" s="65" t="s">
        <v>17</v>
      </c>
      <c r="Y32" s="105"/>
      <c r="Z32" s="176"/>
    </row>
    <row r="33" spans="1:26" s="2" customFormat="1" ht="14.1" customHeight="1" x14ac:dyDescent="0.35">
      <c r="A33" s="250" t="s">
        <v>37</v>
      </c>
      <c r="B33" s="213" t="s">
        <v>114</v>
      </c>
      <c r="C33" s="226"/>
      <c r="D33" s="224">
        <v>9013106</v>
      </c>
      <c r="E33" s="180">
        <v>45170</v>
      </c>
      <c r="F33" s="183" t="s">
        <v>20</v>
      </c>
      <c r="G33" s="214">
        <v>45174</v>
      </c>
      <c r="H33" s="189"/>
      <c r="I33" s="187"/>
      <c r="J33" s="187"/>
      <c r="K33" s="187"/>
      <c r="L33" s="187"/>
      <c r="M33" s="189"/>
      <c r="N33" s="187"/>
      <c r="O33" s="189"/>
      <c r="P33" s="215"/>
      <c r="Q33" s="192"/>
      <c r="R33" s="189">
        <v>135</v>
      </c>
      <c r="S33" s="192">
        <v>25</v>
      </c>
      <c r="T33" s="195">
        <v>12.99</v>
      </c>
      <c r="U33" s="198">
        <f>SUM(H33:T33)</f>
        <v>172.99</v>
      </c>
      <c r="V33" s="201" t="s">
        <v>7</v>
      </c>
      <c r="W33" s="217" t="s">
        <v>59</v>
      </c>
      <c r="X33" s="65" t="s">
        <v>17</v>
      </c>
      <c r="Y33" s="105"/>
      <c r="Z33" s="176"/>
    </row>
    <row r="34" spans="1:26" s="2" customFormat="1" ht="14.1" customHeight="1" x14ac:dyDescent="0.35">
      <c r="A34" s="250" t="s">
        <v>37</v>
      </c>
      <c r="B34" s="213" t="s">
        <v>115</v>
      </c>
      <c r="C34" s="226"/>
      <c r="D34" s="224">
        <v>9073101</v>
      </c>
      <c r="E34" s="180">
        <v>45176</v>
      </c>
      <c r="F34" s="183" t="s">
        <v>20</v>
      </c>
      <c r="G34" s="214">
        <v>45176</v>
      </c>
      <c r="H34" s="189"/>
      <c r="I34" s="187"/>
      <c r="J34" s="187"/>
      <c r="K34" s="187"/>
      <c r="L34" s="187"/>
      <c r="M34" s="189"/>
      <c r="N34" s="187"/>
      <c r="O34" s="189"/>
      <c r="P34" s="215"/>
      <c r="Q34" s="192"/>
      <c r="R34" s="189">
        <v>20.61</v>
      </c>
      <c r="S34" s="192"/>
      <c r="T34" s="195"/>
      <c r="U34" s="198">
        <f>SUM(H34:T34)</f>
        <v>20.61</v>
      </c>
      <c r="V34" s="201" t="s">
        <v>63</v>
      </c>
      <c r="W34" s="217" t="s">
        <v>57</v>
      </c>
      <c r="X34" s="65" t="s">
        <v>17</v>
      </c>
      <c r="Y34" s="105" t="s">
        <v>203</v>
      </c>
      <c r="Z34" s="176"/>
    </row>
    <row r="35" spans="1:26" s="2" customFormat="1" ht="14.1" customHeight="1" x14ac:dyDescent="0.35">
      <c r="A35" s="249" t="s">
        <v>37</v>
      </c>
      <c r="B35" s="202" t="s">
        <v>117</v>
      </c>
      <c r="C35" s="225"/>
      <c r="D35" s="222">
        <v>9143102</v>
      </c>
      <c r="E35" s="178">
        <v>45183</v>
      </c>
      <c r="F35" s="181" t="s">
        <v>20</v>
      </c>
      <c r="G35" s="203">
        <v>45183</v>
      </c>
      <c r="H35" s="186"/>
      <c r="I35" s="184"/>
      <c r="J35" s="184"/>
      <c r="K35" s="184"/>
      <c r="L35" s="184"/>
      <c r="M35" s="186"/>
      <c r="N35" s="184"/>
      <c r="O35" s="186"/>
      <c r="P35" s="204"/>
      <c r="Q35" s="190"/>
      <c r="R35" s="186">
        <v>155</v>
      </c>
      <c r="S35" s="190">
        <v>37.5</v>
      </c>
      <c r="T35" s="193">
        <v>13.18</v>
      </c>
      <c r="U35" s="196">
        <f>SUM(H35:T35)</f>
        <v>205.68</v>
      </c>
      <c r="V35" s="200" t="s">
        <v>63</v>
      </c>
      <c r="W35" s="212" t="s">
        <v>112</v>
      </c>
      <c r="X35" s="65" t="s">
        <v>17</v>
      </c>
      <c r="Y35" s="105"/>
      <c r="Z35" s="176"/>
    </row>
    <row r="36" spans="1:26" s="2" customFormat="1" ht="14.1" customHeight="1" x14ac:dyDescent="0.35">
      <c r="A36" s="249" t="s">
        <v>37</v>
      </c>
      <c r="B36" s="202" t="s">
        <v>119</v>
      </c>
      <c r="C36" s="225"/>
      <c r="D36" s="222">
        <v>9203102</v>
      </c>
      <c r="E36" s="178">
        <v>45189</v>
      </c>
      <c r="F36" s="181" t="s">
        <v>20</v>
      </c>
      <c r="G36" s="203">
        <v>45189</v>
      </c>
      <c r="H36" s="186"/>
      <c r="I36" s="184"/>
      <c r="J36" s="184"/>
      <c r="K36" s="184"/>
      <c r="L36" s="184"/>
      <c r="M36" s="186"/>
      <c r="N36" s="184"/>
      <c r="O36" s="186"/>
      <c r="P36" s="204"/>
      <c r="Q36" s="190"/>
      <c r="R36" s="186">
        <v>188</v>
      </c>
      <c r="S36" s="190">
        <v>50</v>
      </c>
      <c r="T36" s="193">
        <v>16.22</v>
      </c>
      <c r="U36" s="196">
        <f>SUM(H36:T36)</f>
        <v>254.22</v>
      </c>
      <c r="V36" s="200" t="s">
        <v>63</v>
      </c>
      <c r="W36" s="212" t="s">
        <v>37</v>
      </c>
      <c r="X36" s="65" t="s">
        <v>17</v>
      </c>
      <c r="Y36" s="105"/>
      <c r="Z36" s="176"/>
    </row>
    <row r="37" spans="1:26" s="2" customFormat="1" ht="14.1" customHeight="1" x14ac:dyDescent="0.35">
      <c r="A37" s="249" t="s">
        <v>37</v>
      </c>
      <c r="B37" s="202" t="s">
        <v>120</v>
      </c>
      <c r="C37" s="225"/>
      <c r="D37" s="222">
        <v>9223101</v>
      </c>
      <c r="E37" s="178">
        <v>45191</v>
      </c>
      <c r="F37" s="181" t="s">
        <v>20</v>
      </c>
      <c r="G37" s="203">
        <v>45194</v>
      </c>
      <c r="H37" s="186"/>
      <c r="I37" s="184"/>
      <c r="J37" s="184"/>
      <c r="K37" s="184"/>
      <c r="L37" s="184"/>
      <c r="M37" s="186"/>
      <c r="N37" s="184"/>
      <c r="O37" s="186"/>
      <c r="P37" s="204"/>
      <c r="Q37" s="190"/>
      <c r="R37" s="186">
        <v>182</v>
      </c>
      <c r="S37" s="190">
        <v>50</v>
      </c>
      <c r="T37" s="193">
        <v>15.7</v>
      </c>
      <c r="U37" s="196">
        <f>SUM(H37:T37)</f>
        <v>247.7</v>
      </c>
      <c r="V37" s="200" t="s">
        <v>63</v>
      </c>
      <c r="W37" s="212" t="s">
        <v>5</v>
      </c>
      <c r="X37" s="65" t="s">
        <v>17</v>
      </c>
      <c r="Y37" s="105"/>
      <c r="Z37" s="176"/>
    </row>
    <row r="38" spans="1:26" s="2" customFormat="1" ht="14.1" customHeight="1" x14ac:dyDescent="0.35">
      <c r="A38" s="249" t="s">
        <v>37</v>
      </c>
      <c r="B38" s="202" t="s">
        <v>121</v>
      </c>
      <c r="C38" s="225"/>
      <c r="D38" s="222">
        <v>9223103</v>
      </c>
      <c r="E38" s="178">
        <v>45191</v>
      </c>
      <c r="F38" s="181" t="s">
        <v>20</v>
      </c>
      <c r="G38" s="203">
        <v>45194</v>
      </c>
      <c r="H38" s="186"/>
      <c r="I38" s="184"/>
      <c r="J38" s="184"/>
      <c r="K38" s="184"/>
      <c r="L38" s="184"/>
      <c r="M38" s="186"/>
      <c r="N38" s="184"/>
      <c r="O38" s="186"/>
      <c r="P38" s="204"/>
      <c r="Q38" s="190"/>
      <c r="R38" s="186">
        <v>505</v>
      </c>
      <c r="S38" s="190">
        <v>112.5</v>
      </c>
      <c r="T38" s="193">
        <v>46.71</v>
      </c>
      <c r="U38" s="196">
        <f>SUM(H38:T38)</f>
        <v>664.21</v>
      </c>
      <c r="V38" s="200" t="s">
        <v>63</v>
      </c>
      <c r="W38" s="212" t="s">
        <v>57</v>
      </c>
      <c r="X38" s="65" t="s">
        <v>122</v>
      </c>
      <c r="Y38" s="105"/>
      <c r="Z38" s="176"/>
    </row>
    <row r="39" spans="1:26" s="2" customFormat="1" ht="14.1" customHeight="1" x14ac:dyDescent="0.35">
      <c r="A39" s="249" t="s">
        <v>37</v>
      </c>
      <c r="B39" s="202" t="s">
        <v>123</v>
      </c>
      <c r="C39" s="225"/>
      <c r="D39" s="222">
        <v>9253102</v>
      </c>
      <c r="E39" s="178">
        <v>45194</v>
      </c>
      <c r="F39" s="181" t="s">
        <v>20</v>
      </c>
      <c r="G39" s="203">
        <v>45194</v>
      </c>
      <c r="H39" s="186"/>
      <c r="I39" s="184"/>
      <c r="J39" s="184"/>
      <c r="K39" s="184"/>
      <c r="L39" s="184"/>
      <c r="M39" s="186"/>
      <c r="N39" s="184"/>
      <c r="O39" s="186"/>
      <c r="P39" s="204"/>
      <c r="Q39" s="190"/>
      <c r="R39" s="186">
        <v>65</v>
      </c>
      <c r="S39" s="190">
        <v>12.5</v>
      </c>
      <c r="T39" s="193">
        <v>5.53</v>
      </c>
      <c r="U39" s="196">
        <f>SUM(H39:T39)</f>
        <v>83.03</v>
      </c>
      <c r="V39" s="200" t="s">
        <v>63</v>
      </c>
      <c r="W39" s="212" t="s">
        <v>37</v>
      </c>
      <c r="X39" s="65" t="s">
        <v>17</v>
      </c>
      <c r="Y39" s="105"/>
      <c r="Z39" s="176"/>
    </row>
    <row r="40" spans="1:26" s="2" customFormat="1" ht="14.1" customHeight="1" thickBot="1" x14ac:dyDescent="0.4">
      <c r="A40" s="249" t="s">
        <v>37</v>
      </c>
      <c r="B40" s="202" t="s">
        <v>124</v>
      </c>
      <c r="C40" s="225"/>
      <c r="D40" s="222">
        <v>9253107</v>
      </c>
      <c r="E40" s="178">
        <v>45194</v>
      </c>
      <c r="F40" s="181" t="s">
        <v>20</v>
      </c>
      <c r="G40" s="203">
        <v>45194</v>
      </c>
      <c r="H40" s="186"/>
      <c r="I40" s="184"/>
      <c r="J40" s="184"/>
      <c r="K40" s="184"/>
      <c r="L40" s="184"/>
      <c r="M40" s="186"/>
      <c r="N40" s="184"/>
      <c r="O40" s="186"/>
      <c r="P40" s="204"/>
      <c r="Q40" s="190"/>
      <c r="R40" s="186">
        <v>220</v>
      </c>
      <c r="S40" s="190">
        <v>50</v>
      </c>
      <c r="T40" s="193">
        <v>20.239999999999998</v>
      </c>
      <c r="U40" s="196">
        <f>SUM(H40:T40)</f>
        <v>290.24</v>
      </c>
      <c r="V40" s="200" t="s">
        <v>63</v>
      </c>
      <c r="W40" s="212" t="s">
        <v>37</v>
      </c>
      <c r="X40" s="65" t="s">
        <v>17</v>
      </c>
      <c r="Y40" s="105"/>
      <c r="Z40" s="176"/>
    </row>
    <row r="41" spans="1:26" s="2" customFormat="1" ht="14.1" customHeight="1" thickBot="1" x14ac:dyDescent="0.4">
      <c r="A41" s="273" t="s">
        <v>37</v>
      </c>
      <c r="B41" s="274" t="s">
        <v>125</v>
      </c>
      <c r="C41" s="275" t="s">
        <v>126</v>
      </c>
      <c r="D41" s="275">
        <v>9253108</v>
      </c>
      <c r="E41" s="276">
        <v>45194</v>
      </c>
      <c r="F41" s="277" t="s">
        <v>20</v>
      </c>
      <c r="G41" s="278">
        <v>45194</v>
      </c>
      <c r="H41" s="279"/>
      <c r="I41" s="279"/>
      <c r="J41" s="280"/>
      <c r="K41" s="280"/>
      <c r="L41" s="280"/>
      <c r="M41" s="279"/>
      <c r="N41" s="279"/>
      <c r="O41" s="279"/>
      <c r="P41" s="281"/>
      <c r="Q41" s="282"/>
      <c r="R41" s="279">
        <v>180</v>
      </c>
      <c r="S41" s="282">
        <v>50</v>
      </c>
      <c r="T41" s="283">
        <v>15.08</v>
      </c>
      <c r="U41" s="284">
        <f>SUM(H41:T41)</f>
        <v>245.08</v>
      </c>
      <c r="V41" s="285" t="s">
        <v>63</v>
      </c>
      <c r="W41" s="286" t="s">
        <v>37</v>
      </c>
      <c r="X41" s="84" t="s">
        <v>17</v>
      </c>
      <c r="Y41" s="258"/>
      <c r="Z41" s="176"/>
    </row>
    <row r="42" spans="1:26" s="2" customFormat="1" ht="14.1" customHeight="1" x14ac:dyDescent="0.2">
      <c r="A42" s="249" t="s">
        <v>37</v>
      </c>
      <c r="B42" s="202" t="s">
        <v>132</v>
      </c>
      <c r="C42" s="225" t="s">
        <v>133</v>
      </c>
      <c r="D42" s="222">
        <v>10033104</v>
      </c>
      <c r="E42" s="178">
        <v>45202</v>
      </c>
      <c r="F42" s="181" t="s">
        <v>20</v>
      </c>
      <c r="G42" s="203">
        <v>45202</v>
      </c>
      <c r="H42" s="186"/>
      <c r="I42" s="184"/>
      <c r="J42" s="184"/>
      <c r="K42" s="184"/>
      <c r="L42" s="184"/>
      <c r="M42" s="186"/>
      <c r="N42" s="184"/>
      <c r="O42" s="186"/>
      <c r="P42" s="204"/>
      <c r="Q42" s="190"/>
      <c r="R42" s="186">
        <v>55</v>
      </c>
      <c r="S42" s="190">
        <v>12.5</v>
      </c>
      <c r="T42" s="193">
        <v>4.74</v>
      </c>
      <c r="U42" s="196">
        <f>SUM(H42:T42)</f>
        <v>72.239999999999995</v>
      </c>
      <c r="V42" s="200" t="s">
        <v>63</v>
      </c>
      <c r="W42" s="212" t="s">
        <v>37</v>
      </c>
      <c r="X42" s="65" t="s">
        <v>17</v>
      </c>
      <c r="Y42" s="176"/>
    </row>
    <row r="43" spans="1:26" s="2" customFormat="1" ht="14.1" customHeight="1" x14ac:dyDescent="0.2">
      <c r="A43" s="249" t="s">
        <v>37</v>
      </c>
      <c r="B43" s="202" t="s">
        <v>78</v>
      </c>
      <c r="C43" s="225"/>
      <c r="D43" s="222">
        <v>10333105</v>
      </c>
      <c r="E43" s="178">
        <v>45202</v>
      </c>
      <c r="F43" s="181" t="s">
        <v>20</v>
      </c>
      <c r="G43" s="203">
        <v>45202</v>
      </c>
      <c r="H43" s="186"/>
      <c r="I43" s="184"/>
      <c r="J43" s="184"/>
      <c r="K43" s="184"/>
      <c r="L43" s="184"/>
      <c r="M43" s="186"/>
      <c r="N43" s="184"/>
      <c r="O43" s="186"/>
      <c r="P43" s="204"/>
      <c r="Q43" s="190"/>
      <c r="R43" s="186">
        <v>285</v>
      </c>
      <c r="S43" s="190"/>
      <c r="T43" s="193">
        <v>26.36</v>
      </c>
      <c r="U43" s="196">
        <f>SUM(H43:T43)</f>
        <v>311.36</v>
      </c>
      <c r="V43" s="200" t="s">
        <v>32</v>
      </c>
      <c r="W43" s="212" t="s">
        <v>136</v>
      </c>
      <c r="X43" s="65" t="s">
        <v>17</v>
      </c>
      <c r="Y43" s="176"/>
    </row>
    <row r="44" spans="1:26" s="2" customFormat="1" ht="14.1" customHeight="1" x14ac:dyDescent="0.2">
      <c r="A44" s="249" t="s">
        <v>37</v>
      </c>
      <c r="B44" s="202" t="s">
        <v>137</v>
      </c>
      <c r="C44" s="225"/>
      <c r="D44" s="222">
        <v>10033109</v>
      </c>
      <c r="E44" s="178">
        <v>45202</v>
      </c>
      <c r="F44" s="181" t="s">
        <v>20</v>
      </c>
      <c r="G44" s="203">
        <v>45203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182</v>
      </c>
      <c r="S44" s="190">
        <v>50</v>
      </c>
      <c r="T44" s="193">
        <v>14.11</v>
      </c>
      <c r="U44" s="196">
        <f>SUM(H44:T44)</f>
        <v>246.11</v>
      </c>
      <c r="V44" s="200" t="s">
        <v>63</v>
      </c>
      <c r="W44" s="212" t="s">
        <v>112</v>
      </c>
      <c r="X44" s="65" t="s">
        <v>17</v>
      </c>
      <c r="Y44" s="176"/>
    </row>
    <row r="45" spans="1:26" s="2" customFormat="1" ht="14.1" customHeight="1" x14ac:dyDescent="0.2">
      <c r="A45" s="249" t="s">
        <v>37</v>
      </c>
      <c r="B45" s="202" t="s">
        <v>100</v>
      </c>
      <c r="C45" s="225"/>
      <c r="D45" s="222">
        <v>10033111</v>
      </c>
      <c r="E45" s="178">
        <v>45202</v>
      </c>
      <c r="F45" s="181" t="s">
        <v>20</v>
      </c>
      <c r="G45" s="203">
        <v>45203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149</v>
      </c>
      <c r="S45" s="190">
        <v>37.5</v>
      </c>
      <c r="T45" s="193">
        <v>12.29</v>
      </c>
      <c r="U45" s="196">
        <f>SUM(H45:T45)</f>
        <v>198.79</v>
      </c>
      <c r="V45" s="200" t="s">
        <v>63</v>
      </c>
      <c r="W45" s="212" t="s">
        <v>37</v>
      </c>
      <c r="X45" s="65" t="s">
        <v>17</v>
      </c>
      <c r="Y45" s="176"/>
    </row>
    <row r="46" spans="1:26" s="2" customFormat="1" ht="14.1" customHeight="1" x14ac:dyDescent="0.2">
      <c r="A46" s="249" t="s">
        <v>37</v>
      </c>
      <c r="B46" s="202" t="s">
        <v>141</v>
      </c>
      <c r="C46" s="225" t="s">
        <v>142</v>
      </c>
      <c r="D46" s="222">
        <v>10053103</v>
      </c>
      <c r="E46" s="178">
        <v>45204</v>
      </c>
      <c r="F46" s="181" t="s">
        <v>20</v>
      </c>
      <c r="G46" s="203">
        <v>45204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155</v>
      </c>
      <c r="S46" s="190">
        <v>25</v>
      </c>
      <c r="T46" s="193"/>
      <c r="U46" s="196">
        <f>SUM(H46:T46)</f>
        <v>180</v>
      </c>
      <c r="V46" s="200" t="s">
        <v>63</v>
      </c>
      <c r="W46" s="212" t="s">
        <v>112</v>
      </c>
      <c r="X46" s="65" t="s">
        <v>17</v>
      </c>
      <c r="Y46" s="176"/>
    </row>
    <row r="47" spans="1:26" s="2" customFormat="1" ht="14.1" customHeight="1" x14ac:dyDescent="0.2">
      <c r="A47" s="241" t="s">
        <v>37</v>
      </c>
      <c r="B47" s="3" t="s">
        <v>143</v>
      </c>
      <c r="C47" s="4"/>
      <c r="D47" s="52">
        <v>10093103</v>
      </c>
      <c r="E47" s="98">
        <v>45208</v>
      </c>
      <c r="F47" s="44" t="s">
        <v>20</v>
      </c>
      <c r="G47" s="61">
        <v>45208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55</v>
      </c>
      <c r="S47" s="43">
        <v>12.5</v>
      </c>
      <c r="T47" s="32">
        <v>5.09</v>
      </c>
      <c r="U47" s="53">
        <f>SUM(H47:T47)</f>
        <v>72.59</v>
      </c>
      <c r="V47" s="64" t="s">
        <v>63</v>
      </c>
      <c r="W47" s="2" t="s">
        <v>5</v>
      </c>
      <c r="X47" s="65" t="s">
        <v>17</v>
      </c>
      <c r="Y47" s="176"/>
    </row>
    <row r="48" spans="1:26" s="2" customFormat="1" ht="14.1" customHeight="1" x14ac:dyDescent="0.2">
      <c r="A48" s="241" t="s">
        <v>37</v>
      </c>
      <c r="B48" s="3" t="s">
        <v>101</v>
      </c>
      <c r="C48" s="4"/>
      <c r="D48" s="52">
        <v>10103101</v>
      </c>
      <c r="E48" s="98">
        <v>45209</v>
      </c>
      <c r="F48" s="44" t="s">
        <v>20</v>
      </c>
      <c r="G48" s="61">
        <v>45209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78</v>
      </c>
      <c r="S48" s="43">
        <v>12.5</v>
      </c>
      <c r="T48" s="32">
        <v>8</v>
      </c>
      <c r="U48" s="53">
        <f>SUM(H48:T48)</f>
        <v>98.5</v>
      </c>
      <c r="V48" s="64" t="s">
        <v>63</v>
      </c>
      <c r="W48" s="2" t="s">
        <v>112</v>
      </c>
      <c r="X48" s="65" t="s">
        <v>17</v>
      </c>
      <c r="Y48" s="176"/>
    </row>
    <row r="49" spans="1:25" s="2" customFormat="1" ht="14.1" customHeight="1" x14ac:dyDescent="0.2">
      <c r="A49" s="241" t="s">
        <v>37</v>
      </c>
      <c r="B49" s="3" t="s">
        <v>145</v>
      </c>
      <c r="C49" s="4" t="s">
        <v>111</v>
      </c>
      <c r="D49" s="52">
        <v>10103103</v>
      </c>
      <c r="E49" s="98">
        <v>45209</v>
      </c>
      <c r="F49" s="44" t="s">
        <v>20</v>
      </c>
      <c r="G49" s="61">
        <v>45209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168</v>
      </c>
      <c r="S49" s="43">
        <v>37.5</v>
      </c>
      <c r="T49" s="32">
        <v>14.49</v>
      </c>
      <c r="U49" s="53">
        <f>SUM(H49:T49)</f>
        <v>219.99</v>
      </c>
      <c r="V49" s="64" t="s">
        <v>63</v>
      </c>
      <c r="W49" s="2" t="s">
        <v>112</v>
      </c>
      <c r="X49" s="65" t="s">
        <v>17</v>
      </c>
      <c r="Y49" s="176"/>
    </row>
    <row r="50" spans="1:25" s="2" customFormat="1" ht="14.1" customHeight="1" x14ac:dyDescent="0.2">
      <c r="A50" s="241" t="s">
        <v>37</v>
      </c>
      <c r="B50" s="3" t="s">
        <v>109</v>
      </c>
      <c r="C50" s="4"/>
      <c r="D50" s="52">
        <v>10113101</v>
      </c>
      <c r="E50" s="98">
        <v>45210</v>
      </c>
      <c r="F50" s="44" t="s">
        <v>20</v>
      </c>
      <c r="G50" s="61">
        <v>45210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175</v>
      </c>
      <c r="S50" s="43">
        <v>67.5</v>
      </c>
      <c r="T50" s="32">
        <v>16.190000000000001</v>
      </c>
      <c r="U50" s="53">
        <f>SUM(H50:T50)</f>
        <v>258.69</v>
      </c>
      <c r="V50" s="64" t="s">
        <v>63</v>
      </c>
      <c r="W50" s="2" t="s">
        <v>112</v>
      </c>
      <c r="X50" s="65" t="s">
        <v>17</v>
      </c>
      <c r="Y50" s="176"/>
    </row>
    <row r="51" spans="1:25" s="2" customFormat="1" ht="14.1" customHeight="1" x14ac:dyDescent="0.2">
      <c r="A51" s="241" t="s">
        <v>37</v>
      </c>
      <c r="B51" s="3" t="s">
        <v>148</v>
      </c>
      <c r="C51" s="4" t="s">
        <v>149</v>
      </c>
      <c r="D51" s="52">
        <v>10113102</v>
      </c>
      <c r="E51" s="98">
        <v>45210</v>
      </c>
      <c r="F51" s="44" t="s">
        <v>20</v>
      </c>
      <c r="G51" s="61">
        <v>45212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195</v>
      </c>
      <c r="S51" s="43">
        <v>37.5</v>
      </c>
      <c r="T51" s="32">
        <v>19.010000000000002</v>
      </c>
      <c r="U51" s="53">
        <f>SUM(H51:T51)</f>
        <v>251.51</v>
      </c>
      <c r="V51" s="64" t="s">
        <v>63</v>
      </c>
      <c r="W51" s="2" t="s">
        <v>112</v>
      </c>
      <c r="X51" s="65" t="s">
        <v>17</v>
      </c>
      <c r="Y51" s="176"/>
    </row>
    <row r="52" spans="1:25" s="2" customFormat="1" ht="14.1" customHeight="1" x14ac:dyDescent="0.2">
      <c r="A52" s="241" t="s">
        <v>37</v>
      </c>
      <c r="B52" s="3" t="s">
        <v>140</v>
      </c>
      <c r="C52" s="4"/>
      <c r="D52" s="52">
        <v>10123101</v>
      </c>
      <c r="E52" s="98">
        <v>45211</v>
      </c>
      <c r="F52" s="44" t="s">
        <v>20</v>
      </c>
      <c r="G52" s="61">
        <v>45212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45</v>
      </c>
      <c r="S52" s="43">
        <v>12.5</v>
      </c>
      <c r="T52" s="32">
        <v>4.6100000000000003</v>
      </c>
      <c r="U52" s="53">
        <f>SUM(H52:T52)</f>
        <v>62.11</v>
      </c>
      <c r="V52" s="64" t="s">
        <v>63</v>
      </c>
      <c r="W52" s="2" t="s">
        <v>37</v>
      </c>
      <c r="X52" s="65" t="s">
        <v>17</v>
      </c>
      <c r="Y52" s="176"/>
    </row>
    <row r="53" spans="1:25" s="2" customFormat="1" ht="14.1" customHeight="1" x14ac:dyDescent="0.2">
      <c r="A53" s="241" t="s">
        <v>37</v>
      </c>
      <c r="B53" s="3" t="s">
        <v>150</v>
      </c>
      <c r="C53" s="4" t="s">
        <v>151</v>
      </c>
      <c r="D53" s="52">
        <v>10123102</v>
      </c>
      <c r="E53" s="98">
        <v>45211</v>
      </c>
      <c r="F53" s="44" t="s">
        <v>20</v>
      </c>
      <c r="G53" s="61">
        <v>45212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39</v>
      </c>
      <c r="S53" s="43">
        <v>12.5</v>
      </c>
      <c r="T53" s="32">
        <v>3.36</v>
      </c>
      <c r="U53" s="53">
        <f>SUM(H53:T53)</f>
        <v>54.86</v>
      </c>
      <c r="V53" s="64" t="s">
        <v>63</v>
      </c>
      <c r="W53" s="2" t="s">
        <v>37</v>
      </c>
      <c r="X53" s="65" t="s">
        <v>17</v>
      </c>
      <c r="Y53" s="176"/>
    </row>
    <row r="54" spans="1:25" s="2" customFormat="1" ht="14.1" customHeight="1" x14ac:dyDescent="0.2">
      <c r="A54" s="241" t="s">
        <v>37</v>
      </c>
      <c r="B54" s="3" t="s">
        <v>152</v>
      </c>
      <c r="C54" s="4" t="s">
        <v>111</v>
      </c>
      <c r="D54" s="52">
        <v>10123103</v>
      </c>
      <c r="E54" s="98">
        <v>45211</v>
      </c>
      <c r="F54" s="44" t="s">
        <v>20</v>
      </c>
      <c r="G54" s="61">
        <v>45212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214</v>
      </c>
      <c r="S54" s="43">
        <v>50</v>
      </c>
      <c r="T54" s="32">
        <v>18.46</v>
      </c>
      <c r="U54" s="53">
        <f>SUM(H54:T54)</f>
        <v>282.45999999999998</v>
      </c>
      <c r="V54" s="64" t="s">
        <v>63</v>
      </c>
      <c r="W54" s="2" t="s">
        <v>37</v>
      </c>
      <c r="X54" s="65" t="s">
        <v>17</v>
      </c>
      <c r="Y54" s="176"/>
    </row>
    <row r="55" spans="1:25" s="2" customFormat="1" ht="14.1" customHeight="1" x14ac:dyDescent="0.2">
      <c r="A55" s="241" t="s">
        <v>37</v>
      </c>
      <c r="B55" s="3" t="s">
        <v>153</v>
      </c>
      <c r="C55" s="4"/>
      <c r="D55" s="52">
        <v>10133101</v>
      </c>
      <c r="E55" s="98">
        <v>45212</v>
      </c>
      <c r="F55" s="44" t="s">
        <v>20</v>
      </c>
      <c r="G55" s="61">
        <v>45212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331</v>
      </c>
      <c r="S55" s="43">
        <v>50</v>
      </c>
      <c r="T55" s="32">
        <v>28.55</v>
      </c>
      <c r="U55" s="53">
        <f>SUM(H55:T55)</f>
        <v>409.55</v>
      </c>
      <c r="V55" s="64" t="s">
        <v>63</v>
      </c>
      <c r="W55" s="2" t="s">
        <v>57</v>
      </c>
      <c r="X55" s="65" t="s">
        <v>17</v>
      </c>
      <c r="Y55" s="176"/>
    </row>
    <row r="56" spans="1:25" s="2" customFormat="1" ht="14.1" customHeight="1" thickBot="1" x14ac:dyDescent="0.25">
      <c r="A56" s="241" t="s">
        <v>37</v>
      </c>
      <c r="B56" s="3" t="s">
        <v>154</v>
      </c>
      <c r="C56" s="4"/>
      <c r="D56" s="52">
        <v>10163103</v>
      </c>
      <c r="E56" s="98">
        <v>45215</v>
      </c>
      <c r="F56" s="44" t="s">
        <v>20</v>
      </c>
      <c r="G56" s="61">
        <v>45215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250</v>
      </c>
      <c r="S56" s="43">
        <v>50</v>
      </c>
      <c r="T56" s="32">
        <v>19.38</v>
      </c>
      <c r="U56" s="53">
        <f>SUM(H56:T56)</f>
        <v>319.38</v>
      </c>
      <c r="V56" s="64" t="s">
        <v>63</v>
      </c>
      <c r="W56" s="2" t="s">
        <v>112</v>
      </c>
      <c r="X56" s="65" t="s">
        <v>17</v>
      </c>
      <c r="Y56" s="176"/>
    </row>
    <row r="57" spans="1:25" s="2" customFormat="1" ht="14.1" customHeight="1" thickBot="1" x14ac:dyDescent="0.25">
      <c r="A57" s="242" t="s">
        <v>37</v>
      </c>
      <c r="B57" s="172" t="s">
        <v>158</v>
      </c>
      <c r="C57" s="173"/>
      <c r="D57" s="173">
        <v>10173101</v>
      </c>
      <c r="E57" s="205">
        <v>45216</v>
      </c>
      <c r="F57" s="206" t="s">
        <v>20</v>
      </c>
      <c r="G57" s="174">
        <v>45217</v>
      </c>
      <c r="H57" s="207"/>
      <c r="I57" s="207"/>
      <c r="J57" s="208"/>
      <c r="K57" s="208"/>
      <c r="L57" s="208"/>
      <c r="M57" s="207"/>
      <c r="N57" s="207"/>
      <c r="O57" s="207"/>
      <c r="P57" s="50"/>
      <c r="Q57" s="216"/>
      <c r="R57" s="207">
        <v>149</v>
      </c>
      <c r="S57" s="216">
        <v>37.5</v>
      </c>
      <c r="T57" s="209">
        <v>13.41</v>
      </c>
      <c r="U57" s="210">
        <f>SUM(H57:T57)</f>
        <v>199.91</v>
      </c>
      <c r="V57" s="211" t="s">
        <v>63</v>
      </c>
      <c r="W57" s="84" t="s">
        <v>112</v>
      </c>
      <c r="X57" s="84" t="s">
        <v>17</v>
      </c>
      <c r="Y57" s="290"/>
    </row>
    <row r="58" spans="1:25" s="2" customFormat="1" ht="14.1" customHeight="1" x14ac:dyDescent="0.2">
      <c r="A58" s="241" t="s">
        <v>37</v>
      </c>
      <c r="B58" s="3" t="s">
        <v>160</v>
      </c>
      <c r="C58" s="4"/>
      <c r="D58" s="52">
        <v>10203102</v>
      </c>
      <c r="E58" s="98">
        <v>45219</v>
      </c>
      <c r="F58" s="44" t="s">
        <v>20</v>
      </c>
      <c r="G58" s="61">
        <v>45219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650</v>
      </c>
      <c r="S58" s="43">
        <v>125</v>
      </c>
      <c r="T58" s="32">
        <v>66.63</v>
      </c>
      <c r="U58" s="53">
        <f>SUM(H58:T58)</f>
        <v>841.63</v>
      </c>
      <c r="V58" s="64" t="s">
        <v>63</v>
      </c>
      <c r="W58" s="2" t="s">
        <v>112</v>
      </c>
      <c r="X58" s="65" t="s">
        <v>17</v>
      </c>
      <c r="Y58" s="176"/>
    </row>
    <row r="59" spans="1:25" s="2" customFormat="1" ht="14.1" customHeight="1" x14ac:dyDescent="0.2">
      <c r="A59" s="241" t="s">
        <v>37</v>
      </c>
      <c r="B59" s="3" t="s">
        <v>116</v>
      </c>
      <c r="C59" s="4"/>
      <c r="D59" s="52">
        <v>10213101</v>
      </c>
      <c r="E59" s="98">
        <v>45223</v>
      </c>
      <c r="F59" s="44" t="s">
        <v>20</v>
      </c>
      <c r="G59" s="61">
        <v>45223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130</v>
      </c>
      <c r="S59" s="43">
        <v>25</v>
      </c>
      <c r="T59" s="32">
        <v>10.73</v>
      </c>
      <c r="U59" s="53">
        <f>SUM(H59:T59)</f>
        <v>165.73</v>
      </c>
      <c r="V59" s="64" t="s">
        <v>63</v>
      </c>
      <c r="W59" s="2" t="s">
        <v>112</v>
      </c>
      <c r="X59" s="65" t="s">
        <v>17</v>
      </c>
      <c r="Y59" s="176"/>
    </row>
    <row r="60" spans="1:25" s="2" customFormat="1" ht="14.1" customHeight="1" x14ac:dyDescent="0.2">
      <c r="A60" s="241" t="s">
        <v>37</v>
      </c>
      <c r="B60" s="3" t="s">
        <v>134</v>
      </c>
      <c r="C60" s="4"/>
      <c r="D60" s="52">
        <v>10213102</v>
      </c>
      <c r="E60" s="98">
        <v>45223</v>
      </c>
      <c r="F60" s="44" t="s">
        <v>20</v>
      </c>
      <c r="G60" s="61">
        <v>45223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110</v>
      </c>
      <c r="S60" s="43">
        <v>25</v>
      </c>
      <c r="T60" s="32">
        <v>9.08</v>
      </c>
      <c r="U60" s="53">
        <f>SUM(H60:T60)</f>
        <v>144.08000000000001</v>
      </c>
      <c r="V60" s="64" t="s">
        <v>63</v>
      </c>
      <c r="W60" s="2" t="s">
        <v>112</v>
      </c>
      <c r="X60" s="65" t="s">
        <v>17</v>
      </c>
      <c r="Y60" s="176"/>
    </row>
    <row r="61" spans="1:25" s="2" customFormat="1" ht="14.1" customHeight="1" x14ac:dyDescent="0.2">
      <c r="A61" s="241" t="s">
        <v>37</v>
      </c>
      <c r="B61" s="3" t="s">
        <v>161</v>
      </c>
      <c r="C61" s="4" t="s">
        <v>162</v>
      </c>
      <c r="D61" s="52">
        <v>10253102</v>
      </c>
      <c r="E61" s="98">
        <v>45224</v>
      </c>
      <c r="F61" s="44" t="s">
        <v>20</v>
      </c>
      <c r="G61" s="61">
        <v>45224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305</v>
      </c>
      <c r="S61" s="43"/>
      <c r="T61" s="32">
        <v>25.16</v>
      </c>
      <c r="U61" s="53">
        <f>SUM(H61:T61)</f>
        <v>330.16</v>
      </c>
      <c r="V61" s="64" t="s">
        <v>32</v>
      </c>
      <c r="W61" s="2" t="s">
        <v>163</v>
      </c>
      <c r="X61" s="65" t="s">
        <v>17</v>
      </c>
      <c r="Y61" s="176"/>
    </row>
    <row r="62" spans="1:25" s="2" customFormat="1" ht="14.1" customHeight="1" x14ac:dyDescent="0.2">
      <c r="A62" s="241" t="s">
        <v>37</v>
      </c>
      <c r="B62" s="3" t="s">
        <v>71</v>
      </c>
      <c r="C62" s="4"/>
      <c r="D62" s="52">
        <v>10263103</v>
      </c>
      <c r="E62" s="98">
        <v>45225</v>
      </c>
      <c r="F62" s="44" t="s">
        <v>20</v>
      </c>
      <c r="G62" s="61">
        <v>45225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159</v>
      </c>
      <c r="S62" s="43">
        <v>37.5</v>
      </c>
      <c r="T62" s="32">
        <v>12.32</v>
      </c>
      <c r="U62" s="53">
        <f>SUM(H62:T62)</f>
        <v>208.82</v>
      </c>
      <c r="V62" s="64" t="s">
        <v>63</v>
      </c>
      <c r="W62" s="2" t="s">
        <v>37</v>
      </c>
      <c r="X62" s="65" t="s">
        <v>17</v>
      </c>
      <c r="Y62" s="176"/>
    </row>
    <row r="63" spans="1:25" s="2" customFormat="1" ht="14.1" customHeight="1" x14ac:dyDescent="0.2">
      <c r="A63" s="241" t="s">
        <v>37</v>
      </c>
      <c r="B63" s="3" t="s">
        <v>135</v>
      </c>
      <c r="C63" s="4"/>
      <c r="D63" s="52">
        <v>10273102</v>
      </c>
      <c r="E63" s="98">
        <v>45226</v>
      </c>
      <c r="F63" s="44" t="s">
        <v>20</v>
      </c>
      <c r="G63" s="61">
        <v>45229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70</v>
      </c>
      <c r="S63" s="43">
        <v>25</v>
      </c>
      <c r="T63" s="32">
        <v>5.95</v>
      </c>
      <c r="U63" s="53">
        <f>SUM(H63:T63)</f>
        <v>100.95</v>
      </c>
      <c r="V63" s="64" t="s">
        <v>63</v>
      </c>
      <c r="W63" s="2" t="s">
        <v>57</v>
      </c>
      <c r="X63" s="65" t="s">
        <v>17</v>
      </c>
      <c r="Y63" s="176"/>
    </row>
    <row r="64" spans="1:25" s="2" customFormat="1" ht="14.1" customHeight="1" x14ac:dyDescent="0.2">
      <c r="A64" s="241" t="s">
        <v>37</v>
      </c>
      <c r="B64" s="3" t="s">
        <v>164</v>
      </c>
      <c r="C64" s="4"/>
      <c r="D64" s="52">
        <v>10303101</v>
      </c>
      <c r="E64" s="98">
        <v>45229</v>
      </c>
      <c r="F64" s="44" t="s">
        <v>20</v>
      </c>
      <c r="G64" s="61">
        <v>45229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402</v>
      </c>
      <c r="S64" s="43">
        <v>75</v>
      </c>
      <c r="T64" s="32">
        <v>33.17</v>
      </c>
      <c r="U64" s="53">
        <f>SUM(H64:T64)</f>
        <v>510.17</v>
      </c>
      <c r="V64" s="64" t="s">
        <v>63</v>
      </c>
      <c r="W64" s="2" t="s">
        <v>112</v>
      </c>
      <c r="X64" s="65" t="s">
        <v>17</v>
      </c>
      <c r="Y64" s="176"/>
    </row>
    <row r="65" spans="1:26" s="2" customFormat="1" ht="14.1" customHeight="1" x14ac:dyDescent="0.2">
      <c r="A65" s="241" t="s">
        <v>37</v>
      </c>
      <c r="B65" s="3" t="s">
        <v>61</v>
      </c>
      <c r="C65" s="4"/>
      <c r="D65" s="52">
        <v>10303102</v>
      </c>
      <c r="E65" s="98">
        <v>45229</v>
      </c>
      <c r="F65" s="44" t="s">
        <v>20</v>
      </c>
      <c r="G65" s="61">
        <v>45229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282</v>
      </c>
      <c r="S65" s="43">
        <v>50</v>
      </c>
      <c r="T65" s="32">
        <v>26.44</v>
      </c>
      <c r="U65" s="53">
        <f>SUM(H65:T65)</f>
        <v>358.44</v>
      </c>
      <c r="V65" s="64" t="s">
        <v>63</v>
      </c>
      <c r="W65" s="2" t="s">
        <v>112</v>
      </c>
      <c r="X65" s="65" t="s">
        <v>17</v>
      </c>
      <c r="Y65" s="176"/>
    </row>
    <row r="66" spans="1:26" s="2" customFormat="1" ht="14.1" customHeight="1" x14ac:dyDescent="0.2">
      <c r="A66" s="241" t="s">
        <v>37</v>
      </c>
      <c r="B66" s="3" t="s">
        <v>93</v>
      </c>
      <c r="C66" s="4"/>
      <c r="D66" s="52">
        <v>10303103</v>
      </c>
      <c r="E66" s="98">
        <v>45229</v>
      </c>
      <c r="F66" s="44" t="s">
        <v>20</v>
      </c>
      <c r="G66" s="61">
        <v>45229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80</v>
      </c>
      <c r="S66" s="43">
        <v>25</v>
      </c>
      <c r="T66" s="32">
        <v>8.1999999999999993</v>
      </c>
      <c r="U66" s="53">
        <f>SUM(H66:T66)</f>
        <v>113.2</v>
      </c>
      <c r="V66" s="64" t="s">
        <v>63</v>
      </c>
      <c r="W66" s="2" t="s">
        <v>112</v>
      </c>
      <c r="X66" s="65" t="s">
        <v>17</v>
      </c>
      <c r="Y66" s="176"/>
    </row>
    <row r="67" spans="1:26" s="2" customFormat="1" ht="14.1" customHeight="1" x14ac:dyDescent="0.2">
      <c r="A67" s="241" t="s">
        <v>37</v>
      </c>
      <c r="B67" s="3" t="s">
        <v>165</v>
      </c>
      <c r="C67" s="4" t="s">
        <v>138</v>
      </c>
      <c r="D67" s="52">
        <v>10303104</v>
      </c>
      <c r="E67" s="98">
        <v>45229</v>
      </c>
      <c r="F67" s="44" t="s">
        <v>20</v>
      </c>
      <c r="G67" s="61">
        <v>45230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110</v>
      </c>
      <c r="S67" s="43">
        <v>25</v>
      </c>
      <c r="T67" s="32">
        <v>8.5299999999999994</v>
      </c>
      <c r="U67" s="53">
        <f>SUM(H67:T67)</f>
        <v>143.53</v>
      </c>
      <c r="V67" s="64" t="s">
        <v>63</v>
      </c>
      <c r="W67" s="2" t="s">
        <v>112</v>
      </c>
      <c r="X67" s="65" t="s">
        <v>17</v>
      </c>
      <c r="Y67" s="176"/>
    </row>
    <row r="68" spans="1:26" s="2" customFormat="1" ht="14.1" customHeight="1" x14ac:dyDescent="0.2">
      <c r="A68" s="241" t="s">
        <v>37</v>
      </c>
      <c r="B68" s="3" t="s">
        <v>165</v>
      </c>
      <c r="C68" s="4" t="s">
        <v>166</v>
      </c>
      <c r="D68" s="52">
        <v>10303105</v>
      </c>
      <c r="E68" s="98">
        <v>45229</v>
      </c>
      <c r="F68" s="44" t="s">
        <v>20</v>
      </c>
      <c r="G68" s="61">
        <v>45230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65</v>
      </c>
      <c r="S68" s="43">
        <v>12.5</v>
      </c>
      <c r="T68" s="32">
        <v>5.93</v>
      </c>
      <c r="U68" s="53">
        <f>SUM(H68:T68)</f>
        <v>83.43</v>
      </c>
      <c r="V68" s="64" t="s">
        <v>63</v>
      </c>
      <c r="W68" s="2" t="s">
        <v>112</v>
      </c>
      <c r="X68" s="65" t="s">
        <v>17</v>
      </c>
      <c r="Y68" s="176"/>
    </row>
    <row r="69" spans="1:26" s="2" customFormat="1" ht="14.1" customHeight="1" x14ac:dyDescent="0.2">
      <c r="A69" s="241" t="s">
        <v>37</v>
      </c>
      <c r="B69" s="3" t="s">
        <v>165</v>
      </c>
      <c r="C69" s="4" t="s">
        <v>167</v>
      </c>
      <c r="D69" s="52">
        <v>10303106</v>
      </c>
      <c r="E69" s="98">
        <v>45229</v>
      </c>
      <c r="F69" s="44" t="s">
        <v>20</v>
      </c>
      <c r="G69" s="61">
        <v>45230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149</v>
      </c>
      <c r="S69" s="43">
        <v>37.5</v>
      </c>
      <c r="T69" s="32">
        <v>13.78</v>
      </c>
      <c r="U69" s="53">
        <f>SUM(H69:T69)</f>
        <v>200.28</v>
      </c>
      <c r="V69" s="64" t="s">
        <v>63</v>
      </c>
      <c r="W69" s="2" t="s">
        <v>112</v>
      </c>
      <c r="X69" s="65" t="s">
        <v>17</v>
      </c>
      <c r="Y69" s="176"/>
    </row>
    <row r="70" spans="1:26" s="2" customFormat="1" ht="14.1" customHeight="1" x14ac:dyDescent="0.2">
      <c r="A70" s="241" t="s">
        <v>37</v>
      </c>
      <c r="B70" s="3" t="s">
        <v>165</v>
      </c>
      <c r="C70" s="4" t="s">
        <v>168</v>
      </c>
      <c r="D70" s="52">
        <v>10303107</v>
      </c>
      <c r="E70" s="98">
        <v>45229</v>
      </c>
      <c r="F70" s="44" t="s">
        <v>20</v>
      </c>
      <c r="G70" s="61">
        <v>45230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104</v>
      </c>
      <c r="S70" s="43">
        <v>25</v>
      </c>
      <c r="T70" s="32">
        <v>9.6199999999999992</v>
      </c>
      <c r="U70" s="53">
        <f>SUM(H70:T70)</f>
        <v>138.62</v>
      </c>
      <c r="V70" s="64" t="s">
        <v>63</v>
      </c>
      <c r="W70" s="2" t="s">
        <v>112</v>
      </c>
      <c r="X70" s="65" t="s">
        <v>17</v>
      </c>
      <c r="Y70" s="176"/>
    </row>
    <row r="71" spans="1:26" s="2" customFormat="1" ht="14.1" customHeight="1" x14ac:dyDescent="0.2">
      <c r="A71" s="241" t="s">
        <v>37</v>
      </c>
      <c r="B71" s="3" t="s">
        <v>113</v>
      </c>
      <c r="C71" s="4"/>
      <c r="D71" s="52">
        <v>10303108</v>
      </c>
      <c r="E71" s="98">
        <v>45229</v>
      </c>
      <c r="F71" s="44" t="s">
        <v>20</v>
      </c>
      <c r="G71" s="61">
        <v>45230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246</v>
      </c>
      <c r="S71" s="43">
        <v>37.5</v>
      </c>
      <c r="T71" s="32">
        <v>25.22</v>
      </c>
      <c r="U71" s="53">
        <f>SUM(H71:T71)</f>
        <v>308.72000000000003</v>
      </c>
      <c r="V71" s="64" t="s">
        <v>63</v>
      </c>
      <c r="W71" s="2" t="s">
        <v>112</v>
      </c>
      <c r="X71" s="65" t="s">
        <v>17</v>
      </c>
      <c r="Y71" s="176"/>
    </row>
    <row r="72" spans="1:26" s="2" customFormat="1" ht="14.1" customHeight="1" x14ac:dyDescent="0.2">
      <c r="A72" s="241" t="s">
        <v>37</v>
      </c>
      <c r="B72" s="3" t="s">
        <v>169</v>
      </c>
      <c r="C72" s="4"/>
      <c r="D72" s="52">
        <v>10303110</v>
      </c>
      <c r="E72" s="98">
        <v>45229</v>
      </c>
      <c r="F72" s="44" t="s">
        <v>20</v>
      </c>
      <c r="G72" s="61">
        <v>45230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208</v>
      </c>
      <c r="S72" s="43">
        <v>37.5</v>
      </c>
      <c r="T72" s="32">
        <v>17.940000000000001</v>
      </c>
      <c r="U72" s="53">
        <f>SUM(H72:T72)</f>
        <v>263.44</v>
      </c>
      <c r="V72" s="64" t="s">
        <v>63</v>
      </c>
      <c r="W72" s="2" t="s">
        <v>112</v>
      </c>
      <c r="X72" s="65" t="s">
        <v>17</v>
      </c>
      <c r="Y72" s="176"/>
    </row>
    <row r="73" spans="1:26" s="2" customFormat="1" ht="14.1" customHeight="1" x14ac:dyDescent="0.2">
      <c r="A73" s="249" t="s">
        <v>139</v>
      </c>
      <c r="B73" s="202" t="s">
        <v>140</v>
      </c>
      <c r="C73" s="225"/>
      <c r="D73" s="222">
        <v>10053102</v>
      </c>
      <c r="E73" s="178">
        <v>45204</v>
      </c>
      <c r="F73" s="181" t="s">
        <v>20</v>
      </c>
      <c r="G73" s="203">
        <v>45204</v>
      </c>
      <c r="H73" s="186"/>
      <c r="I73" s="184"/>
      <c r="J73" s="184"/>
      <c r="K73" s="184"/>
      <c r="L73" s="184"/>
      <c r="M73" s="186"/>
      <c r="N73" s="184"/>
      <c r="O73" s="186"/>
      <c r="P73" s="204"/>
      <c r="Q73" s="190"/>
      <c r="R73" s="186">
        <v>65</v>
      </c>
      <c r="S73" s="190">
        <v>12.5</v>
      </c>
      <c r="T73" s="193">
        <v>6.66</v>
      </c>
      <c r="U73" s="196">
        <f>SUM(H73:T73)</f>
        <v>84.16</v>
      </c>
      <c r="V73" s="200" t="s">
        <v>63</v>
      </c>
      <c r="W73" s="212" t="s">
        <v>112</v>
      </c>
      <c r="X73" s="65" t="s">
        <v>17</v>
      </c>
      <c r="Y73" s="176"/>
    </row>
    <row r="74" spans="1:26" s="2" customFormat="1" ht="14.1" customHeight="1" x14ac:dyDescent="0.35">
      <c r="A74" s="251" t="s">
        <v>6</v>
      </c>
      <c r="B74" s="218" t="s">
        <v>78</v>
      </c>
      <c r="C74" s="233"/>
      <c r="D74" s="223">
        <v>7103067</v>
      </c>
      <c r="E74" s="179">
        <v>45117</v>
      </c>
      <c r="F74" s="182" t="s">
        <v>20</v>
      </c>
      <c r="G74" s="219">
        <v>45117</v>
      </c>
      <c r="H74" s="188"/>
      <c r="I74" s="185"/>
      <c r="J74" s="185"/>
      <c r="K74" s="185"/>
      <c r="L74" s="185"/>
      <c r="M74" s="188"/>
      <c r="N74" s="185"/>
      <c r="O74" s="188"/>
      <c r="P74" s="220"/>
      <c r="Q74" s="191"/>
      <c r="R74" s="188">
        <v>726</v>
      </c>
      <c r="S74" s="191">
        <v>75</v>
      </c>
      <c r="T74" s="194">
        <v>67.16</v>
      </c>
      <c r="U74" s="197">
        <f>SUM(H74:T74)</f>
        <v>868.16</v>
      </c>
      <c r="V74" s="199" t="s">
        <v>7</v>
      </c>
      <c r="W74" s="221" t="s">
        <v>6</v>
      </c>
      <c r="X74" s="65" t="s">
        <v>17</v>
      </c>
      <c r="Y74" s="105"/>
      <c r="Z74" s="176"/>
    </row>
    <row r="75" spans="1:26" s="2" customFormat="1" ht="14.1" customHeight="1" x14ac:dyDescent="0.35">
      <c r="A75" s="250" t="s">
        <v>6</v>
      </c>
      <c r="B75" s="213" t="s">
        <v>100</v>
      </c>
      <c r="C75" s="226"/>
      <c r="D75" s="224">
        <v>8083071</v>
      </c>
      <c r="E75" s="180">
        <v>45146</v>
      </c>
      <c r="F75" s="183" t="s">
        <v>97</v>
      </c>
      <c r="G75" s="214">
        <v>45159</v>
      </c>
      <c r="H75" s="189">
        <v>75</v>
      </c>
      <c r="I75" s="187"/>
      <c r="J75" s="187"/>
      <c r="K75" s="187"/>
      <c r="L75" s="187"/>
      <c r="M75" s="189"/>
      <c r="N75" s="187"/>
      <c r="O75" s="189"/>
      <c r="P75" s="215"/>
      <c r="Q75" s="192"/>
      <c r="R75" s="189"/>
      <c r="S75" s="192"/>
      <c r="T75" s="195">
        <v>6.19</v>
      </c>
      <c r="U75" s="198">
        <f>SUM(H75:T75)</f>
        <v>81.19</v>
      </c>
      <c r="V75" s="201" t="s">
        <v>66</v>
      </c>
      <c r="W75" s="217" t="s">
        <v>6</v>
      </c>
      <c r="X75" s="65" t="s">
        <v>17</v>
      </c>
      <c r="Y75" s="105"/>
      <c r="Z75" s="176"/>
    </row>
    <row r="76" spans="1:26" s="2" customFormat="1" ht="14.1" customHeight="1" x14ac:dyDescent="0.2">
      <c r="A76" s="241" t="s">
        <v>6</v>
      </c>
      <c r="B76" s="3" t="s">
        <v>157</v>
      </c>
      <c r="C76" s="4"/>
      <c r="D76" s="52">
        <v>10163107</v>
      </c>
      <c r="E76" s="98">
        <v>45215</v>
      </c>
      <c r="F76" s="44" t="s">
        <v>20</v>
      </c>
      <c r="G76" s="61">
        <v>45216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227</v>
      </c>
      <c r="S76" s="43">
        <v>37.5</v>
      </c>
      <c r="T76" s="32">
        <v>21</v>
      </c>
      <c r="U76" s="53">
        <f>SUM(H76:T76)</f>
        <v>285.5</v>
      </c>
      <c r="V76" s="64" t="s">
        <v>63</v>
      </c>
      <c r="W76" s="2" t="s">
        <v>112</v>
      </c>
      <c r="X76" s="65" t="s">
        <v>17</v>
      </c>
      <c r="Y76" s="176"/>
    </row>
    <row r="77" spans="1:26" s="2" customFormat="1" ht="14.1" customHeight="1" x14ac:dyDescent="0.2">
      <c r="A77" s="241" t="s">
        <v>131</v>
      </c>
      <c r="B77" s="3" t="s">
        <v>159</v>
      </c>
      <c r="C77" s="4"/>
      <c r="D77" s="52">
        <v>10173102</v>
      </c>
      <c r="E77" s="98">
        <v>45216</v>
      </c>
      <c r="F77" s="44" t="s">
        <v>20</v>
      </c>
      <c r="G77" s="61">
        <v>45217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130</v>
      </c>
      <c r="S77" s="43">
        <v>25</v>
      </c>
      <c r="T77" s="32">
        <v>11.21</v>
      </c>
      <c r="U77" s="53">
        <f>SUM(H77:T77)</f>
        <v>166.21</v>
      </c>
      <c r="V77" s="64" t="s">
        <v>63</v>
      </c>
      <c r="W77" s="2" t="s">
        <v>112</v>
      </c>
      <c r="X77" s="65" t="s">
        <v>17</v>
      </c>
      <c r="Y77" s="176"/>
    </row>
    <row r="78" spans="1:26" s="2" customFormat="1" ht="14.1" customHeight="1" x14ac:dyDescent="0.35">
      <c r="A78" s="251" t="s">
        <v>36</v>
      </c>
      <c r="B78" s="218" t="s">
        <v>69</v>
      </c>
      <c r="C78" s="233"/>
      <c r="D78" s="223">
        <v>5013262</v>
      </c>
      <c r="E78" s="179">
        <v>45047</v>
      </c>
      <c r="F78" s="182" t="s">
        <v>70</v>
      </c>
      <c r="G78" s="219">
        <v>45047</v>
      </c>
      <c r="H78" s="188"/>
      <c r="I78" s="185"/>
      <c r="J78" s="185"/>
      <c r="K78" s="185"/>
      <c r="L78" s="185"/>
      <c r="M78" s="188"/>
      <c r="N78" s="185"/>
      <c r="O78" s="188">
        <v>37.5</v>
      </c>
      <c r="P78" s="220"/>
      <c r="Q78" s="191"/>
      <c r="R78" s="188"/>
      <c r="S78" s="191">
        <v>12.5</v>
      </c>
      <c r="T78" s="194">
        <v>3.52</v>
      </c>
      <c r="U78" s="197">
        <f>SUM(H78:T78)</f>
        <v>53.52</v>
      </c>
      <c r="V78" s="199" t="s">
        <v>7</v>
      </c>
      <c r="W78" s="221" t="s">
        <v>36</v>
      </c>
      <c r="X78" s="65" t="s">
        <v>17</v>
      </c>
      <c r="Y78" s="105"/>
      <c r="Z78" s="176"/>
    </row>
    <row r="79" spans="1:26" s="2" customFormat="1" ht="14.1" customHeight="1" x14ac:dyDescent="0.35">
      <c r="A79" s="250" t="s">
        <v>36</v>
      </c>
      <c r="B79" s="213" t="s">
        <v>94</v>
      </c>
      <c r="C79" s="226"/>
      <c r="D79" s="224">
        <v>8113251</v>
      </c>
      <c r="E79" s="180">
        <v>45149</v>
      </c>
      <c r="F79" s="183" t="s">
        <v>95</v>
      </c>
      <c r="G79" s="214">
        <v>45152</v>
      </c>
      <c r="H79" s="189"/>
      <c r="I79" s="187"/>
      <c r="J79" s="187"/>
      <c r="K79" s="187"/>
      <c r="L79" s="187"/>
      <c r="M79" s="189"/>
      <c r="N79" s="187"/>
      <c r="O79" s="189"/>
      <c r="P79" s="215">
        <v>180</v>
      </c>
      <c r="Q79" s="192">
        <v>90</v>
      </c>
      <c r="R79" s="189"/>
      <c r="S79" s="192"/>
      <c r="T79" s="195"/>
      <c r="U79" s="198">
        <f>SUM(H79:T79)</f>
        <v>270</v>
      </c>
      <c r="V79" s="201" t="s">
        <v>7</v>
      </c>
      <c r="W79" s="217" t="s">
        <v>36</v>
      </c>
      <c r="X79" s="65" t="s">
        <v>17</v>
      </c>
      <c r="Y79" s="105"/>
      <c r="Z79" s="176"/>
    </row>
    <row r="80" spans="1:26" s="2" customFormat="1" ht="14.1" customHeight="1" x14ac:dyDescent="0.35">
      <c r="A80" s="249" t="s">
        <v>36</v>
      </c>
      <c r="B80" s="202" t="s">
        <v>127</v>
      </c>
      <c r="C80" s="225" t="s">
        <v>128</v>
      </c>
      <c r="D80" s="222">
        <v>9263251</v>
      </c>
      <c r="E80" s="178">
        <v>45195</v>
      </c>
      <c r="F80" s="181" t="s">
        <v>129</v>
      </c>
      <c r="G80" s="203">
        <v>45195</v>
      </c>
      <c r="H80" s="186">
        <v>3512.67</v>
      </c>
      <c r="I80" s="184"/>
      <c r="J80" s="184">
        <v>1440</v>
      </c>
      <c r="K80" s="184"/>
      <c r="L80" s="184"/>
      <c r="M80" s="186"/>
      <c r="N80" s="184"/>
      <c r="O80" s="186"/>
      <c r="P80" s="204"/>
      <c r="Q80" s="190"/>
      <c r="R80" s="186"/>
      <c r="S80" s="190"/>
      <c r="T80" s="193">
        <v>377.61</v>
      </c>
      <c r="U80" s="196">
        <f>SUM(H80:T80)</f>
        <v>5330.28</v>
      </c>
      <c r="V80" s="200" t="s">
        <v>7</v>
      </c>
      <c r="W80" s="212" t="s">
        <v>36</v>
      </c>
      <c r="X80" s="65" t="s">
        <v>17</v>
      </c>
      <c r="Y80" s="105"/>
      <c r="Z80" s="176"/>
    </row>
    <row r="81" spans="1:26" s="2" customFormat="1" ht="14.1" customHeight="1" x14ac:dyDescent="0.35">
      <c r="A81" s="251" t="s">
        <v>8</v>
      </c>
      <c r="B81" s="218" t="s">
        <v>86</v>
      </c>
      <c r="C81" s="233"/>
      <c r="D81" s="223">
        <v>7263051</v>
      </c>
      <c r="E81" s="179">
        <v>45133</v>
      </c>
      <c r="F81" s="182" t="s">
        <v>105</v>
      </c>
      <c r="G81" s="219">
        <v>45138</v>
      </c>
      <c r="H81" s="188">
        <v>99</v>
      </c>
      <c r="I81" s="185"/>
      <c r="J81" s="185"/>
      <c r="K81" s="185"/>
      <c r="L81" s="185"/>
      <c r="M81" s="188"/>
      <c r="N81" s="185"/>
      <c r="O81" s="188"/>
      <c r="P81" s="220"/>
      <c r="Q81" s="191"/>
      <c r="R81" s="188"/>
      <c r="S81" s="191"/>
      <c r="T81" s="194">
        <v>8.42</v>
      </c>
      <c r="U81" s="197">
        <f>SUM(H81:T81)</f>
        <v>107.42</v>
      </c>
      <c r="V81" s="199" t="s">
        <v>25</v>
      </c>
      <c r="W81" s="221" t="s">
        <v>8</v>
      </c>
      <c r="X81" s="65" t="s">
        <v>17</v>
      </c>
      <c r="Y81" s="105"/>
      <c r="Z81" s="176"/>
    </row>
    <row r="82" spans="1:26" s="2" customFormat="1" ht="14.1" customHeight="1" x14ac:dyDescent="0.35">
      <c r="A82" s="250" t="s">
        <v>8</v>
      </c>
      <c r="B82" s="213" t="s">
        <v>86</v>
      </c>
      <c r="C82" s="226"/>
      <c r="D82" s="224">
        <v>8263051</v>
      </c>
      <c r="E82" s="180">
        <v>45164</v>
      </c>
      <c r="F82" s="183" t="s">
        <v>105</v>
      </c>
      <c r="G82" s="214">
        <v>45166</v>
      </c>
      <c r="H82" s="189">
        <v>99</v>
      </c>
      <c r="I82" s="187"/>
      <c r="J82" s="187"/>
      <c r="K82" s="187"/>
      <c r="L82" s="187"/>
      <c r="M82" s="189"/>
      <c r="N82" s="187"/>
      <c r="O82" s="189"/>
      <c r="P82" s="215"/>
      <c r="Q82" s="192"/>
      <c r="R82" s="189"/>
      <c r="S82" s="192"/>
      <c r="T82" s="195">
        <v>8.42</v>
      </c>
      <c r="U82" s="198">
        <f>SUM(H82:T82)</f>
        <v>107.42</v>
      </c>
      <c r="V82" s="201" t="s">
        <v>7</v>
      </c>
      <c r="W82" s="217" t="s">
        <v>8</v>
      </c>
      <c r="X82" s="65" t="s">
        <v>17</v>
      </c>
      <c r="Y82" s="105"/>
      <c r="Z82" s="176"/>
    </row>
    <row r="83" spans="1:26" s="2" customFormat="1" ht="14.1" customHeight="1" x14ac:dyDescent="0.35">
      <c r="A83" s="249" t="s">
        <v>8</v>
      </c>
      <c r="B83" s="202" t="s">
        <v>118</v>
      </c>
      <c r="C83" s="225"/>
      <c r="D83" s="222">
        <v>9193052</v>
      </c>
      <c r="E83" s="178">
        <v>45188</v>
      </c>
      <c r="F83" s="181" t="s">
        <v>38</v>
      </c>
      <c r="G83" s="203">
        <v>45188</v>
      </c>
      <c r="H83" s="186"/>
      <c r="I83" s="184"/>
      <c r="J83" s="184"/>
      <c r="K83" s="184"/>
      <c r="L83" s="184"/>
      <c r="M83" s="186">
        <v>390</v>
      </c>
      <c r="N83" s="184">
        <v>600</v>
      </c>
      <c r="O83" s="186"/>
      <c r="P83" s="204"/>
      <c r="Q83" s="190"/>
      <c r="R83" s="186"/>
      <c r="S83" s="190"/>
      <c r="T83" s="193"/>
      <c r="U83" s="196">
        <f>SUM(H83:T83)</f>
        <v>990</v>
      </c>
      <c r="V83" s="200" t="s">
        <v>25</v>
      </c>
      <c r="W83" s="212" t="s">
        <v>8</v>
      </c>
      <c r="X83" s="65" t="s">
        <v>17</v>
      </c>
      <c r="Y83" s="105"/>
      <c r="Z83" s="176"/>
    </row>
    <row r="84" spans="1:26" s="2" customFormat="1" ht="14.1" customHeight="1" x14ac:dyDescent="0.35">
      <c r="A84" s="249" t="s">
        <v>8</v>
      </c>
      <c r="B84" s="202" t="s">
        <v>86</v>
      </c>
      <c r="C84" s="225"/>
      <c r="D84" s="222">
        <v>9263051</v>
      </c>
      <c r="E84" s="178">
        <v>45195</v>
      </c>
      <c r="F84" s="181" t="s">
        <v>130</v>
      </c>
      <c r="G84" s="203">
        <v>45197</v>
      </c>
      <c r="H84" s="186">
        <v>99</v>
      </c>
      <c r="I84" s="184"/>
      <c r="J84" s="184"/>
      <c r="K84" s="184"/>
      <c r="L84" s="184"/>
      <c r="M84" s="186"/>
      <c r="N84" s="184"/>
      <c r="O84" s="186"/>
      <c r="P84" s="204"/>
      <c r="Q84" s="190"/>
      <c r="R84" s="186"/>
      <c r="S84" s="190"/>
      <c r="T84" s="193">
        <v>8.42</v>
      </c>
      <c r="U84" s="196">
        <f>SUM(H84:T84)</f>
        <v>107.42</v>
      </c>
      <c r="V84" s="200" t="s">
        <v>7</v>
      </c>
      <c r="W84" s="212" t="s">
        <v>8</v>
      </c>
      <c r="X84" s="65" t="s">
        <v>17</v>
      </c>
      <c r="Y84" s="105"/>
      <c r="Z84" s="176"/>
    </row>
    <row r="85" spans="1:26" s="2" customFormat="1" ht="14.1" customHeight="1" x14ac:dyDescent="0.2">
      <c r="A85" s="249" t="s">
        <v>8</v>
      </c>
      <c r="B85" s="202" t="s">
        <v>68</v>
      </c>
      <c r="C85" s="225"/>
      <c r="D85" s="222">
        <v>10013051</v>
      </c>
      <c r="E85" s="178">
        <v>45200</v>
      </c>
      <c r="F85" s="181" t="s">
        <v>72</v>
      </c>
      <c r="G85" s="203">
        <v>45201</v>
      </c>
      <c r="H85" s="186"/>
      <c r="I85" s="184"/>
      <c r="J85" s="184"/>
      <c r="K85" s="184"/>
      <c r="L85" s="184"/>
      <c r="M85" s="186">
        <v>49</v>
      </c>
      <c r="N85" s="184">
        <v>39</v>
      </c>
      <c r="O85" s="186"/>
      <c r="P85" s="204"/>
      <c r="Q85" s="190"/>
      <c r="R85" s="186"/>
      <c r="S85" s="190"/>
      <c r="T85" s="193"/>
      <c r="U85" s="196">
        <f>SUM(H85:T85)</f>
        <v>88</v>
      </c>
      <c r="V85" s="200" t="s">
        <v>25</v>
      </c>
      <c r="W85" s="212" t="s">
        <v>8</v>
      </c>
      <c r="X85" s="65" t="s">
        <v>17</v>
      </c>
      <c r="Y85" s="176"/>
    </row>
    <row r="86" spans="1:26" s="2" customFormat="1" ht="14.1" customHeight="1" x14ac:dyDescent="0.2">
      <c r="A86" s="241" t="s">
        <v>8</v>
      </c>
      <c r="B86" s="3" t="s">
        <v>147</v>
      </c>
      <c r="C86" s="4"/>
      <c r="D86" s="52">
        <v>9193014</v>
      </c>
      <c r="E86" s="98">
        <v>45210</v>
      </c>
      <c r="F86" s="44" t="s">
        <v>95</v>
      </c>
      <c r="G86" s="61">
        <v>45212</v>
      </c>
      <c r="H86" s="42"/>
      <c r="I86" s="28"/>
      <c r="J86" s="28"/>
      <c r="K86" s="28"/>
      <c r="L86" s="28"/>
      <c r="M86" s="42"/>
      <c r="N86" s="28"/>
      <c r="O86" s="42"/>
      <c r="P86" s="7">
        <v>720</v>
      </c>
      <c r="Q86" s="43"/>
      <c r="R86" s="42"/>
      <c r="S86" s="43"/>
      <c r="T86" s="32"/>
      <c r="U86" s="53">
        <f>SUM(H86:T86)</f>
        <v>720</v>
      </c>
      <c r="V86" s="64" t="s">
        <v>7</v>
      </c>
      <c r="W86" s="2" t="s">
        <v>36</v>
      </c>
      <c r="X86" s="65" t="s">
        <v>17</v>
      </c>
      <c r="Y86" s="176"/>
    </row>
    <row r="87" spans="1:26" s="2" customFormat="1" ht="14.1" customHeight="1" x14ac:dyDescent="0.35">
      <c r="A87" s="251" t="s">
        <v>5</v>
      </c>
      <c r="B87" s="218" t="s">
        <v>67</v>
      </c>
      <c r="C87" s="233"/>
      <c r="D87" s="223">
        <v>8043068</v>
      </c>
      <c r="E87" s="179">
        <v>45142</v>
      </c>
      <c r="F87" s="182" t="s">
        <v>20</v>
      </c>
      <c r="G87" s="219">
        <v>45142</v>
      </c>
      <c r="H87" s="188"/>
      <c r="I87" s="185"/>
      <c r="J87" s="185"/>
      <c r="K87" s="185"/>
      <c r="L87" s="185"/>
      <c r="M87" s="188"/>
      <c r="N87" s="185"/>
      <c r="O87" s="188"/>
      <c r="P87" s="220"/>
      <c r="Q87" s="191"/>
      <c r="R87" s="188">
        <v>-65</v>
      </c>
      <c r="S87" s="191"/>
      <c r="T87" s="194">
        <v>-5.61</v>
      </c>
      <c r="U87" s="197">
        <f>SUM(H87:T87)</f>
        <v>-70.61</v>
      </c>
      <c r="V87" s="199" t="s">
        <v>32</v>
      </c>
      <c r="W87" s="221" t="s">
        <v>8</v>
      </c>
      <c r="X87" s="65" t="s">
        <v>17</v>
      </c>
      <c r="Y87" s="105"/>
      <c r="Z87" s="176"/>
    </row>
    <row r="88" spans="1:26" s="2" customFormat="1" ht="14.1" customHeight="1" x14ac:dyDescent="0.35">
      <c r="A88" s="250" t="s">
        <v>5</v>
      </c>
      <c r="B88" s="213" t="s">
        <v>33</v>
      </c>
      <c r="C88" s="226"/>
      <c r="D88" s="224">
        <v>8093064</v>
      </c>
      <c r="E88" s="180">
        <v>45147</v>
      </c>
      <c r="F88" s="183" t="s">
        <v>20</v>
      </c>
      <c r="G88" s="214">
        <v>45147</v>
      </c>
      <c r="H88" s="189"/>
      <c r="I88" s="187"/>
      <c r="J88" s="187"/>
      <c r="K88" s="187"/>
      <c r="L88" s="187"/>
      <c r="M88" s="189"/>
      <c r="N88" s="187"/>
      <c r="O88" s="189"/>
      <c r="P88" s="215"/>
      <c r="Q88" s="192"/>
      <c r="R88" s="189">
        <v>256</v>
      </c>
      <c r="S88" s="192"/>
      <c r="T88" s="195"/>
      <c r="U88" s="198">
        <f>SUM(H88:T88)</f>
        <v>256</v>
      </c>
      <c r="V88" s="201" t="s">
        <v>63</v>
      </c>
      <c r="W88" s="217" t="s">
        <v>57</v>
      </c>
      <c r="X88" s="65" t="s">
        <v>17</v>
      </c>
      <c r="Y88" s="105"/>
      <c r="Z88" s="176"/>
    </row>
    <row r="89" spans="1:26" s="2" customFormat="1" ht="14.1" customHeight="1" x14ac:dyDescent="0.35">
      <c r="A89" s="250" t="s">
        <v>5</v>
      </c>
      <c r="B89" s="213" t="s">
        <v>33</v>
      </c>
      <c r="C89" s="226"/>
      <c r="D89" s="224">
        <v>8113064</v>
      </c>
      <c r="E89" s="180">
        <v>45149</v>
      </c>
      <c r="F89" s="183" t="s">
        <v>20</v>
      </c>
      <c r="G89" s="214">
        <v>45149</v>
      </c>
      <c r="H89" s="189"/>
      <c r="I89" s="187"/>
      <c r="J89" s="187"/>
      <c r="K89" s="187"/>
      <c r="L89" s="187"/>
      <c r="M89" s="189"/>
      <c r="N89" s="187"/>
      <c r="O89" s="189"/>
      <c r="P89" s="215"/>
      <c r="Q89" s="192"/>
      <c r="R89" s="189">
        <v>690</v>
      </c>
      <c r="S89" s="192"/>
      <c r="T89" s="195"/>
      <c r="U89" s="198">
        <f>SUM(H89:T89)</f>
        <v>690</v>
      </c>
      <c r="V89" s="201" t="s">
        <v>63</v>
      </c>
      <c r="W89" s="217" t="s">
        <v>5</v>
      </c>
      <c r="X89" s="65" t="s">
        <v>17</v>
      </c>
      <c r="Y89" s="105"/>
      <c r="Z89" s="176"/>
    </row>
    <row r="90" spans="1:26" s="2" customFormat="1" ht="14.1" customHeight="1" x14ac:dyDescent="0.35">
      <c r="A90" s="249" t="s">
        <v>5</v>
      </c>
      <c r="B90" s="202" t="s">
        <v>33</v>
      </c>
      <c r="C90" s="225"/>
      <c r="D90" s="222">
        <v>9213062</v>
      </c>
      <c r="E90" s="178">
        <v>45190</v>
      </c>
      <c r="F90" s="181" t="s">
        <v>20</v>
      </c>
      <c r="G90" s="203">
        <v>45191</v>
      </c>
      <c r="H90" s="186"/>
      <c r="I90" s="184"/>
      <c r="J90" s="184"/>
      <c r="K90" s="184"/>
      <c r="L90" s="184"/>
      <c r="M90" s="186"/>
      <c r="N90" s="184"/>
      <c r="O90" s="186"/>
      <c r="P90" s="204"/>
      <c r="Q90" s="190"/>
      <c r="R90" s="186">
        <v>651</v>
      </c>
      <c r="S90" s="190"/>
      <c r="T90" s="193"/>
      <c r="U90" s="196">
        <f>SUM(H90:T90)</f>
        <v>651</v>
      </c>
      <c r="V90" s="200" t="s">
        <v>63</v>
      </c>
      <c r="W90" s="212" t="s">
        <v>57</v>
      </c>
      <c r="X90" s="65" t="s">
        <v>17</v>
      </c>
      <c r="Y90" s="105"/>
      <c r="Z90" s="176"/>
    </row>
    <row r="91" spans="1:26" s="2" customFormat="1" ht="14.1" customHeight="1" x14ac:dyDescent="0.2">
      <c r="A91" s="241" t="s">
        <v>5</v>
      </c>
      <c r="B91" s="3" t="s">
        <v>33</v>
      </c>
      <c r="C91" s="4">
        <v>366681</v>
      </c>
      <c r="D91" s="52">
        <v>10093064</v>
      </c>
      <c r="E91" s="98">
        <v>45208</v>
      </c>
      <c r="F91" s="44" t="s">
        <v>20</v>
      </c>
      <c r="G91" s="61">
        <v>45208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1035</v>
      </c>
      <c r="S91" s="43"/>
      <c r="T91" s="32"/>
      <c r="U91" s="53">
        <f>SUM(H91:T91)</f>
        <v>1035</v>
      </c>
      <c r="V91" s="64" t="s">
        <v>63</v>
      </c>
      <c r="W91" s="2" t="s">
        <v>5</v>
      </c>
      <c r="X91" s="65" t="s">
        <v>17</v>
      </c>
      <c r="Y91" s="176"/>
    </row>
    <row r="92" spans="1:26" s="2" customFormat="1" ht="14.1" customHeight="1" x14ac:dyDescent="0.2">
      <c r="A92" s="241" t="s">
        <v>5</v>
      </c>
      <c r="B92" s="3" t="s">
        <v>33</v>
      </c>
      <c r="C92" s="4">
        <v>366680</v>
      </c>
      <c r="D92" s="52">
        <v>10093065</v>
      </c>
      <c r="E92" s="98">
        <v>45208</v>
      </c>
      <c r="F92" s="44" t="s">
        <v>20</v>
      </c>
      <c r="G92" s="61">
        <v>45208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286</v>
      </c>
      <c r="S92" s="43"/>
      <c r="T92" s="32"/>
      <c r="U92" s="53">
        <f>SUM(H92:T92)</f>
        <v>286</v>
      </c>
      <c r="V92" s="64" t="s">
        <v>63</v>
      </c>
      <c r="W92" s="2" t="s">
        <v>5</v>
      </c>
      <c r="X92" s="65" t="s">
        <v>17</v>
      </c>
      <c r="Y92" s="176"/>
    </row>
    <row r="93" spans="1:26" s="2" customFormat="1" ht="14.1" customHeight="1" x14ac:dyDescent="0.2">
      <c r="A93" s="241" t="s">
        <v>5</v>
      </c>
      <c r="B93" s="3" t="s">
        <v>96</v>
      </c>
      <c r="C93" s="4"/>
      <c r="D93" s="52">
        <v>10043062</v>
      </c>
      <c r="E93" s="98">
        <v>45203</v>
      </c>
      <c r="F93" s="44" t="s">
        <v>144</v>
      </c>
      <c r="G93" s="61">
        <v>45210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390</v>
      </c>
      <c r="S93" s="43"/>
      <c r="T93" s="32"/>
      <c r="U93" s="53">
        <f>SUM(H93:T93)</f>
        <v>390</v>
      </c>
      <c r="V93" s="64" t="s">
        <v>32</v>
      </c>
      <c r="W93" s="2" t="s">
        <v>146</v>
      </c>
      <c r="X93" s="65" t="s">
        <v>17</v>
      </c>
      <c r="Y93" s="176"/>
    </row>
    <row r="94" spans="1:26" s="2" customFormat="1" ht="14.1" customHeight="1" x14ac:dyDescent="0.2">
      <c r="A94" s="241" t="s">
        <v>5</v>
      </c>
      <c r="B94" s="3" t="s">
        <v>155</v>
      </c>
      <c r="C94" s="4" t="s">
        <v>156</v>
      </c>
      <c r="D94" s="52">
        <v>10153051</v>
      </c>
      <c r="E94" s="98">
        <v>45214</v>
      </c>
      <c r="F94" s="44" t="s">
        <v>89</v>
      </c>
      <c r="G94" s="61">
        <v>45216</v>
      </c>
      <c r="H94" s="42"/>
      <c r="I94" s="28"/>
      <c r="J94" s="28"/>
      <c r="K94" s="28"/>
      <c r="L94" s="28"/>
      <c r="M94" s="42">
        <v>95</v>
      </c>
      <c r="N94" s="28"/>
      <c r="O94" s="42"/>
      <c r="P94" s="7"/>
      <c r="Q94" s="43"/>
      <c r="R94" s="42"/>
      <c r="S94" s="43"/>
      <c r="T94" s="32"/>
      <c r="U94" s="53">
        <f>SUM(H94:T94)</f>
        <v>95</v>
      </c>
      <c r="V94" s="64" t="s">
        <v>25</v>
      </c>
      <c r="W94" s="2" t="s">
        <v>5</v>
      </c>
      <c r="X94" s="65" t="s">
        <v>17</v>
      </c>
      <c r="Y94" s="176"/>
    </row>
    <row r="95" spans="1:26" s="2" customFormat="1" ht="14.1" customHeight="1" x14ac:dyDescent="0.2">
      <c r="A95" s="241" t="s">
        <v>5</v>
      </c>
      <c r="B95" s="3" t="s">
        <v>33</v>
      </c>
      <c r="C95" s="4"/>
      <c r="D95" s="52">
        <v>10233064</v>
      </c>
      <c r="E95" s="98">
        <v>45222</v>
      </c>
      <c r="F95" s="44" t="s">
        <v>20</v>
      </c>
      <c r="G95" s="61">
        <v>45222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345</v>
      </c>
      <c r="S95" s="43"/>
      <c r="T95" s="32"/>
      <c r="U95" s="53">
        <f>SUM(H95:T95)</f>
        <v>345</v>
      </c>
      <c r="V95" s="64" t="s">
        <v>63</v>
      </c>
      <c r="W95" s="2" t="s">
        <v>112</v>
      </c>
      <c r="X95" s="65" t="s">
        <v>17</v>
      </c>
      <c r="Y95" s="176"/>
    </row>
    <row r="96" spans="1:26" s="2" customFormat="1" ht="14.1" customHeight="1" x14ac:dyDescent="0.2">
      <c r="A96" s="241" t="s">
        <v>5</v>
      </c>
      <c r="B96" s="3" t="s">
        <v>33</v>
      </c>
      <c r="C96" s="4"/>
      <c r="D96" s="52">
        <v>10233065</v>
      </c>
      <c r="E96" s="98">
        <v>45222</v>
      </c>
      <c r="F96" s="44" t="s">
        <v>20</v>
      </c>
      <c r="G96" s="61">
        <v>45222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395</v>
      </c>
      <c r="S96" s="43"/>
      <c r="T96" s="32"/>
      <c r="U96" s="53">
        <f>SUM(H96:T96)</f>
        <v>395</v>
      </c>
      <c r="V96" s="64" t="s">
        <v>63</v>
      </c>
      <c r="W96" s="2" t="s">
        <v>112</v>
      </c>
      <c r="X96" s="65" t="s">
        <v>17</v>
      </c>
      <c r="Y96" s="176"/>
    </row>
    <row r="97" spans="1:27" s="2" customFormat="1" ht="14.1" customHeight="1" x14ac:dyDescent="0.2">
      <c r="A97" s="257"/>
      <c r="B97" s="311"/>
      <c r="C97" s="312"/>
      <c r="D97" s="52"/>
      <c r="E97" s="98"/>
      <c r="F97" s="44"/>
      <c r="G97" s="313"/>
      <c r="H97" s="42"/>
      <c r="I97" s="28"/>
      <c r="J97" s="28"/>
      <c r="K97" s="28"/>
      <c r="L97" s="28"/>
      <c r="M97" s="42"/>
      <c r="N97" s="28"/>
      <c r="O97" s="42"/>
      <c r="P97" s="314"/>
      <c r="Q97" s="43"/>
      <c r="R97" s="42"/>
      <c r="S97" s="43"/>
      <c r="T97" s="32"/>
      <c r="U97" s="53"/>
      <c r="V97" s="64"/>
      <c r="W97" s="315"/>
      <c r="X97" s="65"/>
      <c r="Y97" s="318">
        <f>SUM(U76:U96)</f>
        <v>12298.16</v>
      </c>
      <c r="Z97" s="231" t="e">
        <f>Y97/V174</f>
        <v>#DIV/0!</v>
      </c>
      <c r="AA97" s="176"/>
    </row>
    <row r="98" spans="1:27" s="2" customFormat="1" ht="14.1" customHeight="1" x14ac:dyDescent="0.2">
      <c r="A98" s="257"/>
      <c r="B98" s="311"/>
      <c r="C98" s="312"/>
      <c r="D98" s="52"/>
      <c r="E98" s="98"/>
      <c r="F98" s="44"/>
      <c r="G98" s="313"/>
      <c r="H98" s="42"/>
      <c r="I98" s="28"/>
      <c r="J98" s="28"/>
      <c r="K98" s="28"/>
      <c r="L98" s="28"/>
      <c r="M98" s="42"/>
      <c r="N98" s="28"/>
      <c r="O98" s="42"/>
      <c r="P98" s="314"/>
      <c r="Q98" s="43"/>
      <c r="R98" s="42"/>
      <c r="S98" s="43"/>
      <c r="T98" s="32"/>
      <c r="U98" s="53"/>
      <c r="V98" s="64"/>
      <c r="W98" s="315"/>
      <c r="X98" s="65"/>
      <c r="Y98" s="317">
        <f>SUM(U83:U97)</f>
        <v>5977.81</v>
      </c>
      <c r="Z98" s="231" t="e">
        <f>Y98/V159</f>
        <v>#DIV/0!</v>
      </c>
      <c r="AA98" s="176"/>
    </row>
    <row r="99" spans="1:27" s="2" customFormat="1" ht="14.1" customHeight="1" thickBot="1" x14ac:dyDescent="0.25">
      <c r="A99" s="257"/>
      <c r="B99" s="311"/>
      <c r="C99" s="312"/>
      <c r="D99" s="52"/>
      <c r="E99" s="98"/>
      <c r="F99" s="44"/>
      <c r="G99" s="313"/>
      <c r="H99" s="42"/>
      <c r="I99" s="28"/>
      <c r="J99" s="28"/>
      <c r="K99" s="28"/>
      <c r="L99" s="28"/>
      <c r="M99" s="42"/>
      <c r="N99" s="28"/>
      <c r="O99" s="42"/>
      <c r="P99" s="314"/>
      <c r="Q99" s="43"/>
      <c r="R99" s="42"/>
      <c r="S99" s="43"/>
      <c r="T99" s="32"/>
      <c r="U99" s="53"/>
      <c r="V99" s="64"/>
      <c r="W99" s="315"/>
      <c r="X99" s="65"/>
      <c r="Y99" s="316">
        <f>SUM(U84:U98)</f>
        <v>4987.8099999999995</v>
      </c>
      <c r="Z99" s="231" t="e">
        <f>Y99/V144</f>
        <v>#DIV/0!</v>
      </c>
      <c r="AA99" s="176"/>
    </row>
    <row r="100" spans="1:27" s="2" customFormat="1" ht="14.1" customHeight="1" thickBot="1" x14ac:dyDescent="0.25">
      <c r="A100" s="171"/>
      <c r="B100" s="172"/>
      <c r="C100" s="173"/>
      <c r="D100" s="173"/>
      <c r="E100" s="205"/>
      <c r="F100" s="206"/>
      <c r="G100" s="174"/>
      <c r="H100" s="207"/>
      <c r="I100" s="207"/>
      <c r="J100" s="208"/>
      <c r="K100" s="208"/>
      <c r="L100" s="208"/>
      <c r="M100" s="207"/>
      <c r="N100" s="207"/>
      <c r="O100" s="207"/>
      <c r="P100" s="50"/>
      <c r="Q100" s="216"/>
      <c r="R100" s="207"/>
      <c r="S100" s="216"/>
      <c r="T100" s="209"/>
      <c r="U100" s="210"/>
      <c r="V100" s="211"/>
      <c r="W100" s="84"/>
      <c r="X100" s="84"/>
      <c r="Y100" s="252">
        <f>SUM(U58:U99)</f>
        <v>17242.870000000003</v>
      </c>
      <c r="Z100" s="231">
        <f>Y100/V102</f>
        <v>0.6089052759004755</v>
      </c>
      <c r="AA100" s="176"/>
    </row>
    <row r="101" spans="1:27" s="2" customFormat="1" ht="19.5" customHeight="1" thickBot="1" x14ac:dyDescent="0.4">
      <c r="A101" s="242"/>
      <c r="B101" s="158" t="s">
        <v>10</v>
      </c>
      <c r="C101" s="45"/>
      <c r="D101" s="89"/>
      <c r="E101" s="90"/>
      <c r="F101" s="45"/>
      <c r="G101" s="91"/>
      <c r="H101" s="159">
        <f>SUM(H4:H99)</f>
        <v>3884.67</v>
      </c>
      <c r="I101" s="159">
        <f>SUM(I4:I99)</f>
        <v>0</v>
      </c>
      <c r="J101" s="159">
        <f>SUM(J4:J99)</f>
        <v>1440</v>
      </c>
      <c r="K101" s="160">
        <f>SUM(K4:K99)</f>
        <v>0</v>
      </c>
      <c r="L101" s="161">
        <f>SUM(L4:L99)</f>
        <v>0</v>
      </c>
      <c r="M101" s="291">
        <f>SUM(M4:N99)</f>
        <v>1173</v>
      </c>
      <c r="N101" s="292"/>
      <c r="O101" s="167">
        <f t="shared" ref="O101:U101" si="0">SUM(O4:O99)</f>
        <v>37.5</v>
      </c>
      <c r="P101" s="167">
        <f t="shared" si="0"/>
        <v>900</v>
      </c>
      <c r="Q101" s="167">
        <f t="shared" si="0"/>
        <v>90</v>
      </c>
      <c r="R101" s="168">
        <f t="shared" si="0"/>
        <v>16773.61</v>
      </c>
      <c r="S101" s="168">
        <f t="shared" si="0"/>
        <v>2510</v>
      </c>
      <c r="T101" s="166">
        <f t="shared" si="0"/>
        <v>1509.0400000000006</v>
      </c>
      <c r="U101" s="162">
        <f t="shared" si="0"/>
        <v>28317.819999999996</v>
      </c>
      <c r="V101" s="50"/>
      <c r="W101" s="287"/>
      <c r="X101" s="287"/>
      <c r="Y101" s="288"/>
    </row>
    <row r="102" spans="1:27" s="2" customFormat="1" ht="14.1" customHeight="1" thickBot="1" x14ac:dyDescent="0.3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232">
        <f>SUM(H101:T101)</f>
        <v>28317.82</v>
      </c>
      <c r="Y102" s="164"/>
      <c r="Z102" s="177"/>
    </row>
    <row r="103" spans="1:27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7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7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7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7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7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7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7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7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7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4"/>
      <c r="Z153" s="177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4"/>
      <c r="Z154" s="177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4"/>
      <c r="Z155" s="177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4"/>
      <c r="Z156" s="177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4"/>
      <c r="Z157" s="177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4"/>
      <c r="Z158" s="177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4"/>
      <c r="Z159" s="177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4"/>
      <c r="Z160" s="177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4"/>
      <c r="Z161" s="177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4"/>
      <c r="Z162" s="177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4"/>
      <c r="Z163" s="177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4"/>
      <c r="Z164" s="177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4"/>
      <c r="Z165" s="177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4"/>
      <c r="Z166" s="177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4"/>
      <c r="Z167" s="177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4"/>
      <c r="Z168" s="177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4"/>
      <c r="Z169" s="177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4"/>
      <c r="Z170" s="177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4"/>
      <c r="Z171" s="177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4"/>
      <c r="Z172" s="177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4"/>
      <c r="Z173" s="177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4"/>
      <c r="Z174" s="177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4"/>
      <c r="Z175" s="177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4"/>
      <c r="Z176" s="177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4"/>
      <c r="Z177" s="177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4"/>
      <c r="Z178" s="177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4"/>
      <c r="Z179" s="177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4"/>
      <c r="Z180" s="177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4"/>
      <c r="Z181" s="177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4"/>
      <c r="Z182" s="177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4"/>
      <c r="Z183" s="177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4"/>
      <c r="Z184" s="177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4"/>
      <c r="Z185" s="177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4"/>
      <c r="Z186" s="177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4"/>
      <c r="Z187" s="177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4"/>
      <c r="Z188" s="177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4"/>
      <c r="Z189" s="177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4"/>
      <c r="Z190" s="177"/>
    </row>
    <row r="191" spans="1:26" s="2" customFormat="1" ht="14.1" customHeight="1" x14ac:dyDescent="0.35">
      <c r="A191" s="3"/>
      <c r="B191" s="3"/>
      <c r="C191" s="130"/>
      <c r="D191" s="4"/>
      <c r="E191" s="5"/>
      <c r="F191" s="4"/>
      <c r="G191" s="61"/>
      <c r="H191" s="7"/>
      <c r="I191" s="7"/>
      <c r="J191" s="7"/>
      <c r="K191" s="134"/>
      <c r="L191" s="7"/>
      <c r="M191" s="7"/>
      <c r="N191" s="7"/>
      <c r="O191" s="7"/>
      <c r="P191" s="7"/>
      <c r="Q191" s="7"/>
      <c r="R191" s="7"/>
      <c r="S191" s="6"/>
      <c r="T191" s="6"/>
      <c r="V191" s="131"/>
      <c r="W191" s="129"/>
      <c r="X191" s="129"/>
      <c r="Y191" s="229"/>
      <c r="Z191" s="3"/>
    </row>
    <row r="192" spans="1:26" s="135" customFormat="1" ht="26.25" customHeight="1" x14ac:dyDescent="0.45">
      <c r="A192" s="132"/>
      <c r="B192" s="133"/>
      <c r="C192" s="133"/>
      <c r="D192" s="2"/>
      <c r="E192" s="2"/>
      <c r="F192" s="164"/>
      <c r="G192" s="2"/>
      <c r="H192" s="134"/>
      <c r="I192" s="134"/>
      <c r="J192" s="134"/>
      <c r="K192" s="7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37"/>
      <c r="W192" s="26"/>
      <c r="X192" s="26"/>
      <c r="Y192" s="4"/>
      <c r="Z192" s="3"/>
    </row>
    <row r="193" spans="4:25" ht="15" customHeight="1" x14ac:dyDescent="0.35">
      <c r="V193" s="136"/>
      <c r="W193" s="3"/>
      <c r="X193" s="3"/>
    </row>
    <row r="194" spans="4:25" ht="9.75" customHeight="1" x14ac:dyDescent="0.35"/>
    <row r="195" spans="4:25" ht="9.75" customHeight="1" x14ac:dyDescent="0.35"/>
    <row r="196" spans="4:25" ht="9.75" customHeight="1" x14ac:dyDescent="0.35"/>
    <row r="197" spans="4:25" ht="9.75" customHeight="1" x14ac:dyDescent="0.35"/>
    <row r="198" spans="4:25" ht="9.75" customHeight="1" x14ac:dyDescent="0.35"/>
    <row r="199" spans="4:25" ht="9.75" customHeight="1" x14ac:dyDescent="0.35"/>
    <row r="200" spans="4:25" ht="9.75" customHeight="1" x14ac:dyDescent="0.35"/>
    <row r="201" spans="4:25" ht="9.75" customHeight="1" x14ac:dyDescent="0.2"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</row>
    <row r="202" spans="4:25" ht="10.5" customHeight="1" x14ac:dyDescent="0.2"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</row>
    <row r="203" spans="4:25" ht="9.75" customHeight="1" x14ac:dyDescent="0.2"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</row>
    <row r="204" spans="4:25" ht="9.75" customHeight="1" x14ac:dyDescent="0.35"/>
    <row r="205" spans="4:25" ht="9.75" customHeight="1" x14ac:dyDescent="0.35"/>
    <row r="206" spans="4:25" ht="9.75" customHeight="1" x14ac:dyDescent="0.35"/>
    <row r="207" spans="4:25" ht="9.75" customHeight="1" x14ac:dyDescent="0.35"/>
    <row r="208" spans="4:25" ht="9.75" customHeight="1" x14ac:dyDescent="0.35"/>
    <row r="209" spans="4:25" ht="9.75" customHeight="1" x14ac:dyDescent="0.35"/>
    <row r="210" spans="4:25" ht="9.75" customHeight="1" x14ac:dyDescent="0.35"/>
    <row r="211" spans="4:25" ht="9.75" customHeight="1" x14ac:dyDescent="0.35"/>
    <row r="212" spans="4:25" ht="9.75" customHeight="1" x14ac:dyDescent="0.35"/>
    <row r="213" spans="4:25" ht="9.75" customHeight="1" x14ac:dyDescent="0.35"/>
    <row r="214" spans="4:25" ht="9.75" customHeight="1" x14ac:dyDescent="0.35"/>
    <row r="215" spans="4:25" ht="9.75" customHeight="1" x14ac:dyDescent="0.35"/>
    <row r="216" spans="4:25" ht="9.75" customHeight="1" x14ac:dyDescent="0.2">
      <c r="D216" s="3"/>
      <c r="E216" s="3"/>
      <c r="F216" s="3"/>
      <c r="G216" s="3"/>
      <c r="H216" s="3"/>
      <c r="I216" s="3"/>
      <c r="J216" s="5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</row>
    <row r="217" spans="4:25" ht="9.75" customHeight="1" x14ac:dyDescent="0.35"/>
    <row r="218" spans="4:25" ht="9.75" customHeight="1" x14ac:dyDescent="0.35"/>
    <row r="219" spans="4:25" ht="9.75" customHeight="1" x14ac:dyDescent="0.35"/>
    <row r="220" spans="4:25" ht="9.75" customHeight="1" x14ac:dyDescent="0.35"/>
    <row r="221" spans="4:25" ht="9.75" customHeight="1" x14ac:dyDescent="0.35"/>
    <row r="222" spans="4:25" ht="9.75" customHeight="1" x14ac:dyDescent="0.35"/>
    <row r="223" spans="4:25" ht="9.75" customHeight="1" x14ac:dyDescent="0.35"/>
    <row r="224" spans="4:25" ht="9.75" customHeight="1" x14ac:dyDescent="0.35"/>
    <row r="225" ht="9.75" customHeight="1" x14ac:dyDescent="0.35"/>
    <row r="226" ht="9.75" customHeight="1" x14ac:dyDescent="0.35"/>
    <row r="227" ht="9.75" customHeight="1" x14ac:dyDescent="0.35"/>
    <row r="228" ht="9.75" customHeight="1" x14ac:dyDescent="0.35"/>
    <row r="229" ht="9.75" customHeight="1" x14ac:dyDescent="0.35"/>
    <row r="230" ht="9.75" customHeight="1" x14ac:dyDescent="0.35"/>
    <row r="231" ht="9.75" customHeight="1" x14ac:dyDescent="0.35"/>
    <row r="232" ht="9.75" customHeight="1" x14ac:dyDescent="0.35"/>
    <row r="233" ht="9.75" customHeight="1" x14ac:dyDescent="0.35"/>
    <row r="234" ht="9.75" customHeight="1" x14ac:dyDescent="0.35"/>
    <row r="235" ht="9.75" customHeight="1" x14ac:dyDescent="0.35"/>
    <row r="236" ht="9.75" customHeight="1" x14ac:dyDescent="0.35"/>
    <row r="237" ht="9.75" customHeight="1" x14ac:dyDescent="0.35"/>
    <row r="238" ht="9.75" customHeight="1" x14ac:dyDescent="0.35"/>
    <row r="239" ht="9.75" customHeight="1" x14ac:dyDescent="0.35"/>
    <row r="240" ht="9.75" customHeight="1" x14ac:dyDescent="0.35"/>
    <row r="241" ht="9.75" customHeight="1" x14ac:dyDescent="0.35"/>
    <row r="242" ht="9.75" customHeight="1" x14ac:dyDescent="0.35"/>
    <row r="243" ht="9.75" customHeight="1" x14ac:dyDescent="0.35"/>
    <row r="244" ht="9.75" customHeight="1" x14ac:dyDescent="0.35"/>
    <row r="245" ht="9.75" customHeight="1" x14ac:dyDescent="0.35"/>
    <row r="246" ht="9.75" customHeight="1" x14ac:dyDescent="0.35"/>
    <row r="247" ht="9.75" customHeight="1" x14ac:dyDescent="0.35"/>
    <row r="248" ht="9.75" customHeight="1" x14ac:dyDescent="0.35"/>
    <row r="249" ht="9.75" customHeight="1" x14ac:dyDescent="0.35"/>
    <row r="250" ht="9.75" customHeight="1" x14ac:dyDescent="0.35"/>
    <row r="251" ht="9.75" customHeight="1" x14ac:dyDescent="0.35"/>
    <row r="252" ht="9.75" customHeight="1" x14ac:dyDescent="0.35"/>
    <row r="253" ht="9.75" customHeight="1" x14ac:dyDescent="0.35"/>
    <row r="254" ht="9.75" customHeight="1" x14ac:dyDescent="0.35"/>
    <row r="255" ht="9.75" customHeight="1" x14ac:dyDescent="0.35"/>
    <row r="256" ht="9.75" customHeight="1" x14ac:dyDescent="0.35"/>
    <row r="257" ht="9.75" customHeight="1" x14ac:dyDescent="0.35"/>
    <row r="258" ht="9.75" customHeight="1" x14ac:dyDescent="0.35"/>
    <row r="259" ht="9.75" customHeight="1" x14ac:dyDescent="0.35"/>
    <row r="260" ht="9.75" customHeight="1" x14ac:dyDescent="0.35"/>
    <row r="261" ht="9.75" customHeight="1" x14ac:dyDescent="0.35"/>
    <row r="262" ht="9.75" customHeight="1" x14ac:dyDescent="0.35"/>
    <row r="263" ht="9.75" customHeight="1" x14ac:dyDescent="0.35"/>
    <row r="264" ht="9.75" customHeight="1" x14ac:dyDescent="0.35"/>
    <row r="265" ht="9.75" customHeight="1" x14ac:dyDescent="0.35"/>
    <row r="266" ht="9.75" customHeight="1" x14ac:dyDescent="0.35"/>
    <row r="267" ht="9.75" customHeight="1" x14ac:dyDescent="0.35"/>
    <row r="268" ht="9.75" customHeight="1" x14ac:dyDescent="0.35"/>
    <row r="269" ht="9.75" customHeight="1" x14ac:dyDescent="0.35"/>
    <row r="270" ht="9.75" customHeight="1" x14ac:dyDescent="0.35"/>
    <row r="271" ht="9.75" customHeight="1" x14ac:dyDescent="0.35"/>
    <row r="272" ht="9.75" customHeight="1" x14ac:dyDescent="0.35"/>
    <row r="273" ht="9.75" customHeight="1" x14ac:dyDescent="0.35"/>
    <row r="274" ht="9.75" customHeight="1" x14ac:dyDescent="0.35"/>
    <row r="275" ht="9.75" customHeight="1" x14ac:dyDescent="0.35"/>
    <row r="276" ht="9.75" customHeight="1" x14ac:dyDescent="0.35"/>
    <row r="277" ht="9.75" customHeight="1" x14ac:dyDescent="0.35"/>
    <row r="278" ht="9.75" customHeight="1" x14ac:dyDescent="0.35"/>
    <row r="279" ht="9.75" customHeight="1" x14ac:dyDescent="0.35"/>
    <row r="280" ht="9.75" customHeight="1" x14ac:dyDescent="0.35"/>
    <row r="281" ht="9.75" customHeight="1" x14ac:dyDescent="0.35"/>
    <row r="282" ht="9.75" customHeight="1" x14ac:dyDescent="0.35"/>
    <row r="283" ht="9.75" customHeight="1" x14ac:dyDescent="0.35"/>
    <row r="284" ht="9.75" customHeight="1" x14ac:dyDescent="0.35"/>
    <row r="285" ht="9.75" customHeight="1" x14ac:dyDescent="0.35"/>
    <row r="286" ht="9.75" customHeight="1" x14ac:dyDescent="0.35"/>
    <row r="287" ht="9.75" customHeight="1" x14ac:dyDescent="0.35"/>
    <row r="288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4" ht="9.75" customHeight="1" x14ac:dyDescent="0.35"/>
    <row r="357" ht="9.75" customHeight="1" x14ac:dyDescent="0.35"/>
    <row r="358" ht="9.75" customHeight="1" x14ac:dyDescent="0.35"/>
    <row r="359" ht="9.75" customHeight="1" x14ac:dyDescent="0.35"/>
    <row r="365" ht="9.75" customHeight="1" x14ac:dyDescent="0.35"/>
    <row r="372" ht="9.75" customHeight="1" x14ac:dyDescent="0.35"/>
  </sheetData>
  <sortState xmlns:xlrd2="http://schemas.microsoft.com/office/spreadsheetml/2017/richdata2" ref="A4:AB99">
    <sortCondition ref="A4:A9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15" sqref="F15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45237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31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39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2023-11-08T00:44:00Z</dcterms:modified>
</cp:coreProperties>
</file>