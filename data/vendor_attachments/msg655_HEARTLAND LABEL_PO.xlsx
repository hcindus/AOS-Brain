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1f2e39bdb45401/Documents/2024/"/>
    </mc:Choice>
  </mc:AlternateContent>
  <xr:revisionPtr revIDLastSave="3" documentId="8_{2E61C43D-D7B0-478A-BF22-9141F6A7847D}" xr6:coauthVersionLast="47" xr6:coauthVersionMax="47" xr10:uidLastSave="{B74B449F-E5D0-4D3F-8385-9BDB50D72B55}"/>
  <bookViews>
    <workbookView xWindow="345" yWindow="345" windowWidth="28110" windowHeight="14880" activeTab="3" xr2:uid="{00000000-000D-0000-FFFF-FFFF00000000}"/>
  </bookViews>
  <sheets>
    <sheet name="PO" sheetId="3" r:id="rId1"/>
    <sheet name="drop" sheetId="6" r:id="rId2"/>
    <sheet name="marina" sheetId="7" r:id="rId3"/>
    <sheet name="guerra" sheetId="5" r:id="rId4"/>
    <sheet name="CASA" sheetId="8" r:id="rId5"/>
    <sheet name="purity" sheetId="4" r:id="rId6"/>
    <sheet name="ITEMS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6" l="1"/>
  <c r="F22" i="7"/>
  <c r="F38" i="7"/>
  <c r="F22" i="8"/>
  <c r="F38" i="8"/>
  <c r="F39" i="6" l="1"/>
  <c r="F22" i="5" l="1"/>
  <c r="F38" i="5" s="1"/>
  <c r="F22" i="4" l="1"/>
  <c r="F29" i="2" l="1"/>
  <c r="F28" i="2"/>
  <c r="F23" i="3" l="1"/>
  <c r="F22" i="3"/>
  <c r="F21" i="3" l="1"/>
  <c r="F20" i="3" l="1"/>
  <c r="F45" i="2" l="1"/>
  <c r="F44" i="2"/>
  <c r="F40" i="2"/>
  <c r="F39" i="2"/>
  <c r="F37" i="2"/>
  <c r="F36" i="2"/>
  <c r="F36" i="3" l="1"/>
  <c r="F38" i="4"/>
  <c r="F30" i="2"/>
  <c r="F34" i="2"/>
  <c r="F33" i="2"/>
  <c r="F26" i="2"/>
  <c r="F25" i="2"/>
  <c r="F22" i="2"/>
  <c r="F21" i="2"/>
</calcChain>
</file>

<file path=xl/sharedStrings.xml><?xml version="1.0" encoding="utf-8"?>
<sst xmlns="http://schemas.openxmlformats.org/spreadsheetml/2006/main" count="353" uniqueCount="112">
  <si>
    <t>P.O. #___________________</t>
  </si>
  <si>
    <t>PURCHASE ORDER</t>
  </si>
  <si>
    <t>TO:</t>
  </si>
  <si>
    <t>DATE:</t>
  </si>
  <si>
    <t>PHONE:</t>
  </si>
  <si>
    <t>DATE REQ:</t>
  </si>
  <si>
    <t>FAX:</t>
  </si>
  <si>
    <t>TERMS"</t>
  </si>
  <si>
    <t>CONTACT:</t>
  </si>
  <si>
    <t>SHIP VIA;</t>
  </si>
  <si>
    <t>SHIP TO:</t>
  </si>
  <si>
    <t>ADDRESS;</t>
  </si>
  <si>
    <t>CITY/STATE</t>
  </si>
  <si>
    <t>ROB FREANEY</t>
  </si>
  <si>
    <t>QUANTITY</t>
  </si>
  <si>
    <t xml:space="preserve">  VENDOR #</t>
  </si>
  <si>
    <t>UNIT</t>
  </si>
  <si>
    <t>EXTENSION</t>
  </si>
  <si>
    <t xml:space="preserve"> </t>
  </si>
  <si>
    <t>TOTAL</t>
  </si>
  <si>
    <t>BILL TO</t>
  </si>
  <si>
    <t>PERFORMANCE POS</t>
  </si>
  <si>
    <t>415-451-4861</t>
  </si>
  <si>
    <t>ground</t>
  </si>
  <si>
    <t>SAN RAFAEL, CA 94901</t>
  </si>
  <si>
    <t>100-A PELICAN WAY</t>
  </si>
  <si>
    <t>RESELLER ID= 97-917786 (CA)</t>
  </si>
  <si>
    <t>HEARTLAND LABEL</t>
  </si>
  <si>
    <t>ORDERS@HRTLP.COM</t>
  </si>
  <si>
    <t>PETER HARVEY</t>
  </si>
  <si>
    <t>626-255-1697</t>
  </si>
  <si>
    <t>P2278</t>
  </si>
  <si>
    <t>Net 30</t>
  </si>
  <si>
    <t>X-1612-B</t>
  </si>
  <si>
    <t>TEC SL9000 CONTINUOUS STRIP</t>
  </si>
  <si>
    <t>HOBART QUANTUM 1.75" 1600/ROLL</t>
  </si>
  <si>
    <t>16 ROLLS/CS</t>
  </si>
  <si>
    <t>HOBART QUANTUM 3.00" 1000/ROLL</t>
  </si>
  <si>
    <t>X-1681</t>
  </si>
  <si>
    <t>TEC SL9000 57 X 49.2MM</t>
  </si>
  <si>
    <t>X-1433-B</t>
  </si>
  <si>
    <t>Berkel ix 65mm</t>
  </si>
  <si>
    <t>1432-B</t>
  </si>
  <si>
    <t>Berkel ix 40mm</t>
  </si>
  <si>
    <t>X-1493</t>
  </si>
  <si>
    <t>Cas UPC</t>
  </si>
  <si>
    <t>X-1478-SH</t>
  </si>
  <si>
    <t>CAS UPC S/H</t>
  </si>
  <si>
    <t>X-1673?</t>
  </si>
  <si>
    <t>TEC SL9000 SAFE HANDLING</t>
  </si>
  <si>
    <t>ASAP</t>
  </si>
  <si>
    <t>CAS Ingredient 58 x 60  (#8020)</t>
  </si>
  <si>
    <t>Thanks!</t>
  </si>
  <si>
    <t>RDT4-300100-1P</t>
  </si>
  <si>
    <t>3" X 1" LABELS, 1310/ROLL, 12 ROLLS/CASE</t>
  </si>
  <si>
    <t>1850-b</t>
  </si>
  <si>
    <t>Kilotech labels</t>
  </si>
  <si>
    <t>GROUND</t>
  </si>
  <si>
    <t>RDT4-225125-1P</t>
  </si>
  <si>
    <t xml:space="preserve"> 2 1/4 X 1/ 1/4 , 1135/ROLL,  12 ROLLS/CS</t>
  </si>
  <si>
    <t>X-1909-B</t>
  </si>
  <si>
    <t>X-1911-B</t>
  </si>
  <si>
    <t>X-1819-B</t>
  </si>
  <si>
    <t>64MM X 47MM  800LBL/ROLL</t>
  </si>
  <si>
    <t>12 ROLLS/CS</t>
  </si>
  <si>
    <t>( MI PUEBLO)</t>
  </si>
  <si>
    <t>Andrew Dennison</t>
  </si>
  <si>
    <t>300 California St, 4th Floor</t>
  </si>
  <si>
    <t>San Francisco, Ca  94104</t>
  </si>
  <si>
    <t>ap@spoton.com</t>
  </si>
  <si>
    <t>628-260-6898</t>
  </si>
  <si>
    <t>SPOT ON-San Rafael ( Performance POS)</t>
  </si>
  <si>
    <t>SPOT On Transact LLC</t>
  </si>
  <si>
    <t>Acct#  8144102</t>
  </si>
  <si>
    <t>X-1837- S/H</t>
  </si>
  <si>
    <t>1822-b</t>
  </si>
  <si>
    <t>ISHIDA BC3000  60 MM CONTINUOUS</t>
  </si>
  <si>
    <t>101 Glacier Point, Suite B</t>
  </si>
  <si>
    <t>100 California St, Suite 900</t>
  </si>
  <si>
    <t>San Francisco, Ca  94111</t>
  </si>
  <si>
    <t>min order = 10</t>
  </si>
  <si>
    <t>3" one p;ly paper</t>
  </si>
  <si>
    <t>please ship Ground</t>
  </si>
  <si>
    <t>please do Not ship on my Fedex acct…that has been closed</t>
  </si>
  <si>
    <t>+freight</t>
  </si>
  <si>
    <t>Purity Market</t>
  </si>
  <si>
    <t>242 N. Franklin Street</t>
  </si>
  <si>
    <t>Fort Bragg,  Ca  95437</t>
  </si>
  <si>
    <t>attn:  Randy</t>
  </si>
  <si>
    <t>707-964-0747</t>
  </si>
  <si>
    <t>Guerra Quality Meats</t>
  </si>
  <si>
    <t>490 Taraval St</t>
  </si>
  <si>
    <t>San Francisco, Ca 94116</t>
  </si>
  <si>
    <t>attn:  John G</t>
  </si>
  <si>
    <t>415-564-0585</t>
  </si>
  <si>
    <t>Casa Lupe Market</t>
  </si>
  <si>
    <t>130 Magnolia Street</t>
  </si>
  <si>
    <t>Gridley, Ca  95948</t>
  </si>
  <si>
    <t>attn:  Lauro</t>
  </si>
  <si>
    <t>530-846-3218</t>
  </si>
  <si>
    <t>Estrella's Market</t>
  </si>
  <si>
    <t xml:space="preserve">10351 Old Redwood Highway </t>
  </si>
  <si>
    <t>Windsor, Ca  95492</t>
  </si>
  <si>
    <t>attn:  Satinder</t>
  </si>
  <si>
    <t>707-620-0012</t>
  </si>
  <si>
    <t xml:space="preserve">           Suite # 100</t>
  </si>
  <si>
    <t>Marina Super</t>
  </si>
  <si>
    <t>2323 Chestnut Street</t>
  </si>
  <si>
    <t>San Francisco, Ca 94123</t>
  </si>
  <si>
    <t>attn:  Juan</t>
  </si>
  <si>
    <t>415-346-7470</t>
  </si>
  <si>
    <t>5/156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</si>
</sst>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4"/>
      <name val="Arial"/>
      <family val="2"/>
    </font>
    <font>
      <b/>
      <u/>
      <sz val="1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sz val="16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9" fillId="0" borderId="0" xfId="0" applyNumberFormat="1" applyFont="1"/>
    <xf numFmtId="0" fontId="11" fillId="0" borderId="0" xfId="0" applyFont="1"/>
    <xf numFmtId="16" fontId="0" fillId="0" borderId="0" xfId="0" quotePrefix="1" applyNumberFormat="1"/>
    <xf numFmtId="0" fontId="8" fillId="0" borderId="0" xfId="0" quotePrefix="1" applyFont="1"/>
    <xf numFmtId="16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0" fillId="0" borderId="0" xfId="0" applyNumberFormat="1"/>
    <xf numFmtId="0" fontId="12" fillId="0" borderId="0" xfId="0" applyFont="1"/>
    <xf numFmtId="1" fontId="0" fillId="0" borderId="0" xfId="0" applyNumberFormat="1"/>
    <xf numFmtId="0" fontId="17" fillId="0" borderId="0" xfId="0" applyFont="1"/>
    <xf numFmtId="0" fontId="10" fillId="0" borderId="0" xfId="1" applyAlignment="1" applyProtection="1"/>
    <xf numFmtId="0" fontId="19" fillId="0" borderId="0" xfId="0" applyFont="1"/>
    <xf numFmtId="0" fontId="17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2" borderId="0" xfId="0" applyFont="1" applyFill="1"/>
    <xf numFmtId="0" fontId="0" fillId="2" borderId="0" xfId="0" applyFill="1"/>
    <xf numFmtId="0" fontId="6" fillId="2" borderId="0" xfId="0" applyFont="1" applyFill="1"/>
    <xf numFmtId="0" fontId="15" fillId="0" borderId="0" xfId="0" quotePrefix="1" applyFont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RDERS@HRTLP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ORDERS@HRTLP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RDERS@HRTLP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ORDERS@HRTLP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ORDERS@HRTLP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ORDERS@HRTLP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ORDERS@HRTL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selection activeCell="A20" sqref="A20:XFD20"/>
    </sheetView>
  </sheetViews>
  <sheetFormatPr defaultRowHeight="12.75" x14ac:dyDescent="0.2"/>
  <cols>
    <col min="1" max="1" width="6.42578125" customWidth="1"/>
    <col min="2" max="2" width="16.5703125" customWidth="1"/>
    <col min="3" max="3" width="34.5703125" customWidth="1"/>
    <col min="4" max="4" width="2.7109375" customWidth="1"/>
    <col min="5" max="5" width="9.85546875" customWidth="1"/>
    <col min="6" max="6" width="10.85546875" customWidth="1"/>
  </cols>
  <sheetData>
    <row r="1" spans="1:6" ht="30" x14ac:dyDescent="0.4">
      <c r="B1" s="1"/>
      <c r="C1" s="1"/>
      <c r="E1" t="s">
        <v>0</v>
      </c>
      <c r="F1" s="21">
        <v>4031201</v>
      </c>
    </row>
    <row r="2" spans="1:6" ht="30" x14ac:dyDescent="0.4">
      <c r="A2" s="4"/>
      <c r="B2" s="5" t="s">
        <v>1</v>
      </c>
      <c r="C2" s="5"/>
      <c r="D2" s="4"/>
      <c r="E2" s="4"/>
      <c r="F2" s="27"/>
    </row>
    <row r="3" spans="1:6" ht="23.25" x14ac:dyDescent="0.35">
      <c r="A3" t="s">
        <v>2</v>
      </c>
      <c r="B3" s="3" t="s">
        <v>27</v>
      </c>
      <c r="C3" s="3"/>
      <c r="D3" s="3"/>
      <c r="E3" t="s">
        <v>3</v>
      </c>
      <c r="F3" s="20">
        <v>45363</v>
      </c>
    </row>
    <row r="4" spans="1:6" x14ac:dyDescent="0.2">
      <c r="A4" t="s">
        <v>4</v>
      </c>
      <c r="E4" t="s">
        <v>5</v>
      </c>
      <c r="F4" s="28" t="s">
        <v>50</v>
      </c>
    </row>
    <row r="5" spans="1:6" x14ac:dyDescent="0.2">
      <c r="A5" t="s">
        <v>6</v>
      </c>
      <c r="C5" s="24" t="s">
        <v>28</v>
      </c>
      <c r="E5" t="s">
        <v>7</v>
      </c>
      <c r="F5" s="29" t="s">
        <v>32</v>
      </c>
    </row>
    <row r="6" spans="1:6" x14ac:dyDescent="0.2">
      <c r="A6" t="s">
        <v>8</v>
      </c>
      <c r="E6" t="s">
        <v>9</v>
      </c>
      <c r="F6" s="30" t="s">
        <v>23</v>
      </c>
    </row>
    <row r="8" spans="1:6" ht="15.75" x14ac:dyDescent="0.25">
      <c r="A8" t="s">
        <v>20</v>
      </c>
      <c r="B8" s="2"/>
      <c r="C8" s="12" t="s">
        <v>72</v>
      </c>
      <c r="E8" s="31" t="s">
        <v>73</v>
      </c>
    </row>
    <row r="9" spans="1:6" ht="15" x14ac:dyDescent="0.2">
      <c r="A9" t="s">
        <v>11</v>
      </c>
      <c r="B9" s="2"/>
      <c r="C9" s="12" t="s">
        <v>67</v>
      </c>
      <c r="D9" s="12"/>
    </row>
    <row r="10" spans="1:6" ht="15" x14ac:dyDescent="0.2">
      <c r="A10" t="s">
        <v>12</v>
      </c>
      <c r="B10" s="2"/>
      <c r="C10" s="12" t="s">
        <v>68</v>
      </c>
      <c r="D10" s="12"/>
    </row>
    <row r="11" spans="1:6" x14ac:dyDescent="0.2">
      <c r="A11" t="s">
        <v>8</v>
      </c>
      <c r="C11" s="27" t="s">
        <v>69</v>
      </c>
      <c r="D11" s="27" t="s">
        <v>70</v>
      </c>
      <c r="E11" s="9"/>
    </row>
    <row r="12" spans="1:6" x14ac:dyDescent="0.2">
      <c r="C12" s="9"/>
      <c r="D12" s="9"/>
    </row>
    <row r="13" spans="1:6" ht="15.75" x14ac:dyDescent="0.25">
      <c r="A13" t="s">
        <v>10</v>
      </c>
      <c r="B13" s="2"/>
      <c r="C13" s="21" t="s">
        <v>71</v>
      </c>
      <c r="D13" s="21"/>
    </row>
    <row r="14" spans="1:6" ht="15.75" x14ac:dyDescent="0.25">
      <c r="A14" t="s">
        <v>11</v>
      </c>
      <c r="B14" s="2"/>
      <c r="C14" s="21" t="s">
        <v>77</v>
      </c>
      <c r="D14" s="21"/>
    </row>
    <row r="15" spans="1:6" ht="15.75" x14ac:dyDescent="0.25">
      <c r="A15" t="s">
        <v>12</v>
      </c>
      <c r="B15" s="2"/>
      <c r="C15" s="21" t="s">
        <v>24</v>
      </c>
      <c r="D15" t="s">
        <v>26</v>
      </c>
    </row>
    <row r="16" spans="1:6" x14ac:dyDescent="0.2">
      <c r="A16" t="s">
        <v>8</v>
      </c>
      <c r="C16" s="10" t="s">
        <v>13</v>
      </c>
      <c r="D16" s="10"/>
      <c r="E16" s="9"/>
    </row>
    <row r="17" spans="1:7" s="7" customFormat="1" ht="25.5" customHeight="1" x14ac:dyDescent="0.2">
      <c r="A17" s="8" t="s">
        <v>14</v>
      </c>
      <c r="B17" s="8" t="s">
        <v>15</v>
      </c>
      <c r="C17" s="8"/>
      <c r="D17" s="8"/>
      <c r="E17" s="8" t="s">
        <v>16</v>
      </c>
      <c r="F17" s="8" t="s">
        <v>17</v>
      </c>
      <c r="G17" s="8"/>
    </row>
    <row r="19" spans="1:7" s="7" customFormat="1" ht="12" x14ac:dyDescent="0.2">
      <c r="A19" s="25"/>
      <c r="B19" s="26"/>
      <c r="C19" s="23"/>
      <c r="D19" s="25"/>
      <c r="E19" s="25"/>
      <c r="F19" s="25"/>
    </row>
    <row r="20" spans="1:7" s="7" customFormat="1" ht="12" x14ac:dyDescent="0.2">
      <c r="A20" s="25">
        <v>4</v>
      </c>
      <c r="B20" s="26" t="s">
        <v>33</v>
      </c>
      <c r="C20" s="23" t="s">
        <v>34</v>
      </c>
      <c r="D20" s="25"/>
      <c r="E20" s="25">
        <v>50.58</v>
      </c>
      <c r="F20" s="25">
        <f>A20*E20</f>
        <v>202.32</v>
      </c>
    </row>
    <row r="21" spans="1:7" s="7" customFormat="1" ht="12" x14ac:dyDescent="0.2">
      <c r="A21" s="25">
        <v>2</v>
      </c>
      <c r="B21" s="26" t="s">
        <v>61</v>
      </c>
      <c r="C21" s="23" t="s">
        <v>37</v>
      </c>
      <c r="D21" s="25"/>
      <c r="E21" s="25">
        <v>140.83000000000001</v>
      </c>
      <c r="F21" s="25">
        <f>A21*E21</f>
        <v>281.66000000000003</v>
      </c>
    </row>
    <row r="22" spans="1:7" s="7" customFormat="1" ht="12.75" customHeight="1" x14ac:dyDescent="0.2">
      <c r="A22" s="25">
        <v>4</v>
      </c>
      <c r="B22" s="26" t="s">
        <v>44</v>
      </c>
      <c r="C22" s="23" t="s">
        <v>45</v>
      </c>
      <c r="D22" s="25"/>
      <c r="E22" s="25">
        <v>35.86</v>
      </c>
      <c r="F22" s="25">
        <f>A22*E22</f>
        <v>143.44</v>
      </c>
    </row>
    <row r="23" spans="1:7" s="7" customFormat="1" ht="12" x14ac:dyDescent="0.2">
      <c r="A23" s="25">
        <v>2</v>
      </c>
      <c r="B23" s="26" t="s">
        <v>46</v>
      </c>
      <c r="C23" s="23" t="s">
        <v>47</v>
      </c>
      <c r="D23" s="25"/>
      <c r="E23" s="25">
        <v>35.5</v>
      </c>
      <c r="F23" s="25">
        <f>A23*E23</f>
        <v>71</v>
      </c>
    </row>
    <row r="24" spans="1:7" s="7" customFormat="1" ht="12" x14ac:dyDescent="0.2">
      <c r="A24" s="25"/>
      <c r="B24" s="26"/>
      <c r="C24" s="23"/>
      <c r="D24" s="25"/>
      <c r="E24" s="25"/>
      <c r="F24" s="25"/>
    </row>
    <row r="25" spans="1:7" s="7" customFormat="1" ht="12" x14ac:dyDescent="0.2">
      <c r="A25" s="25"/>
      <c r="B25" s="26"/>
      <c r="C25" s="23"/>
      <c r="D25" s="25"/>
      <c r="E25" s="25"/>
      <c r="F25" s="25"/>
    </row>
    <row r="26" spans="1:7" s="7" customFormat="1" ht="12" x14ac:dyDescent="0.2">
      <c r="A26" s="25"/>
      <c r="B26" s="26"/>
      <c r="C26" s="23"/>
      <c r="D26" s="25"/>
      <c r="E26" s="25"/>
      <c r="F26" s="25"/>
    </row>
    <row r="27" spans="1:7" s="7" customFormat="1" ht="12" x14ac:dyDescent="0.2">
      <c r="A27" s="25"/>
      <c r="B27" s="26"/>
      <c r="C27" s="23"/>
      <c r="D27" s="25"/>
      <c r="E27" s="25"/>
      <c r="F27" s="25"/>
    </row>
    <row r="28" spans="1:7" s="7" customFormat="1" ht="12" x14ac:dyDescent="0.2">
      <c r="A28" s="25"/>
      <c r="B28" s="26"/>
      <c r="C28" s="23"/>
      <c r="D28" s="25"/>
      <c r="E28" s="25"/>
      <c r="F28" s="25"/>
    </row>
    <row r="29" spans="1:7" s="7" customFormat="1" ht="15.75" x14ac:dyDescent="0.25">
      <c r="B29" s="10"/>
      <c r="C29" s="21"/>
      <c r="D29" s="12"/>
      <c r="E29" s="12"/>
      <c r="F29" s="12"/>
    </row>
    <row r="30" spans="1:7" s="7" customFormat="1" x14ac:dyDescent="0.2">
      <c r="B30" s="10"/>
    </row>
    <row r="31" spans="1:7" s="7" customFormat="1" x14ac:dyDescent="0.2">
      <c r="B31" s="10"/>
      <c r="C31" s="10" t="s">
        <v>52</v>
      </c>
    </row>
    <row r="32" spans="1:7" s="7" customFormat="1" x14ac:dyDescent="0.2">
      <c r="B32" s="10"/>
    </row>
    <row r="33" spans="1:7" s="7" customFormat="1" x14ac:dyDescent="0.2">
      <c r="B33" s="10"/>
    </row>
    <row r="34" spans="1:7" s="7" customFormat="1" ht="11.25" x14ac:dyDescent="0.2"/>
    <row r="35" spans="1:7" s="6" customFormat="1" ht="18" x14ac:dyDescent="0.25">
      <c r="E35" s="15"/>
    </row>
    <row r="36" spans="1:7" s="9" customFormat="1" x14ac:dyDescent="0.2">
      <c r="B36" s="9" t="s">
        <v>18</v>
      </c>
      <c r="E36" s="10" t="s">
        <v>19</v>
      </c>
      <c r="F36" s="11">
        <f>SUM(F19:F35)</f>
        <v>698.42000000000007</v>
      </c>
      <c r="G36" s="14"/>
    </row>
    <row r="37" spans="1:7" ht="20.25" x14ac:dyDescent="0.3">
      <c r="A37" s="17"/>
      <c r="B37" s="18"/>
      <c r="C37" s="18"/>
      <c r="D37" s="19"/>
      <c r="E37" s="19"/>
      <c r="F37" s="19"/>
      <c r="G37" s="16"/>
    </row>
    <row r="38" spans="1:7" s="2" customFormat="1" x14ac:dyDescent="0.2">
      <c r="D38" s="22"/>
    </row>
    <row r="39" spans="1:7" x14ac:dyDescent="0.2">
      <c r="D39" s="13"/>
    </row>
  </sheetData>
  <phoneticPr fontId="18" type="noConversion"/>
  <hyperlinks>
    <hyperlink ref="C5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89EE-0C1F-42ED-89F6-3494DD2E4B5E}">
  <dimension ref="A1:G42"/>
  <sheetViews>
    <sheetView workbookViewId="0">
      <selection activeCell="B27" sqref="B27"/>
    </sheetView>
  </sheetViews>
  <sheetFormatPr defaultRowHeight="12.75" x14ac:dyDescent="0.2"/>
  <cols>
    <col min="1" max="1" width="6.42578125" customWidth="1"/>
    <col min="2" max="2" width="16.5703125" customWidth="1"/>
    <col min="3" max="3" width="29" customWidth="1"/>
    <col min="4" max="4" width="11" customWidth="1"/>
    <col min="5" max="5" width="9.85546875" customWidth="1"/>
    <col min="6" max="6" width="13.140625" customWidth="1"/>
  </cols>
  <sheetData>
    <row r="1" spans="1:6" ht="30" x14ac:dyDescent="0.4">
      <c r="B1" s="1"/>
      <c r="C1" s="1"/>
      <c r="E1" t="s">
        <v>0</v>
      </c>
      <c r="F1" s="6">
        <v>4052401</v>
      </c>
    </row>
    <row r="2" spans="1:6" ht="30" x14ac:dyDescent="0.4">
      <c r="A2" s="4"/>
      <c r="B2" s="5" t="s">
        <v>1</v>
      </c>
      <c r="C2" s="5"/>
      <c r="D2" s="4"/>
      <c r="E2" s="4"/>
    </row>
    <row r="3" spans="1:6" ht="23.25" x14ac:dyDescent="0.35">
      <c r="A3" t="s">
        <v>2</v>
      </c>
      <c r="B3" s="3" t="s">
        <v>27</v>
      </c>
      <c r="C3" s="3"/>
      <c r="D3" s="3"/>
      <c r="E3" t="s">
        <v>3</v>
      </c>
      <c r="F3" s="20">
        <v>45436</v>
      </c>
    </row>
    <row r="4" spans="1:6" x14ac:dyDescent="0.2">
      <c r="A4" t="s">
        <v>4</v>
      </c>
      <c r="E4" t="s">
        <v>5</v>
      </c>
      <c r="F4" s="42" t="s">
        <v>50</v>
      </c>
    </row>
    <row r="5" spans="1:6" x14ac:dyDescent="0.2">
      <c r="A5" t="s">
        <v>6</v>
      </c>
      <c r="C5" s="24" t="s">
        <v>28</v>
      </c>
      <c r="E5" t="s">
        <v>7</v>
      </c>
      <c r="F5" s="34" t="s">
        <v>32</v>
      </c>
    </row>
    <row r="6" spans="1:6" x14ac:dyDescent="0.2">
      <c r="A6" t="s">
        <v>8</v>
      </c>
      <c r="C6" s="27" t="s">
        <v>66</v>
      </c>
      <c r="E6" t="s">
        <v>9</v>
      </c>
      <c r="F6" s="37" t="s">
        <v>57</v>
      </c>
    </row>
    <row r="8" spans="1:6" ht="15.75" x14ac:dyDescent="0.25">
      <c r="A8" t="s">
        <v>20</v>
      </c>
      <c r="B8" s="2"/>
      <c r="C8" s="12" t="s">
        <v>72</v>
      </c>
      <c r="D8" s="31" t="s">
        <v>73</v>
      </c>
    </row>
    <row r="9" spans="1:6" ht="15" x14ac:dyDescent="0.2">
      <c r="A9" t="s">
        <v>11</v>
      </c>
      <c r="B9" s="2"/>
      <c r="C9" s="12" t="s">
        <v>78</v>
      </c>
      <c r="D9" s="12"/>
    </row>
    <row r="10" spans="1:6" ht="15" x14ac:dyDescent="0.2">
      <c r="A10" t="s">
        <v>12</v>
      </c>
      <c r="B10" s="2"/>
      <c r="C10" s="12" t="s">
        <v>79</v>
      </c>
      <c r="D10" s="12"/>
    </row>
    <row r="11" spans="1:6" x14ac:dyDescent="0.2">
      <c r="A11" t="s">
        <v>8</v>
      </c>
      <c r="C11" s="27" t="s">
        <v>69</v>
      </c>
      <c r="D11" s="27" t="s">
        <v>70</v>
      </c>
      <c r="E11" s="9"/>
    </row>
    <row r="12" spans="1:6" x14ac:dyDescent="0.2">
      <c r="C12" s="9"/>
      <c r="D12" s="9"/>
    </row>
    <row r="13" spans="1:6" ht="13.5" thickBot="1" x14ac:dyDescent="0.25">
      <c r="C13" s="9"/>
      <c r="D13" s="9"/>
    </row>
    <row r="14" spans="1:6" s="7" customFormat="1" ht="15.75" x14ac:dyDescent="0.25">
      <c r="A14" s="12" t="s">
        <v>10</v>
      </c>
      <c r="B14" s="2"/>
      <c r="C14" s="47" t="s">
        <v>100</v>
      </c>
      <c r="D14" s="48"/>
    </row>
    <row r="15" spans="1:6" s="7" customFormat="1" ht="15.75" x14ac:dyDescent="0.25">
      <c r="B15" s="2"/>
      <c r="C15" s="49" t="s">
        <v>101</v>
      </c>
      <c r="D15" s="50"/>
    </row>
    <row r="16" spans="1:6" s="7" customFormat="1" ht="15.75" x14ac:dyDescent="0.25">
      <c r="B16" s="2"/>
      <c r="C16" s="43" t="s">
        <v>105</v>
      </c>
      <c r="D16" s="44"/>
    </row>
    <row r="17" spans="1:7" s="7" customFormat="1" ht="15.75" x14ac:dyDescent="0.25">
      <c r="B17" s="2"/>
      <c r="C17" s="49" t="s">
        <v>102</v>
      </c>
      <c r="D17" s="50"/>
    </row>
    <row r="18" spans="1:7" s="7" customFormat="1" ht="15.75" x14ac:dyDescent="0.25">
      <c r="B18" s="2"/>
      <c r="C18" s="49" t="s">
        <v>103</v>
      </c>
      <c r="D18" s="50"/>
    </row>
    <row r="19" spans="1:7" s="7" customFormat="1" ht="15.75" x14ac:dyDescent="0.25">
      <c r="B19" s="2"/>
      <c r="C19" s="49" t="s">
        <v>104</v>
      </c>
      <c r="D19" s="50"/>
    </row>
    <row r="20" spans="1:7" ht="15.75" thickBot="1" x14ac:dyDescent="0.25">
      <c r="C20" s="45"/>
      <c r="D20" s="46"/>
      <c r="E20" s="27"/>
    </row>
    <row r="21" spans="1:7" s="7" customFormat="1" ht="25.5" customHeight="1" x14ac:dyDescent="0.2">
      <c r="A21" s="8" t="s">
        <v>14</v>
      </c>
      <c r="B21" s="8" t="s">
        <v>15</v>
      </c>
      <c r="C21" s="8"/>
      <c r="D21" s="8"/>
      <c r="E21" s="8" t="s">
        <v>16</v>
      </c>
      <c r="F21" s="8" t="s">
        <v>17</v>
      </c>
      <c r="G21" s="8"/>
    </row>
    <row r="23" spans="1:7" s="7" customFormat="1" ht="12.75" customHeight="1" x14ac:dyDescent="0.2">
      <c r="A23" s="25">
        <v>6</v>
      </c>
      <c r="B23" s="26" t="s">
        <v>44</v>
      </c>
      <c r="C23" s="23" t="s">
        <v>45</v>
      </c>
      <c r="D23" s="25"/>
      <c r="E23" s="25">
        <v>35.86</v>
      </c>
      <c r="F23" s="25">
        <f>A23*E23</f>
        <v>215.16</v>
      </c>
    </row>
    <row r="24" spans="1:7" s="7" customFormat="1" ht="12" x14ac:dyDescent="0.2">
      <c r="A24" s="25"/>
      <c r="B24" s="26"/>
      <c r="C24" s="23"/>
      <c r="D24" s="25"/>
      <c r="E24" s="25"/>
      <c r="F24" s="25"/>
    </row>
    <row r="25" spans="1:7" s="7" customFormat="1" ht="12" x14ac:dyDescent="0.2">
      <c r="A25" s="25"/>
      <c r="B25" s="23"/>
      <c r="C25" s="23"/>
      <c r="D25" s="25"/>
      <c r="E25" s="25"/>
      <c r="F25" s="25"/>
    </row>
    <row r="26" spans="1:7" s="7" customFormat="1" ht="12" x14ac:dyDescent="0.2">
      <c r="A26" s="25"/>
      <c r="B26" s="26"/>
      <c r="C26" s="23"/>
      <c r="D26" s="25"/>
      <c r="E26" s="25"/>
      <c r="F26" s="25"/>
    </row>
    <row r="27" spans="1:7" s="7" customFormat="1" ht="15.75" x14ac:dyDescent="0.25">
      <c r="B27" s="10"/>
      <c r="C27" s="21" t="s">
        <v>82</v>
      </c>
    </row>
    <row r="28" spans="1:7" s="7" customFormat="1" ht="15.75" x14ac:dyDescent="0.25">
      <c r="B28" s="10"/>
      <c r="C28" s="21"/>
    </row>
    <row r="29" spans="1:7" s="7" customFormat="1" ht="15.75" x14ac:dyDescent="0.25">
      <c r="B29" s="10"/>
      <c r="C29" s="21"/>
      <c r="D29" s="12"/>
      <c r="E29" s="12"/>
      <c r="F29" s="12"/>
    </row>
    <row r="30" spans="1:7" s="7" customFormat="1" x14ac:dyDescent="0.2">
      <c r="B30" s="10"/>
    </row>
    <row r="31" spans="1:7" s="7" customFormat="1" x14ac:dyDescent="0.2">
      <c r="B31" s="10"/>
      <c r="C31" s="10" t="s">
        <v>52</v>
      </c>
    </row>
    <row r="32" spans="1:7" s="7" customFormat="1" x14ac:dyDescent="0.2">
      <c r="B32" s="10"/>
    </row>
    <row r="33" spans="1:7" s="7" customFormat="1" ht="15.75" x14ac:dyDescent="0.25">
      <c r="B33" s="10"/>
      <c r="C33" s="21"/>
      <c r="D33" s="12"/>
      <c r="E33" s="12"/>
      <c r="F33" s="12"/>
    </row>
    <row r="34" spans="1:7" s="7" customFormat="1" x14ac:dyDescent="0.2">
      <c r="B34" s="10"/>
    </row>
    <row r="36" spans="1:7" s="7" customFormat="1" x14ac:dyDescent="0.2">
      <c r="B36" s="10"/>
    </row>
    <row r="37" spans="1:7" s="7" customFormat="1" ht="11.25" x14ac:dyDescent="0.2"/>
    <row r="38" spans="1:7" s="6" customFormat="1" ht="18" x14ac:dyDescent="0.25">
      <c r="E38" s="15"/>
    </row>
    <row r="39" spans="1:7" s="9" customFormat="1" x14ac:dyDescent="0.2">
      <c r="B39" s="9" t="s">
        <v>18</v>
      </c>
      <c r="D39" s="10" t="s">
        <v>19</v>
      </c>
      <c r="E39" s="9" t="s">
        <v>18</v>
      </c>
      <c r="F39" s="11">
        <f>SUM(F23:F38)</f>
        <v>215.16</v>
      </c>
      <c r="G39" s="14"/>
    </row>
    <row r="40" spans="1:7" ht="20.25" x14ac:dyDescent="0.3">
      <c r="A40" s="17"/>
      <c r="B40" s="18"/>
      <c r="C40" s="18"/>
      <c r="D40" s="19"/>
      <c r="E40" s="19"/>
      <c r="F40" s="41" t="s">
        <v>84</v>
      </c>
      <c r="G40" s="16"/>
    </row>
    <row r="41" spans="1:7" s="2" customFormat="1" x14ac:dyDescent="0.2">
      <c r="D41" s="22"/>
    </row>
    <row r="42" spans="1:7" x14ac:dyDescent="0.2">
      <c r="D42" s="13"/>
    </row>
  </sheetData>
  <mergeCells count="6">
    <mergeCell ref="C20:D20"/>
    <mergeCell ref="C14:D14"/>
    <mergeCell ref="C15:D15"/>
    <mergeCell ref="C17:D17"/>
    <mergeCell ref="C18:D18"/>
    <mergeCell ref="C19:D19"/>
  </mergeCells>
  <hyperlinks>
    <hyperlink ref="C5" r:id="rId1" xr:uid="{74822D07-8A63-4041-9DB4-E2D03C7962D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C7C1-354C-4F4C-8C21-4075469B733F}">
  <dimension ref="A1:H41"/>
  <sheetViews>
    <sheetView workbookViewId="0">
      <selection activeCell="F13" sqref="F13"/>
    </sheetView>
  </sheetViews>
  <sheetFormatPr defaultRowHeight="12.75" x14ac:dyDescent="0.2"/>
  <cols>
    <col min="1" max="1" width="6.42578125" customWidth="1"/>
    <col min="2" max="2" width="16.5703125" customWidth="1"/>
    <col min="3" max="3" width="29" customWidth="1"/>
    <col min="4" max="4" width="11" customWidth="1"/>
    <col min="5" max="5" width="9.85546875" customWidth="1"/>
    <col min="6" max="6" width="13.140625" customWidth="1"/>
  </cols>
  <sheetData>
    <row r="1" spans="1:6" ht="30" x14ac:dyDescent="0.4">
      <c r="B1" s="1"/>
      <c r="C1" s="1"/>
      <c r="E1" t="s">
        <v>0</v>
      </c>
      <c r="F1" s="6">
        <v>4051601</v>
      </c>
    </row>
    <row r="2" spans="1:6" ht="30" x14ac:dyDescent="0.4">
      <c r="A2" s="4"/>
      <c r="B2" s="5" t="s">
        <v>1</v>
      </c>
      <c r="C2" s="5"/>
      <c r="D2" s="4"/>
      <c r="E2" s="4"/>
    </row>
    <row r="3" spans="1:6" ht="23.25" x14ac:dyDescent="0.35">
      <c r="A3" t="s">
        <v>2</v>
      </c>
      <c r="B3" s="3" t="s">
        <v>27</v>
      </c>
      <c r="C3" s="3"/>
      <c r="D3" s="3"/>
      <c r="E3" t="s">
        <v>3</v>
      </c>
      <c r="F3" s="20">
        <v>45428</v>
      </c>
    </row>
    <row r="4" spans="1:6" x14ac:dyDescent="0.2">
      <c r="A4" t="s">
        <v>4</v>
      </c>
      <c r="E4" t="s">
        <v>5</v>
      </c>
      <c r="F4" s="42" t="s">
        <v>50</v>
      </c>
    </row>
    <row r="5" spans="1:6" x14ac:dyDescent="0.2">
      <c r="A5" t="s">
        <v>6</v>
      </c>
      <c r="C5" s="24" t="s">
        <v>28</v>
      </c>
      <c r="E5" t="s">
        <v>7</v>
      </c>
      <c r="F5" s="34" t="s">
        <v>32</v>
      </c>
    </row>
    <row r="6" spans="1:6" x14ac:dyDescent="0.2">
      <c r="A6" t="s">
        <v>8</v>
      </c>
      <c r="C6" s="27" t="s">
        <v>66</v>
      </c>
      <c r="E6" t="s">
        <v>9</v>
      </c>
      <c r="F6" s="37" t="s">
        <v>57</v>
      </c>
    </row>
    <row r="8" spans="1:6" ht="15.75" x14ac:dyDescent="0.25">
      <c r="A8" t="s">
        <v>20</v>
      </c>
      <c r="B8" s="2"/>
      <c r="C8" s="12" t="s">
        <v>72</v>
      </c>
      <c r="D8" s="31" t="s">
        <v>73</v>
      </c>
    </row>
    <row r="9" spans="1:6" ht="15" x14ac:dyDescent="0.2">
      <c r="A9" t="s">
        <v>11</v>
      </c>
      <c r="B9" s="2"/>
      <c r="C9" s="12" t="s">
        <v>78</v>
      </c>
      <c r="D9" s="12"/>
    </row>
    <row r="10" spans="1:6" ht="15" x14ac:dyDescent="0.2">
      <c r="A10" t="s">
        <v>12</v>
      </c>
      <c r="B10" s="2"/>
      <c r="C10" s="12" t="s">
        <v>79</v>
      </c>
      <c r="D10" s="12"/>
    </row>
    <row r="11" spans="1:6" x14ac:dyDescent="0.2">
      <c r="A11" t="s">
        <v>8</v>
      </c>
      <c r="C11" s="27" t="s">
        <v>69</v>
      </c>
      <c r="D11" s="27" t="s">
        <v>70</v>
      </c>
      <c r="E11" s="9"/>
    </row>
    <row r="12" spans="1:6" x14ac:dyDescent="0.2">
      <c r="C12" s="9"/>
      <c r="D12" s="9"/>
    </row>
    <row r="13" spans="1:6" ht="13.5" thickBot="1" x14ac:dyDescent="0.25">
      <c r="C13" s="9"/>
      <c r="D13" s="9"/>
    </row>
    <row r="14" spans="1:6" s="7" customFormat="1" ht="15.75" x14ac:dyDescent="0.25">
      <c r="A14" s="12" t="s">
        <v>10</v>
      </c>
      <c r="B14" s="2"/>
      <c r="C14" s="47" t="s">
        <v>106</v>
      </c>
      <c r="D14" s="48"/>
    </row>
    <row r="15" spans="1:6" s="7" customFormat="1" ht="15.75" x14ac:dyDescent="0.25">
      <c r="B15" s="2"/>
      <c r="C15" s="49" t="s">
        <v>107</v>
      </c>
      <c r="D15" s="50"/>
    </row>
    <row r="16" spans="1:6" s="7" customFormat="1" ht="15.75" x14ac:dyDescent="0.25">
      <c r="B16" s="2"/>
      <c r="C16" s="49" t="s">
        <v>108</v>
      </c>
      <c r="D16" s="50"/>
    </row>
    <row r="17" spans="1:8" s="7" customFormat="1" ht="15.75" x14ac:dyDescent="0.25">
      <c r="B17" s="2"/>
      <c r="C17" s="49" t="s">
        <v>109</v>
      </c>
      <c r="D17" s="50"/>
      <c r="H17" s="7" t="s">
        <v>111</v>
      </c>
    </row>
    <row r="18" spans="1:8" s="7" customFormat="1" ht="15.75" x14ac:dyDescent="0.25">
      <c r="B18" s="2"/>
      <c r="C18" s="49" t="s">
        <v>110</v>
      </c>
      <c r="D18" s="50"/>
    </row>
    <row r="19" spans="1:8" ht="15.75" thickBot="1" x14ac:dyDescent="0.25">
      <c r="C19" s="45"/>
      <c r="D19" s="46"/>
      <c r="E19" s="27"/>
    </row>
    <row r="20" spans="1:8" s="7" customFormat="1" ht="25.5" customHeight="1" x14ac:dyDescent="0.2">
      <c r="A20" s="8" t="s">
        <v>14</v>
      </c>
      <c r="B20" s="8" t="s">
        <v>15</v>
      </c>
      <c r="C20" s="8"/>
      <c r="D20" s="8"/>
      <c r="E20" s="8" t="s">
        <v>16</v>
      </c>
      <c r="F20" s="8" t="s">
        <v>17</v>
      </c>
      <c r="G20" s="8"/>
    </row>
    <row r="22" spans="1:8" s="7" customFormat="1" ht="12" x14ac:dyDescent="0.2">
      <c r="A22" s="25">
        <v>6</v>
      </c>
      <c r="B22" s="26" t="s">
        <v>33</v>
      </c>
      <c r="C22" s="23" t="s">
        <v>34</v>
      </c>
      <c r="D22" s="25"/>
      <c r="E22" s="25">
        <v>50.58</v>
      </c>
      <c r="F22" s="25">
        <f>A22*E22</f>
        <v>303.48</v>
      </c>
    </row>
    <row r="23" spans="1:8" s="7" customFormat="1" ht="12" x14ac:dyDescent="0.2">
      <c r="A23" s="25"/>
      <c r="B23" s="26"/>
      <c r="C23" s="23"/>
      <c r="D23" s="25"/>
      <c r="E23" s="25"/>
      <c r="F23" s="25"/>
    </row>
    <row r="24" spans="1:8" s="7" customFormat="1" ht="12" x14ac:dyDescent="0.2">
      <c r="A24" s="25"/>
      <c r="B24" s="23"/>
      <c r="C24" s="23"/>
      <c r="D24" s="25"/>
      <c r="E24" s="25"/>
      <c r="F24" s="25"/>
    </row>
    <row r="25" spans="1:8" s="7" customFormat="1" ht="12" x14ac:dyDescent="0.2">
      <c r="A25" s="25"/>
      <c r="B25" s="26"/>
      <c r="C25" s="23"/>
      <c r="D25" s="25"/>
      <c r="E25" s="25"/>
      <c r="F25" s="25"/>
    </row>
    <row r="26" spans="1:8" s="7" customFormat="1" ht="15.75" x14ac:dyDescent="0.25">
      <c r="B26" s="10"/>
      <c r="C26" s="21" t="s">
        <v>82</v>
      </c>
    </row>
    <row r="27" spans="1:8" s="7" customFormat="1" ht="15.75" x14ac:dyDescent="0.25">
      <c r="B27" s="10"/>
      <c r="C27" s="21"/>
    </row>
    <row r="28" spans="1:8" s="7" customFormat="1" ht="15.75" x14ac:dyDescent="0.25">
      <c r="B28" s="10"/>
      <c r="C28" s="21" t="s">
        <v>83</v>
      </c>
      <c r="D28" s="12"/>
      <c r="E28" s="12"/>
      <c r="F28" s="12"/>
    </row>
    <row r="29" spans="1:8" s="7" customFormat="1" x14ac:dyDescent="0.2">
      <c r="B29" s="10"/>
    </row>
    <row r="30" spans="1:8" s="7" customFormat="1" x14ac:dyDescent="0.2">
      <c r="B30" s="10"/>
      <c r="C30" s="10" t="s">
        <v>52</v>
      </c>
    </row>
    <row r="31" spans="1:8" s="7" customFormat="1" x14ac:dyDescent="0.2">
      <c r="B31" s="10"/>
    </row>
    <row r="32" spans="1:8" s="7" customFormat="1" ht="15.75" x14ac:dyDescent="0.25">
      <c r="B32" s="10"/>
      <c r="C32" s="21"/>
      <c r="D32" s="12"/>
      <c r="E32" s="12"/>
      <c r="F32" s="12"/>
    </row>
    <row r="33" spans="1:7" s="7" customFormat="1" x14ac:dyDescent="0.2">
      <c r="B33" s="10"/>
    </row>
    <row r="35" spans="1:7" s="7" customFormat="1" x14ac:dyDescent="0.2">
      <c r="B35" s="10"/>
    </row>
    <row r="36" spans="1:7" s="7" customFormat="1" ht="11.25" x14ac:dyDescent="0.2"/>
    <row r="37" spans="1:7" s="6" customFormat="1" ht="18" x14ac:dyDescent="0.25">
      <c r="E37" s="15"/>
    </row>
    <row r="38" spans="1:7" s="9" customFormat="1" x14ac:dyDescent="0.2">
      <c r="B38" s="9" t="s">
        <v>18</v>
      </c>
      <c r="D38" s="10" t="s">
        <v>19</v>
      </c>
      <c r="E38" s="9" t="s">
        <v>18</v>
      </c>
      <c r="F38" s="11">
        <f>SUM(F22:F37)</f>
        <v>303.48</v>
      </c>
      <c r="G38" s="14"/>
    </row>
    <row r="39" spans="1:7" ht="20.25" x14ac:dyDescent="0.3">
      <c r="A39" s="17"/>
      <c r="B39" s="18"/>
      <c r="C39" s="18"/>
      <c r="D39" s="19"/>
      <c r="E39" s="19"/>
      <c r="F39" s="41" t="s">
        <v>84</v>
      </c>
      <c r="G39" s="16"/>
    </row>
    <row r="40" spans="1:7" s="2" customFormat="1" x14ac:dyDescent="0.2">
      <c r="D40" s="22"/>
    </row>
    <row r="41" spans="1:7" x14ac:dyDescent="0.2">
      <c r="D41" s="13"/>
    </row>
  </sheetData>
  <mergeCells count="6">
    <mergeCell ref="C19:D19"/>
    <mergeCell ref="C14:D14"/>
    <mergeCell ref="C15:D15"/>
    <mergeCell ref="C16:D16"/>
    <mergeCell ref="C17:D17"/>
    <mergeCell ref="C18:D18"/>
  </mergeCells>
  <hyperlinks>
    <hyperlink ref="C5" r:id="rId1" xr:uid="{D1465051-A372-4B48-B094-4BD5BB25742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EA8B-7B46-4FD2-88A1-22D1C24B675C}">
  <dimension ref="A1:G41"/>
  <sheetViews>
    <sheetView tabSelected="1" workbookViewId="0">
      <selection activeCell="F4" sqref="F4"/>
    </sheetView>
  </sheetViews>
  <sheetFormatPr defaultRowHeight="12.75" x14ac:dyDescent="0.2"/>
  <cols>
    <col min="1" max="1" width="6.42578125" customWidth="1"/>
    <col min="2" max="2" width="16.5703125" customWidth="1"/>
    <col min="3" max="3" width="29" customWidth="1"/>
    <col min="4" max="4" width="11" customWidth="1"/>
    <col min="5" max="5" width="9.85546875" customWidth="1"/>
    <col min="6" max="6" width="13.140625" customWidth="1"/>
  </cols>
  <sheetData>
    <row r="1" spans="1:6" ht="30" x14ac:dyDescent="0.4">
      <c r="B1" s="1"/>
      <c r="C1" s="1"/>
      <c r="E1" t="s">
        <v>0</v>
      </c>
      <c r="F1" s="6">
        <v>4052801</v>
      </c>
    </row>
    <row r="2" spans="1:6" ht="30" x14ac:dyDescent="0.4">
      <c r="A2" s="4"/>
      <c r="B2" s="5" t="s">
        <v>1</v>
      </c>
      <c r="C2" s="5"/>
      <c r="D2" s="4"/>
      <c r="E2" s="4"/>
    </row>
    <row r="3" spans="1:6" ht="23.25" x14ac:dyDescent="0.35">
      <c r="A3" t="s">
        <v>2</v>
      </c>
      <c r="B3" s="3" t="s">
        <v>27</v>
      </c>
      <c r="C3" s="3"/>
      <c r="D3" s="3"/>
      <c r="E3" t="s">
        <v>3</v>
      </c>
      <c r="F3" s="20">
        <v>45440</v>
      </c>
    </row>
    <row r="4" spans="1:6" x14ac:dyDescent="0.2">
      <c r="A4" t="s">
        <v>4</v>
      </c>
      <c r="E4" t="s">
        <v>5</v>
      </c>
      <c r="F4" s="42" t="s">
        <v>50</v>
      </c>
    </row>
    <row r="5" spans="1:6" x14ac:dyDescent="0.2">
      <c r="A5" t="s">
        <v>6</v>
      </c>
      <c r="C5" s="24" t="s">
        <v>28</v>
      </c>
      <c r="E5" t="s">
        <v>7</v>
      </c>
      <c r="F5" s="34" t="s">
        <v>32</v>
      </c>
    </row>
    <row r="6" spans="1:6" x14ac:dyDescent="0.2">
      <c r="A6" t="s">
        <v>8</v>
      </c>
      <c r="C6" s="27" t="s">
        <v>66</v>
      </c>
      <c r="E6" t="s">
        <v>9</v>
      </c>
      <c r="F6" s="37" t="s">
        <v>57</v>
      </c>
    </row>
    <row r="8" spans="1:6" ht="15.75" x14ac:dyDescent="0.25">
      <c r="A8" t="s">
        <v>20</v>
      </c>
      <c r="B8" s="2"/>
      <c r="C8" s="12" t="s">
        <v>72</v>
      </c>
      <c r="D8" s="31" t="s">
        <v>73</v>
      </c>
    </row>
    <row r="9" spans="1:6" ht="15" x14ac:dyDescent="0.2">
      <c r="A9" t="s">
        <v>11</v>
      </c>
      <c r="B9" s="2"/>
      <c r="C9" s="12" t="s">
        <v>78</v>
      </c>
      <c r="D9" s="12"/>
    </row>
    <row r="10" spans="1:6" ht="15" x14ac:dyDescent="0.2">
      <c r="A10" t="s">
        <v>12</v>
      </c>
      <c r="B10" s="2"/>
      <c r="C10" s="12" t="s">
        <v>79</v>
      </c>
      <c r="D10" s="12"/>
    </row>
    <row r="11" spans="1:6" x14ac:dyDescent="0.2">
      <c r="A11" t="s">
        <v>8</v>
      </c>
      <c r="C11" s="27" t="s">
        <v>69</v>
      </c>
      <c r="D11" s="27" t="s">
        <v>70</v>
      </c>
      <c r="E11" s="9"/>
    </row>
    <row r="12" spans="1:6" x14ac:dyDescent="0.2">
      <c r="C12" s="9"/>
      <c r="D12" s="9"/>
    </row>
    <row r="13" spans="1:6" ht="13.5" thickBot="1" x14ac:dyDescent="0.25">
      <c r="C13" s="9"/>
      <c r="D13" s="9"/>
    </row>
    <row r="14" spans="1:6" s="7" customFormat="1" ht="15.75" x14ac:dyDescent="0.25">
      <c r="A14" s="12" t="s">
        <v>10</v>
      </c>
      <c r="B14" s="2"/>
      <c r="C14" s="47" t="s">
        <v>90</v>
      </c>
      <c r="D14" s="48"/>
    </row>
    <row r="15" spans="1:6" s="7" customFormat="1" ht="15.75" x14ac:dyDescent="0.25">
      <c r="B15" s="2"/>
      <c r="C15" s="49" t="s">
        <v>91</v>
      </c>
      <c r="D15" s="50"/>
    </row>
    <row r="16" spans="1:6" s="7" customFormat="1" ht="15.75" x14ac:dyDescent="0.25">
      <c r="B16" s="2"/>
      <c r="C16" s="49" t="s">
        <v>92</v>
      </c>
      <c r="D16" s="50"/>
    </row>
    <row r="17" spans="1:7" s="7" customFormat="1" ht="15.75" x14ac:dyDescent="0.25">
      <c r="B17" s="2"/>
      <c r="C17" s="49" t="s">
        <v>93</v>
      </c>
      <c r="D17" s="50"/>
    </row>
    <row r="18" spans="1:7" s="7" customFormat="1" ht="15.75" x14ac:dyDescent="0.25">
      <c r="B18" s="2"/>
      <c r="C18" s="49" t="s">
        <v>94</v>
      </c>
      <c r="D18" s="50"/>
    </row>
    <row r="19" spans="1:7" ht="15.75" thickBot="1" x14ac:dyDescent="0.25">
      <c r="C19" s="45"/>
      <c r="D19" s="46"/>
      <c r="E19" s="27"/>
    </row>
    <row r="20" spans="1:7" s="7" customFormat="1" ht="25.5" customHeight="1" x14ac:dyDescent="0.2">
      <c r="A20" s="8" t="s">
        <v>14</v>
      </c>
      <c r="B20" s="8" t="s">
        <v>15</v>
      </c>
      <c r="C20" s="8"/>
      <c r="D20" s="8"/>
      <c r="E20" s="8" t="s">
        <v>16</v>
      </c>
      <c r="F20" s="8" t="s">
        <v>17</v>
      </c>
      <c r="G20" s="8"/>
    </row>
    <row r="22" spans="1:7" s="7" customFormat="1" ht="12" x14ac:dyDescent="0.2">
      <c r="A22" s="25">
        <v>12</v>
      </c>
      <c r="B22" s="26">
        <v>1477</v>
      </c>
      <c r="C22" s="23" t="s">
        <v>51</v>
      </c>
      <c r="D22" s="25"/>
      <c r="E22" s="25">
        <v>39.44</v>
      </c>
      <c r="F22" s="25">
        <f>A22*E22</f>
        <v>473.28</v>
      </c>
    </row>
    <row r="23" spans="1:7" s="7" customFormat="1" ht="12" x14ac:dyDescent="0.2">
      <c r="A23" s="25"/>
      <c r="B23" s="26"/>
      <c r="C23" s="23"/>
      <c r="D23" s="25"/>
      <c r="E23" s="25"/>
      <c r="F23" s="25"/>
    </row>
    <row r="24" spans="1:7" s="7" customFormat="1" ht="12" x14ac:dyDescent="0.2">
      <c r="A24" s="25"/>
      <c r="B24" s="23"/>
      <c r="C24" s="23"/>
      <c r="D24" s="25"/>
      <c r="E24" s="25"/>
      <c r="F24" s="25"/>
    </row>
    <row r="25" spans="1:7" s="7" customFormat="1" ht="12" x14ac:dyDescent="0.2">
      <c r="A25" s="25"/>
      <c r="B25" s="26"/>
      <c r="C25" s="23"/>
      <c r="D25" s="25"/>
      <c r="E25" s="25"/>
      <c r="F25" s="25"/>
    </row>
    <row r="26" spans="1:7" s="7" customFormat="1" ht="15.75" x14ac:dyDescent="0.25">
      <c r="B26" s="10"/>
      <c r="C26" s="21" t="s">
        <v>82</v>
      </c>
    </row>
    <row r="27" spans="1:7" s="7" customFormat="1" ht="15.75" x14ac:dyDescent="0.25">
      <c r="B27" s="10"/>
      <c r="C27" s="21"/>
    </row>
    <row r="28" spans="1:7" s="7" customFormat="1" ht="15.75" x14ac:dyDescent="0.25">
      <c r="B28" s="10"/>
      <c r="C28" s="21" t="s">
        <v>83</v>
      </c>
      <c r="D28" s="12"/>
      <c r="E28" s="12"/>
      <c r="F28" s="12"/>
    </row>
    <row r="29" spans="1:7" s="7" customFormat="1" x14ac:dyDescent="0.2">
      <c r="B29" s="10"/>
    </row>
    <row r="30" spans="1:7" s="7" customFormat="1" x14ac:dyDescent="0.2">
      <c r="B30" s="10"/>
      <c r="C30" s="10" t="s">
        <v>52</v>
      </c>
    </row>
    <row r="31" spans="1:7" s="7" customFormat="1" x14ac:dyDescent="0.2">
      <c r="B31" s="10"/>
    </row>
    <row r="32" spans="1:7" s="7" customFormat="1" ht="15.75" x14ac:dyDescent="0.25">
      <c r="B32" s="10"/>
      <c r="C32" s="21"/>
      <c r="D32" s="12"/>
      <c r="E32" s="12"/>
      <c r="F32" s="12"/>
    </row>
    <row r="33" spans="1:7" s="7" customFormat="1" x14ac:dyDescent="0.2">
      <c r="B33" s="10"/>
    </row>
    <row r="35" spans="1:7" s="7" customFormat="1" x14ac:dyDescent="0.2">
      <c r="B35" s="10"/>
    </row>
    <row r="36" spans="1:7" s="7" customFormat="1" ht="11.25" x14ac:dyDescent="0.2"/>
    <row r="37" spans="1:7" s="6" customFormat="1" ht="18" x14ac:dyDescent="0.25">
      <c r="E37" s="15"/>
    </row>
    <row r="38" spans="1:7" s="9" customFormat="1" x14ac:dyDescent="0.2">
      <c r="B38" s="9" t="s">
        <v>18</v>
      </c>
      <c r="D38" s="10" t="s">
        <v>19</v>
      </c>
      <c r="E38" s="9" t="s">
        <v>18</v>
      </c>
      <c r="F38" s="11">
        <f>SUM(F22:F37)</f>
        <v>473.28</v>
      </c>
      <c r="G38" s="14"/>
    </row>
    <row r="39" spans="1:7" ht="20.25" x14ac:dyDescent="0.3">
      <c r="A39" s="17"/>
      <c r="B39" s="18"/>
      <c r="C39" s="18"/>
      <c r="D39" s="19"/>
      <c r="E39" s="19"/>
      <c r="F39" s="41" t="s">
        <v>84</v>
      </c>
      <c r="G39" s="16"/>
    </row>
    <row r="40" spans="1:7" s="2" customFormat="1" x14ac:dyDescent="0.2">
      <c r="D40" s="22"/>
    </row>
    <row r="41" spans="1:7" x14ac:dyDescent="0.2">
      <c r="D41" s="13"/>
    </row>
  </sheetData>
  <mergeCells count="6">
    <mergeCell ref="C19:D19"/>
    <mergeCell ref="C14:D14"/>
    <mergeCell ref="C15:D15"/>
    <mergeCell ref="C16:D16"/>
    <mergeCell ref="C17:D17"/>
    <mergeCell ref="C18:D18"/>
  </mergeCells>
  <hyperlinks>
    <hyperlink ref="C5" r:id="rId1" xr:uid="{F18B7122-17C8-4819-8D89-43193451AEC1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AE32-D721-4DBD-B8D3-FBF0B1C7DDB5}">
  <dimension ref="A1:G41"/>
  <sheetViews>
    <sheetView workbookViewId="0">
      <selection activeCell="K19" sqref="K19"/>
    </sheetView>
  </sheetViews>
  <sheetFormatPr defaultRowHeight="12.75" x14ac:dyDescent="0.2"/>
  <cols>
    <col min="1" max="1" width="6.42578125" customWidth="1"/>
    <col min="2" max="2" width="16.5703125" customWidth="1"/>
    <col min="3" max="3" width="29" customWidth="1"/>
    <col min="4" max="4" width="11" customWidth="1"/>
    <col min="5" max="5" width="9.85546875" customWidth="1"/>
    <col min="6" max="6" width="13.140625" customWidth="1"/>
  </cols>
  <sheetData>
    <row r="1" spans="1:6" ht="30" x14ac:dyDescent="0.4">
      <c r="B1" s="1"/>
      <c r="C1" s="1"/>
      <c r="E1" t="s">
        <v>0</v>
      </c>
      <c r="F1" s="6">
        <v>4040801</v>
      </c>
    </row>
    <row r="2" spans="1:6" ht="30" x14ac:dyDescent="0.4">
      <c r="A2" s="4"/>
      <c r="B2" s="5" t="s">
        <v>1</v>
      </c>
      <c r="C2" s="5"/>
      <c r="D2" s="4"/>
      <c r="E2" s="4"/>
    </row>
    <row r="3" spans="1:6" ht="23.25" x14ac:dyDescent="0.35">
      <c r="A3" t="s">
        <v>2</v>
      </c>
      <c r="B3" s="3" t="s">
        <v>27</v>
      </c>
      <c r="C3" s="3"/>
      <c r="D3" s="3"/>
      <c r="E3" t="s">
        <v>3</v>
      </c>
      <c r="F3" s="20">
        <v>45390</v>
      </c>
    </row>
    <row r="4" spans="1:6" x14ac:dyDescent="0.2">
      <c r="A4" t="s">
        <v>4</v>
      </c>
      <c r="E4" t="s">
        <v>5</v>
      </c>
      <c r="F4" s="42" t="s">
        <v>50</v>
      </c>
    </row>
    <row r="5" spans="1:6" x14ac:dyDescent="0.2">
      <c r="A5" t="s">
        <v>6</v>
      </c>
      <c r="C5" s="24" t="s">
        <v>28</v>
      </c>
      <c r="E5" t="s">
        <v>7</v>
      </c>
      <c r="F5" s="34" t="s">
        <v>32</v>
      </c>
    </row>
    <row r="6" spans="1:6" x14ac:dyDescent="0.2">
      <c r="A6" t="s">
        <v>8</v>
      </c>
      <c r="C6" s="27" t="s">
        <v>66</v>
      </c>
      <c r="E6" t="s">
        <v>9</v>
      </c>
      <c r="F6" s="37" t="s">
        <v>57</v>
      </c>
    </row>
    <row r="8" spans="1:6" ht="15.75" x14ac:dyDescent="0.25">
      <c r="A8" t="s">
        <v>20</v>
      </c>
      <c r="B8" s="2"/>
      <c r="C8" s="12" t="s">
        <v>72</v>
      </c>
      <c r="D8" s="31" t="s">
        <v>73</v>
      </c>
    </row>
    <row r="9" spans="1:6" ht="15" x14ac:dyDescent="0.2">
      <c r="A9" t="s">
        <v>11</v>
      </c>
      <c r="B9" s="2"/>
      <c r="C9" s="12" t="s">
        <v>78</v>
      </c>
      <c r="D9" s="12"/>
    </row>
    <row r="10" spans="1:6" ht="15" x14ac:dyDescent="0.2">
      <c r="A10" t="s">
        <v>12</v>
      </c>
      <c r="B10" s="2"/>
      <c r="C10" s="12" t="s">
        <v>79</v>
      </c>
      <c r="D10" s="12"/>
    </row>
    <row r="11" spans="1:6" x14ac:dyDescent="0.2">
      <c r="A11" t="s">
        <v>8</v>
      </c>
      <c r="C11" s="27" t="s">
        <v>69</v>
      </c>
      <c r="D11" s="27" t="s">
        <v>70</v>
      </c>
      <c r="E11" s="9"/>
    </row>
    <row r="12" spans="1:6" x14ac:dyDescent="0.2">
      <c r="C12" s="9"/>
      <c r="D12" s="9"/>
    </row>
    <row r="13" spans="1:6" ht="13.5" thickBot="1" x14ac:dyDescent="0.25">
      <c r="C13" s="9"/>
      <c r="D13" s="9"/>
    </row>
    <row r="14" spans="1:6" s="7" customFormat="1" ht="15.75" x14ac:dyDescent="0.25">
      <c r="A14" s="12" t="s">
        <v>10</v>
      </c>
      <c r="B14" s="2"/>
      <c r="C14" s="47" t="s">
        <v>95</v>
      </c>
      <c r="D14" s="48"/>
    </row>
    <row r="15" spans="1:6" s="7" customFormat="1" ht="15.75" x14ac:dyDescent="0.25">
      <c r="B15" s="2"/>
      <c r="C15" s="49" t="s">
        <v>96</v>
      </c>
      <c r="D15" s="50"/>
    </row>
    <row r="16" spans="1:6" s="7" customFormat="1" ht="15.75" x14ac:dyDescent="0.25">
      <c r="B16" s="2"/>
      <c r="C16" s="49" t="s">
        <v>97</v>
      </c>
      <c r="D16" s="50"/>
    </row>
    <row r="17" spans="1:7" s="7" customFormat="1" ht="15.75" x14ac:dyDescent="0.25">
      <c r="B17" s="2"/>
      <c r="C17" s="49" t="s">
        <v>98</v>
      </c>
      <c r="D17" s="50"/>
    </row>
    <row r="18" spans="1:7" s="7" customFormat="1" ht="15.75" x14ac:dyDescent="0.25">
      <c r="B18" s="2"/>
      <c r="C18" s="49" t="s">
        <v>99</v>
      </c>
      <c r="D18" s="50"/>
    </row>
    <row r="19" spans="1:7" ht="15.75" thickBot="1" x14ac:dyDescent="0.25">
      <c r="C19" s="45"/>
      <c r="D19" s="46"/>
      <c r="E19" s="27"/>
    </row>
    <row r="20" spans="1:7" s="7" customFormat="1" ht="25.5" customHeight="1" x14ac:dyDescent="0.2">
      <c r="A20" s="8" t="s">
        <v>14</v>
      </c>
      <c r="B20" s="8" t="s">
        <v>15</v>
      </c>
      <c r="C20" s="8"/>
      <c r="D20" s="8"/>
      <c r="E20" s="8" t="s">
        <v>16</v>
      </c>
      <c r="F20" s="8" t="s">
        <v>17</v>
      </c>
      <c r="G20" s="8"/>
    </row>
    <row r="22" spans="1:7" s="7" customFormat="1" ht="12" x14ac:dyDescent="0.2">
      <c r="A22" s="25">
        <v>12</v>
      </c>
      <c r="B22" s="26" t="s">
        <v>33</v>
      </c>
      <c r="C22" s="23" t="s">
        <v>34</v>
      </c>
      <c r="D22" s="25"/>
      <c r="E22" s="25">
        <v>50.58</v>
      </c>
      <c r="F22" s="25">
        <f>A22*E22</f>
        <v>606.96</v>
      </c>
    </row>
    <row r="23" spans="1:7" s="7" customFormat="1" ht="12" x14ac:dyDescent="0.2">
      <c r="A23" s="25"/>
      <c r="B23" s="26"/>
      <c r="C23" s="23"/>
      <c r="D23" s="25"/>
      <c r="E23" s="25"/>
      <c r="F23" s="25"/>
    </row>
    <row r="24" spans="1:7" s="7" customFormat="1" ht="12" x14ac:dyDescent="0.2">
      <c r="A24" s="25"/>
      <c r="B24" s="23"/>
      <c r="C24" s="23"/>
      <c r="D24" s="25"/>
      <c r="E24" s="25"/>
      <c r="F24" s="25"/>
    </row>
    <row r="25" spans="1:7" s="7" customFormat="1" ht="12" x14ac:dyDescent="0.2">
      <c r="A25" s="25"/>
      <c r="B25" s="26"/>
      <c r="C25" s="23"/>
      <c r="D25" s="25"/>
      <c r="E25" s="25"/>
      <c r="F25" s="25"/>
    </row>
    <row r="26" spans="1:7" s="7" customFormat="1" ht="15.75" x14ac:dyDescent="0.25">
      <c r="B26" s="10"/>
      <c r="C26" s="21" t="s">
        <v>82</v>
      </c>
    </row>
    <row r="27" spans="1:7" s="7" customFormat="1" ht="15.75" x14ac:dyDescent="0.25">
      <c r="B27" s="10"/>
      <c r="C27" s="21"/>
    </row>
    <row r="28" spans="1:7" s="7" customFormat="1" ht="15.75" x14ac:dyDescent="0.25">
      <c r="B28" s="10"/>
      <c r="C28" s="21" t="s">
        <v>83</v>
      </c>
      <c r="D28" s="12"/>
      <c r="E28" s="12"/>
      <c r="F28" s="12"/>
    </row>
    <row r="29" spans="1:7" s="7" customFormat="1" x14ac:dyDescent="0.2">
      <c r="B29" s="10"/>
    </row>
    <row r="30" spans="1:7" s="7" customFormat="1" x14ac:dyDescent="0.2">
      <c r="B30" s="10"/>
      <c r="C30" s="10" t="s">
        <v>52</v>
      </c>
    </row>
    <row r="31" spans="1:7" s="7" customFormat="1" x14ac:dyDescent="0.2">
      <c r="B31" s="10"/>
    </row>
    <row r="32" spans="1:7" s="7" customFormat="1" ht="15.75" x14ac:dyDescent="0.25">
      <c r="B32" s="10"/>
      <c r="C32" s="21"/>
      <c r="D32" s="12"/>
      <c r="E32" s="12"/>
      <c r="F32" s="12"/>
    </row>
    <row r="33" spans="1:7" s="7" customFormat="1" x14ac:dyDescent="0.2">
      <c r="B33" s="10"/>
    </row>
    <row r="35" spans="1:7" s="7" customFormat="1" x14ac:dyDescent="0.2">
      <c r="B35" s="10"/>
    </row>
    <row r="36" spans="1:7" s="7" customFormat="1" ht="11.25" x14ac:dyDescent="0.2"/>
    <row r="37" spans="1:7" s="6" customFormat="1" ht="18" x14ac:dyDescent="0.25">
      <c r="E37" s="15"/>
    </row>
    <row r="38" spans="1:7" s="9" customFormat="1" x14ac:dyDescent="0.2">
      <c r="B38" s="9" t="s">
        <v>18</v>
      </c>
      <c r="D38" s="10" t="s">
        <v>19</v>
      </c>
      <c r="E38" s="9" t="s">
        <v>18</v>
      </c>
      <c r="F38" s="11">
        <f>SUM(F22:F37)</f>
        <v>606.96</v>
      </c>
      <c r="G38" s="14"/>
    </row>
    <row r="39" spans="1:7" ht="20.25" x14ac:dyDescent="0.3">
      <c r="A39" s="17"/>
      <c r="B39" s="18"/>
      <c r="C39" s="18"/>
      <c r="D39" s="19"/>
      <c r="E39" s="19"/>
      <c r="F39" s="41" t="s">
        <v>84</v>
      </c>
      <c r="G39" s="16"/>
    </row>
    <row r="40" spans="1:7" s="2" customFormat="1" x14ac:dyDescent="0.2">
      <c r="D40" s="22"/>
    </row>
    <row r="41" spans="1:7" x14ac:dyDescent="0.2">
      <c r="D41" s="13"/>
    </row>
  </sheetData>
  <mergeCells count="6">
    <mergeCell ref="C19:D19"/>
    <mergeCell ref="C14:D14"/>
    <mergeCell ref="C15:D15"/>
    <mergeCell ref="C16:D16"/>
    <mergeCell ref="C17:D17"/>
    <mergeCell ref="C18:D18"/>
  </mergeCells>
  <hyperlinks>
    <hyperlink ref="C5" r:id="rId1" xr:uid="{BBDAD604-3C93-488B-91F7-875B6197C078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topLeftCell="A10" workbookViewId="0">
      <selection activeCell="A10" sqref="A1:XFD1048576"/>
    </sheetView>
  </sheetViews>
  <sheetFormatPr defaultRowHeight="12.75" x14ac:dyDescent="0.2"/>
  <cols>
    <col min="1" max="1" width="6.42578125" customWidth="1"/>
    <col min="2" max="2" width="16.5703125" customWidth="1"/>
    <col min="3" max="3" width="29" customWidth="1"/>
    <col min="4" max="4" width="11" customWidth="1"/>
    <col min="5" max="5" width="9.85546875" customWidth="1"/>
    <col min="6" max="6" width="13.140625" customWidth="1"/>
  </cols>
  <sheetData>
    <row r="1" spans="1:6" ht="30" x14ac:dyDescent="0.4">
      <c r="B1" s="1"/>
      <c r="C1" s="1"/>
      <c r="E1" t="s">
        <v>0</v>
      </c>
      <c r="F1" s="6">
        <v>4010201</v>
      </c>
    </row>
    <row r="2" spans="1:6" ht="30" x14ac:dyDescent="0.4">
      <c r="A2" s="4"/>
      <c r="B2" s="5" t="s">
        <v>1</v>
      </c>
      <c r="C2" s="5"/>
      <c r="D2" s="4"/>
      <c r="E2" s="4"/>
    </row>
    <row r="3" spans="1:6" ht="23.25" x14ac:dyDescent="0.35">
      <c r="A3" t="s">
        <v>2</v>
      </c>
      <c r="B3" s="3" t="s">
        <v>27</v>
      </c>
      <c r="C3" s="3"/>
      <c r="D3" s="3"/>
      <c r="E3" t="s">
        <v>3</v>
      </c>
      <c r="F3" s="20">
        <v>45293</v>
      </c>
    </row>
    <row r="4" spans="1:6" x14ac:dyDescent="0.2">
      <c r="A4" t="s">
        <v>4</v>
      </c>
      <c r="E4" t="s">
        <v>5</v>
      </c>
      <c r="F4" s="42" t="s">
        <v>50</v>
      </c>
    </row>
    <row r="5" spans="1:6" x14ac:dyDescent="0.2">
      <c r="A5" t="s">
        <v>6</v>
      </c>
      <c r="C5" s="24" t="s">
        <v>28</v>
      </c>
      <c r="E5" t="s">
        <v>7</v>
      </c>
      <c r="F5" s="34" t="s">
        <v>32</v>
      </c>
    </row>
    <row r="6" spans="1:6" x14ac:dyDescent="0.2">
      <c r="A6" t="s">
        <v>8</v>
      </c>
      <c r="C6" s="27" t="s">
        <v>66</v>
      </c>
      <c r="E6" t="s">
        <v>9</v>
      </c>
      <c r="F6" s="37" t="s">
        <v>57</v>
      </c>
    </row>
    <row r="8" spans="1:6" ht="15.75" x14ac:dyDescent="0.25">
      <c r="A8" t="s">
        <v>20</v>
      </c>
      <c r="B8" s="2"/>
      <c r="C8" s="12" t="s">
        <v>72</v>
      </c>
      <c r="D8" s="31" t="s">
        <v>73</v>
      </c>
    </row>
    <row r="9" spans="1:6" ht="15" x14ac:dyDescent="0.2">
      <c r="A9" t="s">
        <v>11</v>
      </c>
      <c r="B9" s="2"/>
      <c r="C9" s="12" t="s">
        <v>78</v>
      </c>
      <c r="D9" s="12"/>
    </row>
    <row r="10" spans="1:6" ht="15" x14ac:dyDescent="0.2">
      <c r="A10" t="s">
        <v>12</v>
      </c>
      <c r="B10" s="2"/>
      <c r="C10" s="12" t="s">
        <v>79</v>
      </c>
      <c r="D10" s="12"/>
    </row>
    <row r="11" spans="1:6" x14ac:dyDescent="0.2">
      <c r="A11" t="s">
        <v>8</v>
      </c>
      <c r="C11" s="27" t="s">
        <v>69</v>
      </c>
      <c r="D11" s="27" t="s">
        <v>70</v>
      </c>
      <c r="E11" s="9"/>
    </row>
    <row r="12" spans="1:6" x14ac:dyDescent="0.2">
      <c r="C12" s="9"/>
      <c r="D12" s="9"/>
    </row>
    <row r="13" spans="1:6" ht="13.5" thickBot="1" x14ac:dyDescent="0.25">
      <c r="C13" s="9"/>
      <c r="D13" s="9"/>
    </row>
    <row r="14" spans="1:6" s="7" customFormat="1" ht="15.75" x14ac:dyDescent="0.25">
      <c r="A14" s="12" t="s">
        <v>10</v>
      </c>
      <c r="B14" s="2"/>
      <c r="C14" s="47" t="s">
        <v>85</v>
      </c>
      <c r="D14" s="48"/>
    </row>
    <row r="15" spans="1:6" s="7" customFormat="1" ht="15.75" x14ac:dyDescent="0.25">
      <c r="B15" s="2"/>
      <c r="C15" s="49" t="s">
        <v>86</v>
      </c>
      <c r="D15" s="50"/>
    </row>
    <row r="16" spans="1:6" s="7" customFormat="1" ht="15.75" x14ac:dyDescent="0.25">
      <c r="B16" s="2"/>
      <c r="C16" s="49" t="s">
        <v>87</v>
      </c>
      <c r="D16" s="50"/>
    </row>
    <row r="17" spans="1:7" s="7" customFormat="1" ht="15.75" x14ac:dyDescent="0.25">
      <c r="B17" s="2"/>
      <c r="C17" s="49" t="s">
        <v>88</v>
      </c>
      <c r="D17" s="50"/>
    </row>
    <row r="18" spans="1:7" s="7" customFormat="1" ht="15.75" x14ac:dyDescent="0.25">
      <c r="B18" s="2"/>
      <c r="C18" s="49" t="s">
        <v>89</v>
      </c>
      <c r="D18" s="50"/>
    </row>
    <row r="19" spans="1:7" ht="15.75" thickBot="1" x14ac:dyDescent="0.25">
      <c r="C19" s="45"/>
      <c r="D19" s="46"/>
      <c r="E19" s="27"/>
    </row>
    <row r="20" spans="1:7" s="7" customFormat="1" ht="25.5" customHeight="1" x14ac:dyDescent="0.2">
      <c r="A20" s="8" t="s">
        <v>14</v>
      </c>
      <c r="B20" s="8" t="s">
        <v>15</v>
      </c>
      <c r="C20" s="8"/>
      <c r="D20" s="8"/>
      <c r="E20" s="8" t="s">
        <v>16</v>
      </c>
      <c r="F20" s="8" t="s">
        <v>17</v>
      </c>
      <c r="G20" s="8"/>
    </row>
    <row r="22" spans="1:7" s="7" customFormat="1" ht="12" x14ac:dyDescent="0.2">
      <c r="A22" s="25">
        <v>2</v>
      </c>
      <c r="B22" s="26" t="s">
        <v>61</v>
      </c>
      <c r="C22" s="23" t="s">
        <v>37</v>
      </c>
      <c r="D22" s="25" t="s">
        <v>36</v>
      </c>
      <c r="E22" s="25">
        <v>140.83000000000001</v>
      </c>
      <c r="F22" s="25">
        <f>A22*E22</f>
        <v>281.66000000000003</v>
      </c>
    </row>
    <row r="23" spans="1:7" s="7" customFormat="1" ht="12" x14ac:dyDescent="0.2">
      <c r="A23" s="25"/>
      <c r="B23" s="26"/>
      <c r="C23" s="23"/>
      <c r="D23" s="25"/>
      <c r="E23" s="25"/>
      <c r="F23" s="25"/>
    </row>
    <row r="24" spans="1:7" s="7" customFormat="1" ht="12" x14ac:dyDescent="0.2">
      <c r="A24" s="25"/>
      <c r="B24" s="23"/>
      <c r="C24" s="23"/>
      <c r="D24" s="25"/>
      <c r="E24" s="25"/>
      <c r="F24" s="25"/>
    </row>
    <row r="25" spans="1:7" s="7" customFormat="1" ht="12" x14ac:dyDescent="0.2">
      <c r="A25" s="25"/>
      <c r="B25" s="26"/>
      <c r="C25" s="23"/>
      <c r="D25" s="25"/>
      <c r="E25" s="25"/>
      <c r="F25" s="25"/>
    </row>
    <row r="26" spans="1:7" s="7" customFormat="1" ht="15.75" x14ac:dyDescent="0.25">
      <c r="B26" s="10"/>
      <c r="C26" s="21" t="s">
        <v>82</v>
      </c>
    </row>
    <row r="27" spans="1:7" s="7" customFormat="1" ht="15.75" x14ac:dyDescent="0.25">
      <c r="B27" s="10"/>
      <c r="C27" s="21"/>
    </row>
    <row r="28" spans="1:7" s="7" customFormat="1" ht="15.75" x14ac:dyDescent="0.25">
      <c r="B28" s="10"/>
      <c r="C28" s="21" t="s">
        <v>83</v>
      </c>
      <c r="D28" s="12"/>
      <c r="E28" s="12"/>
      <c r="F28" s="12"/>
    </row>
    <row r="29" spans="1:7" s="7" customFormat="1" x14ac:dyDescent="0.2">
      <c r="B29" s="10"/>
    </row>
    <row r="30" spans="1:7" s="7" customFormat="1" x14ac:dyDescent="0.2">
      <c r="B30" s="10"/>
      <c r="C30" s="10" t="s">
        <v>52</v>
      </c>
    </row>
    <row r="31" spans="1:7" s="7" customFormat="1" x14ac:dyDescent="0.2">
      <c r="B31" s="10"/>
    </row>
    <row r="32" spans="1:7" s="7" customFormat="1" ht="15.75" x14ac:dyDescent="0.25">
      <c r="B32" s="10"/>
      <c r="C32" s="21"/>
      <c r="D32" s="12"/>
      <c r="E32" s="12"/>
      <c r="F32" s="12"/>
    </row>
    <row r="33" spans="1:7" s="7" customFormat="1" x14ac:dyDescent="0.2">
      <c r="B33" s="10"/>
    </row>
    <row r="35" spans="1:7" s="7" customFormat="1" x14ac:dyDescent="0.2">
      <c r="B35" s="10"/>
    </row>
    <row r="36" spans="1:7" s="7" customFormat="1" ht="11.25" x14ac:dyDescent="0.2"/>
    <row r="37" spans="1:7" s="6" customFormat="1" ht="18" x14ac:dyDescent="0.25">
      <c r="E37" s="15"/>
    </row>
    <row r="38" spans="1:7" s="9" customFormat="1" x14ac:dyDescent="0.2">
      <c r="B38" s="9" t="s">
        <v>18</v>
      </c>
      <c r="D38" s="10" t="s">
        <v>19</v>
      </c>
      <c r="E38" s="9" t="s">
        <v>18</v>
      </c>
      <c r="F38" s="11">
        <f>SUM(F22:F37)</f>
        <v>281.66000000000003</v>
      </c>
      <c r="G38" s="14"/>
    </row>
    <row r="39" spans="1:7" ht="20.25" x14ac:dyDescent="0.3">
      <c r="A39" s="17"/>
      <c r="B39" s="18"/>
      <c r="C39" s="18"/>
      <c r="D39" s="19"/>
      <c r="E39" s="19"/>
      <c r="F39" s="41" t="s">
        <v>84</v>
      </c>
      <c r="G39" s="16"/>
    </row>
    <row r="40" spans="1:7" s="2" customFormat="1" x14ac:dyDescent="0.2">
      <c r="D40" s="22"/>
    </row>
    <row r="41" spans="1:7" x14ac:dyDescent="0.2">
      <c r="D41" s="13"/>
    </row>
  </sheetData>
  <mergeCells count="6">
    <mergeCell ref="C19:D19"/>
    <mergeCell ref="C14:D14"/>
    <mergeCell ref="C15:D15"/>
    <mergeCell ref="C16:D16"/>
    <mergeCell ref="C17:D17"/>
    <mergeCell ref="C18:D18"/>
  </mergeCells>
  <hyperlinks>
    <hyperlink ref="C5" r:id="rId1" xr:uid="{00000000-0004-0000-0100-00000000000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A10" workbookViewId="0">
      <selection activeCell="A28" sqref="A28:XFD28"/>
    </sheetView>
  </sheetViews>
  <sheetFormatPr defaultRowHeight="12.75" x14ac:dyDescent="0.2"/>
  <cols>
    <col min="1" max="1" width="6.42578125" customWidth="1"/>
    <col min="2" max="2" width="14.85546875" style="34" customWidth="1"/>
    <col min="3" max="3" width="28.85546875" customWidth="1"/>
    <col min="4" max="4" width="12.28515625" customWidth="1"/>
    <col min="5" max="5" width="9.85546875" customWidth="1"/>
    <col min="6" max="6" width="9.7109375" customWidth="1"/>
  </cols>
  <sheetData>
    <row r="1" spans="1:6" ht="30" x14ac:dyDescent="0.4">
      <c r="B1" s="32"/>
      <c r="C1" s="1"/>
      <c r="E1" t="s">
        <v>0</v>
      </c>
      <c r="F1" t="s">
        <v>31</v>
      </c>
    </row>
    <row r="2" spans="1:6" ht="30" x14ac:dyDescent="0.4">
      <c r="A2" s="4"/>
      <c r="B2" s="32" t="s">
        <v>1</v>
      </c>
      <c r="C2" s="5"/>
      <c r="D2" s="4"/>
      <c r="E2" s="4"/>
    </row>
    <row r="3" spans="1:6" ht="23.25" x14ac:dyDescent="0.35">
      <c r="A3" t="s">
        <v>2</v>
      </c>
      <c r="B3" s="33" t="s">
        <v>27</v>
      </c>
      <c r="C3" s="3"/>
      <c r="D3" s="3"/>
      <c r="E3" t="s">
        <v>3</v>
      </c>
      <c r="F3" s="20">
        <v>41332</v>
      </c>
    </row>
    <row r="4" spans="1:6" x14ac:dyDescent="0.2">
      <c r="A4" t="s">
        <v>4</v>
      </c>
      <c r="E4" t="s">
        <v>5</v>
      </c>
      <c r="F4" s="20">
        <v>41338</v>
      </c>
    </row>
    <row r="5" spans="1:6" x14ac:dyDescent="0.2">
      <c r="A5" t="s">
        <v>6</v>
      </c>
      <c r="C5" s="24" t="s">
        <v>28</v>
      </c>
      <c r="E5" t="s">
        <v>7</v>
      </c>
      <c r="F5" t="s">
        <v>32</v>
      </c>
    </row>
    <row r="6" spans="1:6" x14ac:dyDescent="0.2">
      <c r="A6" t="s">
        <v>8</v>
      </c>
      <c r="C6" t="s">
        <v>29</v>
      </c>
      <c r="D6" t="s">
        <v>30</v>
      </c>
      <c r="E6" t="s">
        <v>9</v>
      </c>
      <c r="F6" s="2" t="s">
        <v>23</v>
      </c>
    </row>
    <row r="8" spans="1:6" ht="15" x14ac:dyDescent="0.2">
      <c r="A8" t="s">
        <v>20</v>
      </c>
      <c r="B8" s="35"/>
      <c r="C8" s="12" t="s">
        <v>21</v>
      </c>
      <c r="D8" s="12"/>
    </row>
    <row r="9" spans="1:6" ht="15" x14ac:dyDescent="0.2">
      <c r="A9" t="s">
        <v>11</v>
      </c>
      <c r="B9" s="35"/>
      <c r="C9" s="12" t="s">
        <v>25</v>
      </c>
      <c r="D9" s="12"/>
    </row>
    <row r="10" spans="1:6" ht="15" x14ac:dyDescent="0.2">
      <c r="A10" t="s">
        <v>12</v>
      </c>
      <c r="B10" s="35"/>
      <c r="C10" s="12" t="s">
        <v>24</v>
      </c>
      <c r="D10" s="12"/>
    </row>
    <row r="11" spans="1:6" x14ac:dyDescent="0.2">
      <c r="A11" t="s">
        <v>8</v>
      </c>
      <c r="C11" s="9" t="s">
        <v>13</v>
      </c>
      <c r="D11" s="9" t="s">
        <v>22</v>
      </c>
      <c r="E11" s="9"/>
    </row>
    <row r="12" spans="1:6" x14ac:dyDescent="0.2">
      <c r="C12" s="9"/>
      <c r="D12" s="9"/>
    </row>
    <row r="13" spans="1:6" ht="15.75" x14ac:dyDescent="0.25">
      <c r="A13" t="s">
        <v>10</v>
      </c>
      <c r="B13" s="35"/>
      <c r="C13" s="12" t="s">
        <v>21</v>
      </c>
      <c r="D13" s="21"/>
    </row>
    <row r="14" spans="1:6" ht="15.75" x14ac:dyDescent="0.25">
      <c r="A14" t="s">
        <v>11</v>
      </c>
      <c r="B14" s="35"/>
      <c r="C14" s="12" t="s">
        <v>25</v>
      </c>
      <c r="D14" s="21"/>
    </row>
    <row r="15" spans="1:6" ht="15.75" x14ac:dyDescent="0.25">
      <c r="A15" t="s">
        <v>12</v>
      </c>
      <c r="B15" s="35"/>
      <c r="C15" s="12" t="s">
        <v>24</v>
      </c>
      <c r="D15" s="21"/>
      <c r="E15" t="s">
        <v>26</v>
      </c>
    </row>
    <row r="16" spans="1:6" x14ac:dyDescent="0.2">
      <c r="A16" t="s">
        <v>8</v>
      </c>
      <c r="C16" s="9" t="s">
        <v>13</v>
      </c>
      <c r="D16" s="10"/>
      <c r="E16" s="9"/>
    </row>
    <row r="17" spans="1:7" s="7" customFormat="1" ht="25.5" customHeight="1" x14ac:dyDescent="0.2">
      <c r="A17" s="8" t="s">
        <v>14</v>
      </c>
      <c r="B17" s="36" t="s">
        <v>15</v>
      </c>
      <c r="C17" s="8"/>
      <c r="D17" s="8"/>
      <c r="E17" s="8" t="s">
        <v>16</v>
      </c>
      <c r="F17" s="8" t="s">
        <v>17</v>
      </c>
      <c r="G17" s="8"/>
    </row>
    <row r="19" spans="1:7" s="7" customFormat="1" x14ac:dyDescent="0.2">
      <c r="B19" s="37"/>
    </row>
    <row r="20" spans="1:7" s="7" customFormat="1" x14ac:dyDescent="0.2">
      <c r="B20" s="37"/>
      <c r="C20" s="10"/>
    </row>
    <row r="21" spans="1:7" s="7" customFormat="1" ht="12" x14ac:dyDescent="0.2">
      <c r="A21" s="25">
        <v>10</v>
      </c>
      <c r="B21" s="26" t="s">
        <v>33</v>
      </c>
      <c r="C21" s="23" t="s">
        <v>34</v>
      </c>
      <c r="D21" s="25"/>
      <c r="E21" s="38">
        <v>50.58</v>
      </c>
      <c r="F21" s="25">
        <f>A21*E21</f>
        <v>505.79999999999995</v>
      </c>
    </row>
    <row r="22" spans="1:7" s="7" customFormat="1" ht="12" x14ac:dyDescent="0.2">
      <c r="A22" s="25">
        <v>10</v>
      </c>
      <c r="B22" s="26" t="s">
        <v>38</v>
      </c>
      <c r="C22" s="23" t="s">
        <v>39</v>
      </c>
      <c r="D22" s="25"/>
      <c r="E22" s="38">
        <v>51.08</v>
      </c>
      <c r="F22" s="25">
        <f>A22*E22</f>
        <v>510.79999999999995</v>
      </c>
    </row>
    <row r="23" spans="1:7" s="7" customFormat="1" ht="12" x14ac:dyDescent="0.2">
      <c r="A23" s="25"/>
      <c r="B23" s="26" t="s">
        <v>48</v>
      </c>
      <c r="C23" s="23" t="s">
        <v>49</v>
      </c>
      <c r="D23" s="25"/>
      <c r="E23" s="25"/>
      <c r="F23" s="25"/>
    </row>
    <row r="24" spans="1:7" s="7" customFormat="1" ht="12" x14ac:dyDescent="0.2">
      <c r="A24" s="25"/>
      <c r="B24" s="26"/>
      <c r="C24" s="23"/>
      <c r="D24" s="25"/>
      <c r="E24" s="25"/>
      <c r="F24" s="25"/>
    </row>
    <row r="25" spans="1:7" s="7" customFormat="1" ht="12" x14ac:dyDescent="0.2">
      <c r="A25" s="25"/>
      <c r="B25" s="26" t="s">
        <v>40</v>
      </c>
      <c r="C25" s="23" t="s">
        <v>41</v>
      </c>
      <c r="D25" s="25"/>
      <c r="E25" s="38">
        <v>55.27</v>
      </c>
      <c r="F25" s="25">
        <f>A25*E25</f>
        <v>0</v>
      </c>
    </row>
    <row r="26" spans="1:7" s="7" customFormat="1" ht="12" x14ac:dyDescent="0.2">
      <c r="A26" s="25"/>
      <c r="B26" s="26" t="s">
        <v>42</v>
      </c>
      <c r="C26" s="23" t="s">
        <v>43</v>
      </c>
      <c r="D26" s="25"/>
      <c r="E26" s="38">
        <v>55.27</v>
      </c>
      <c r="F26" s="25">
        <f>A26*E26</f>
        <v>0</v>
      </c>
    </row>
    <row r="27" spans="1:7" s="7" customFormat="1" ht="12" x14ac:dyDescent="0.2">
      <c r="A27" s="25"/>
      <c r="B27" s="26"/>
      <c r="C27" s="23"/>
      <c r="D27" s="25"/>
      <c r="E27" s="25"/>
      <c r="F27" s="25"/>
    </row>
    <row r="28" spans="1:7" s="7" customFormat="1" ht="12.75" customHeight="1" x14ac:dyDescent="0.2">
      <c r="A28" s="25">
        <v>6</v>
      </c>
      <c r="B28" s="26" t="s">
        <v>44</v>
      </c>
      <c r="C28" s="23" t="s">
        <v>45</v>
      </c>
      <c r="D28" s="25"/>
      <c r="E28" s="38">
        <v>35.86</v>
      </c>
      <c r="F28" s="25">
        <f>A28*E28</f>
        <v>215.16</v>
      </c>
    </row>
    <row r="29" spans="1:7" s="7" customFormat="1" ht="12" x14ac:dyDescent="0.2">
      <c r="A29" s="25">
        <v>1</v>
      </c>
      <c r="B29" s="26" t="s">
        <v>46</v>
      </c>
      <c r="C29" s="23" t="s">
        <v>47</v>
      </c>
      <c r="D29" s="25"/>
      <c r="E29" s="38">
        <v>35.5</v>
      </c>
      <c r="F29" s="25">
        <f>A29*E29</f>
        <v>35.5</v>
      </c>
    </row>
    <row r="30" spans="1:7" s="7" customFormat="1" ht="12" x14ac:dyDescent="0.2">
      <c r="A30" s="25"/>
      <c r="B30" s="26">
        <v>1477</v>
      </c>
      <c r="C30" s="23" t="s">
        <v>51</v>
      </c>
      <c r="D30" s="25"/>
      <c r="E30" s="38">
        <v>39.44</v>
      </c>
      <c r="F30" s="25">
        <f>A30*E30</f>
        <v>0</v>
      </c>
    </row>
    <row r="31" spans="1:7" s="7" customFormat="1" ht="12" x14ac:dyDescent="0.2">
      <c r="A31" s="25"/>
      <c r="B31" s="26"/>
      <c r="C31" s="23"/>
      <c r="D31" s="25"/>
      <c r="E31" s="25"/>
      <c r="F31" s="25"/>
    </row>
    <row r="32" spans="1:7" s="7" customFormat="1" ht="12" x14ac:dyDescent="0.2">
      <c r="A32" s="25"/>
      <c r="B32" s="26"/>
      <c r="C32" s="23"/>
      <c r="D32" s="25"/>
      <c r="E32" s="25"/>
      <c r="F32" s="25"/>
    </row>
    <row r="33" spans="1:8" s="7" customFormat="1" ht="12" x14ac:dyDescent="0.2">
      <c r="A33" s="25">
        <v>1</v>
      </c>
      <c r="B33" s="26" t="s">
        <v>60</v>
      </c>
      <c r="C33" s="23" t="s">
        <v>35</v>
      </c>
      <c r="D33" s="25" t="s">
        <v>36</v>
      </c>
      <c r="E33" s="38">
        <v>142.19</v>
      </c>
      <c r="F33" s="25">
        <f>A33*E33</f>
        <v>142.19</v>
      </c>
    </row>
    <row r="34" spans="1:8" s="7" customFormat="1" ht="12" x14ac:dyDescent="0.2">
      <c r="A34" s="25">
        <v>1</v>
      </c>
      <c r="B34" s="26" t="s">
        <v>61</v>
      </c>
      <c r="C34" s="23" t="s">
        <v>37</v>
      </c>
      <c r="D34" s="25" t="s">
        <v>36</v>
      </c>
      <c r="E34" s="38">
        <v>140.83000000000001</v>
      </c>
      <c r="F34" s="25">
        <f>A34*E34</f>
        <v>140.83000000000001</v>
      </c>
    </row>
    <row r="35" spans="1:8" s="7" customFormat="1" ht="12" x14ac:dyDescent="0.2">
      <c r="A35" s="25"/>
      <c r="B35" s="26"/>
      <c r="C35" s="23"/>
      <c r="D35" s="25"/>
      <c r="E35" s="25"/>
      <c r="F35" s="25"/>
    </row>
    <row r="36" spans="1:8" x14ac:dyDescent="0.2">
      <c r="A36">
        <v>1</v>
      </c>
      <c r="B36" s="34" t="s">
        <v>75</v>
      </c>
      <c r="C36" t="s">
        <v>76</v>
      </c>
      <c r="E36" s="39">
        <v>51.64</v>
      </c>
      <c r="F36" s="25">
        <f t="shared" ref="F36:F45" si="0">A36*E36</f>
        <v>51.64</v>
      </c>
    </row>
    <row r="37" spans="1:8" s="7" customFormat="1" ht="12" x14ac:dyDescent="0.2">
      <c r="A37" s="25">
        <v>1</v>
      </c>
      <c r="B37" s="26" t="s">
        <v>62</v>
      </c>
      <c r="C37" s="23" t="s">
        <v>63</v>
      </c>
      <c r="D37" s="25" t="s">
        <v>64</v>
      </c>
      <c r="E37" s="38">
        <v>63.99</v>
      </c>
      <c r="F37" s="25">
        <f t="shared" si="0"/>
        <v>63.99</v>
      </c>
      <c r="H37" s="7" t="s">
        <v>65</v>
      </c>
    </row>
    <row r="38" spans="1:8" s="7" customFormat="1" ht="12" x14ac:dyDescent="0.2">
      <c r="A38" s="25"/>
      <c r="B38" s="26"/>
      <c r="C38" s="23"/>
      <c r="D38" s="25"/>
      <c r="E38" s="25"/>
      <c r="F38" s="25"/>
    </row>
    <row r="39" spans="1:8" s="7" customFormat="1" ht="12" x14ac:dyDescent="0.2">
      <c r="A39" s="25">
        <v>1</v>
      </c>
      <c r="B39" s="26" t="s">
        <v>74</v>
      </c>
      <c r="C39" s="23" t="s">
        <v>63</v>
      </c>
      <c r="D39" s="25" t="s">
        <v>64</v>
      </c>
      <c r="E39" s="38">
        <v>63.99</v>
      </c>
      <c r="F39" s="25">
        <f t="shared" si="0"/>
        <v>63.99</v>
      </c>
      <c r="H39" s="40" t="s">
        <v>80</v>
      </c>
    </row>
    <row r="40" spans="1:8" s="7" customFormat="1" ht="12" x14ac:dyDescent="0.2">
      <c r="A40" s="25">
        <v>1</v>
      </c>
      <c r="B40" s="26" t="s">
        <v>55</v>
      </c>
      <c r="C40" s="23" t="s">
        <v>56</v>
      </c>
      <c r="D40" s="25"/>
      <c r="E40" s="38">
        <v>69.33</v>
      </c>
      <c r="F40" s="25">
        <f t="shared" si="0"/>
        <v>69.33</v>
      </c>
      <c r="H40" s="40" t="s">
        <v>80</v>
      </c>
    </row>
    <row r="41" spans="1:8" s="7" customFormat="1" ht="12" x14ac:dyDescent="0.2">
      <c r="A41" s="25"/>
      <c r="B41" s="26"/>
      <c r="C41" s="23"/>
      <c r="D41" s="25"/>
      <c r="E41" s="25"/>
      <c r="F41" s="25"/>
    </row>
    <row r="42" spans="1:8" x14ac:dyDescent="0.2">
      <c r="D42" s="13"/>
      <c r="F42" s="25"/>
    </row>
    <row r="43" spans="1:8" x14ac:dyDescent="0.2">
      <c r="D43" s="13"/>
      <c r="F43" s="25"/>
    </row>
    <row r="44" spans="1:8" x14ac:dyDescent="0.2">
      <c r="A44">
        <v>1</v>
      </c>
      <c r="B44" s="34" t="s">
        <v>53</v>
      </c>
      <c r="C44" t="s">
        <v>54</v>
      </c>
      <c r="E44" s="39">
        <v>82.96</v>
      </c>
      <c r="F44" s="25">
        <f t="shared" si="0"/>
        <v>82.96</v>
      </c>
    </row>
    <row r="45" spans="1:8" x14ac:dyDescent="0.2">
      <c r="A45">
        <v>1</v>
      </c>
      <c r="B45" s="34" t="s">
        <v>58</v>
      </c>
      <c r="C45" t="s">
        <v>59</v>
      </c>
      <c r="E45" s="39">
        <v>64.709999999999994</v>
      </c>
      <c r="F45" s="25">
        <f t="shared" si="0"/>
        <v>64.709999999999994</v>
      </c>
    </row>
    <row r="46" spans="1:8" x14ac:dyDescent="0.2">
      <c r="F46" s="25"/>
    </row>
    <row r="49" spans="2:5" x14ac:dyDescent="0.2">
      <c r="B49" s="34">
        <v>300165</v>
      </c>
      <c r="C49" t="s">
        <v>81</v>
      </c>
      <c r="E49" s="39">
        <v>35.380000000000003</v>
      </c>
    </row>
  </sheetData>
  <phoneticPr fontId="0" type="noConversion"/>
  <hyperlinks>
    <hyperlink ref="C5" r:id="rId1" xr:uid="{00000000-0004-0000-0200-000000000000}"/>
  </hyperlinks>
  <printOptions gridLines="1" gridLinesSet="0"/>
  <pageMargins left="0.53" right="0.41" top="0.64" bottom="1" header="0.5" footer="0.5"/>
  <pageSetup orientation="portrait" horizontalDpi="300" r:id="rId2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</vt:lpstr>
      <vt:lpstr>drop</vt:lpstr>
      <vt:lpstr>marina</vt:lpstr>
      <vt:lpstr>guerra</vt:lpstr>
      <vt:lpstr>CASA</vt:lpstr>
      <vt:lpstr>purity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Robert Freaney</cp:lastModifiedBy>
  <cp:lastPrinted>2024-05-16T16:09:18Z</cp:lastPrinted>
  <dcterms:created xsi:type="dcterms:W3CDTF">2001-09-06T00:28:27Z</dcterms:created>
  <dcterms:modified xsi:type="dcterms:W3CDTF">2024-05-28T17:12:27Z</dcterms:modified>
</cp:coreProperties>
</file>