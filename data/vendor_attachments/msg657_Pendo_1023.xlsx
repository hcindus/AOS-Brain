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A5A21F05-8125-49C0-B114-64F6538A622A}" xr6:coauthVersionLast="47" xr6:coauthVersionMax="47" xr10:uidLastSave="{00000000-0000-0000-0000-000000000000}"/>
  <bookViews>
    <workbookView xWindow="492" yWindow="0" windowWidth="22488" windowHeight="11496" tabRatio="569" activeTab="1" xr2:uid="{00000000-000D-0000-FFFF-FFFF00000000}"/>
  </bookViews>
  <sheets>
    <sheet name="OCT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25" i="6" l="1"/>
  <c r="S125" i="6"/>
  <c r="R125" i="6"/>
  <c r="Q125" i="6"/>
  <c r="P125" i="6"/>
  <c r="O125" i="6"/>
  <c r="N125" i="6"/>
  <c r="M125" i="6"/>
  <c r="L125" i="6"/>
  <c r="K125" i="6"/>
  <c r="J125" i="6"/>
  <c r="I125" i="6"/>
  <c r="H125" i="6"/>
  <c r="U90" i="6"/>
  <c r="U123" i="6"/>
  <c r="U89" i="6"/>
  <c r="U88" i="6"/>
  <c r="U87" i="6"/>
  <c r="U122" i="6"/>
  <c r="U86" i="6"/>
  <c r="U85" i="6"/>
  <c r="U84" i="6"/>
  <c r="U83" i="6"/>
  <c r="U82" i="6"/>
  <c r="U81" i="6"/>
  <c r="U80" i="6"/>
  <c r="U79" i="6"/>
  <c r="U78" i="6"/>
  <c r="U77" i="6"/>
  <c r="U94" i="6"/>
  <c r="U76" i="6"/>
  <c r="U114" i="6"/>
  <c r="U75" i="6"/>
  <c r="U103" i="6"/>
  <c r="U74" i="6"/>
  <c r="U102" i="6"/>
  <c r="U101" i="6"/>
  <c r="U100" i="6"/>
  <c r="U73" i="6"/>
  <c r="U121" i="6"/>
  <c r="U9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120" i="6"/>
  <c r="U119" i="6"/>
  <c r="U55" i="6"/>
  <c r="U54" i="6"/>
  <c r="U53" i="6"/>
  <c r="U52" i="6"/>
  <c r="U51" i="6"/>
  <c r="U50" i="6"/>
  <c r="U49" i="6"/>
  <c r="U48" i="6"/>
  <c r="U47" i="6"/>
  <c r="U46" i="6"/>
  <c r="U113" i="6"/>
  <c r="U112" i="6"/>
  <c r="U111" i="6"/>
  <c r="U99" i="6"/>
  <c r="U98" i="6"/>
  <c r="U97" i="6"/>
  <c r="U45" i="6"/>
  <c r="U44" i="6"/>
  <c r="U43" i="6"/>
  <c r="U92" i="6"/>
  <c r="U42" i="6"/>
  <c r="U41" i="6"/>
  <c r="U40" i="6"/>
  <c r="U39" i="6"/>
  <c r="U110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109" i="6"/>
  <c r="U20" i="6"/>
  <c r="U19" i="6"/>
  <c r="U18" i="6"/>
  <c r="U17" i="6"/>
  <c r="U108" i="6"/>
  <c r="U107" i="6"/>
  <c r="U118" i="6"/>
  <c r="U16" i="6"/>
  <c r="U117" i="6"/>
  <c r="U116" i="6"/>
  <c r="U115" i="6"/>
  <c r="U15" i="6"/>
  <c r="U96" i="6"/>
  <c r="U14" i="6"/>
  <c r="U13" i="6"/>
  <c r="U95" i="6"/>
  <c r="U12" i="6"/>
  <c r="U11" i="6"/>
  <c r="U10" i="6"/>
  <c r="U9" i="6"/>
  <c r="U8" i="6"/>
  <c r="U7" i="6"/>
  <c r="U6" i="6"/>
  <c r="U91" i="6"/>
  <c r="U5" i="6"/>
  <c r="U106" i="6"/>
  <c r="U105" i="6"/>
  <c r="U104" i="6"/>
  <c r="U4" i="6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U92" i="3"/>
  <c r="U63" i="3"/>
  <c r="U19" i="3"/>
  <c r="U105" i="3"/>
  <c r="U99" i="3"/>
  <c r="U66" i="3"/>
  <c r="U70" i="3"/>
  <c r="U84" i="3"/>
  <c r="U78" i="3"/>
  <c r="U62" i="3"/>
  <c r="U46" i="3"/>
  <c r="U98" i="3"/>
  <c r="U18" i="3"/>
  <c r="U48" i="3"/>
  <c r="U60" i="3"/>
  <c r="U73" i="3"/>
  <c r="U36" i="3"/>
  <c r="U116" i="3"/>
  <c r="U29" i="3"/>
  <c r="U11" i="3"/>
  <c r="U45" i="3"/>
  <c r="U26" i="3"/>
  <c r="U87" i="3"/>
  <c r="U79" i="3"/>
  <c r="U115" i="3"/>
  <c r="U114" i="3"/>
  <c r="U113" i="3"/>
  <c r="U112" i="3"/>
  <c r="U111" i="3"/>
  <c r="U110" i="3"/>
  <c r="U109" i="3"/>
  <c r="U7" i="3"/>
  <c r="U103" i="3"/>
  <c r="U37" i="3"/>
  <c r="U57" i="3"/>
  <c r="U33" i="3"/>
  <c r="U28" i="3"/>
  <c r="U27" i="3"/>
  <c r="U97" i="3"/>
  <c r="U34" i="3"/>
  <c r="U82" i="3"/>
  <c r="U81" i="3"/>
  <c r="U89" i="3"/>
  <c r="U47" i="3"/>
  <c r="U120" i="3"/>
  <c r="U16" i="3"/>
  <c r="U122" i="3"/>
  <c r="U102" i="3"/>
  <c r="U54" i="3"/>
  <c r="U53" i="3"/>
  <c r="U123" i="3"/>
  <c r="U76" i="3"/>
  <c r="U58" i="3"/>
  <c r="U88" i="3"/>
  <c r="U108" i="3"/>
  <c r="U52" i="3"/>
  <c r="U77" i="3"/>
  <c r="U91" i="3"/>
  <c r="U25" i="3"/>
  <c r="U31" i="3"/>
  <c r="U15" i="3"/>
  <c r="U24" i="3"/>
  <c r="U68" i="3"/>
  <c r="U9" i="3"/>
  <c r="U14" i="3"/>
  <c r="U106" i="3"/>
  <c r="U85" i="3"/>
  <c r="U6" i="3"/>
  <c r="U21" i="3"/>
  <c r="U94" i="3"/>
  <c r="U12" i="3"/>
  <c r="U86" i="3"/>
  <c r="U65" i="3"/>
  <c r="U80" i="3"/>
  <c r="U61" i="3"/>
  <c r="U49" i="3"/>
  <c r="U50" i="3"/>
  <c r="U4" i="3"/>
  <c r="U96" i="3"/>
  <c r="U74" i="3"/>
  <c r="U42" i="3"/>
  <c r="U59" i="3"/>
  <c r="U121" i="3"/>
  <c r="U17" i="3"/>
  <c r="U20" i="3"/>
  <c r="U23" i="3"/>
  <c r="U22" i="3"/>
  <c r="U93" i="3"/>
  <c r="U118" i="3"/>
  <c r="U5" i="3"/>
  <c r="U72" i="3"/>
  <c r="U117" i="3"/>
  <c r="U44" i="3"/>
  <c r="U95" i="3"/>
  <c r="U64" i="3"/>
  <c r="U30" i="3"/>
  <c r="U32" i="3"/>
  <c r="U56" i="3"/>
  <c r="U67" i="3"/>
  <c r="U104" i="3"/>
  <c r="U10" i="3"/>
  <c r="U119" i="3"/>
  <c r="U51" i="3"/>
  <c r="U69" i="3"/>
  <c r="U8" i="3"/>
  <c r="U83" i="3"/>
  <c r="U35" i="3"/>
  <c r="U75" i="3"/>
  <c r="U41" i="3"/>
  <c r="U107" i="3"/>
  <c r="U71" i="3"/>
  <c r="U101" i="3"/>
  <c r="U90" i="3"/>
  <c r="U40" i="3"/>
  <c r="U13" i="3"/>
  <c r="U100" i="3"/>
  <c r="U39" i="3"/>
  <c r="U38" i="3"/>
  <c r="U55" i="3"/>
  <c r="U43" i="3"/>
  <c r="U125" i="6" l="1"/>
  <c r="Y124" i="6"/>
  <c r="Z124" i="6" s="1"/>
  <c r="V126" i="6"/>
  <c r="Y124" i="3"/>
  <c r="V126" i="3"/>
  <c r="U125" i="3"/>
  <c r="Z124" i="3" l="1"/>
  <c r="V20" i="1" l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Y125" i="2" l="1"/>
  <c r="U37" i="2" l="1"/>
  <c r="I22" i="1" l="1"/>
  <c r="J22" i="1"/>
  <c r="U54" i="2" l="1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6" i="2"/>
  <c r="U35" i="2"/>
  <c r="U34" i="2"/>
  <c r="Y55" i="2" l="1"/>
  <c r="V21" i="1" l="1"/>
  <c r="U26" i="2" l="1"/>
  <c r="V22" i="1" l="1"/>
  <c r="U32" i="2" l="1"/>
  <c r="U31" i="2"/>
  <c r="U30" i="2"/>
  <c r="U29" i="2"/>
  <c r="U28" i="2"/>
  <c r="U27" i="2"/>
  <c r="U25" i="2"/>
  <c r="U24" i="2"/>
  <c r="U23" i="2"/>
  <c r="U22" i="2"/>
  <c r="U21" i="2"/>
  <c r="U20" i="2"/>
  <c r="U19" i="2"/>
  <c r="U18" i="2"/>
  <c r="U17" i="2"/>
  <c r="U16" i="2"/>
  <c r="U15" i="2"/>
  <c r="Y33" i="2" l="1"/>
  <c r="U13" i="2" l="1"/>
  <c r="U12" i="2"/>
  <c r="U11" i="2"/>
  <c r="U10" i="2"/>
  <c r="U9" i="2" l="1"/>
  <c r="U8" i="2"/>
  <c r="U7" i="2" l="1"/>
  <c r="U6" i="2" l="1"/>
  <c r="U5" i="2"/>
  <c r="U4" i="2" l="1"/>
  <c r="Y14" i="2" l="1"/>
  <c r="U126" i="2"/>
  <c r="AA22" i="1"/>
  <c r="U22" i="1" l="1"/>
  <c r="T22" i="1"/>
  <c r="S22" i="1"/>
  <c r="R22" i="1"/>
  <c r="Q22" i="1"/>
  <c r="P22" i="1"/>
  <c r="N22" i="1"/>
  <c r="M22" i="1"/>
  <c r="L22" i="1"/>
  <c r="K22" i="1"/>
  <c r="V127" i="2" l="1"/>
  <c r="Z55" i="2" s="1"/>
  <c r="Z14" i="2" l="1"/>
  <c r="Z33" i="2"/>
  <c r="Z125" i="2"/>
</calcChain>
</file>

<file path=xl/sharedStrings.xml><?xml version="1.0" encoding="utf-8"?>
<sst xmlns="http://schemas.openxmlformats.org/spreadsheetml/2006/main" count="2356" uniqueCount="206">
  <si>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</si>
  <si>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</si>
  <si>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</si>
  <si>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</si>
  <si>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</si>
  <si>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</si>
  <si>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</si>
  <si>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</si>
  <si>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</si>
  <si>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</si>
  <si>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</si>
  <si>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</si>
  <si>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</si>
  <si>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</si>
  <si>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</si>
  <si>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</si>
  <si>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</si>
  <si>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</si>
  <si>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</si>
  <si>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</si>
  <si>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</si>
  <si>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</si>
  <si>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</si>
  <si>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</si>
  <si>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</si>
  <si>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</si>
  <si>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</si>
  <si>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</si>
  <si>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</si>
  <si>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</si>
  <si>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</si>
  <si>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</si>
  <si>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</si>
  <si>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</si>
  <si>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</si>
  <si>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</si>
  <si>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</si>
  <si>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</si>
  <si>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</si>
  <si>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</si>
  <si>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</si>
  <si>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</si>
  <si>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</si>
  <si>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</si>
  <si>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</si>
  <si>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</si>
  <si>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</si>
  <si>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</si>
  <si>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</si>
  <si>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</si>
  <si>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</si>
  <si>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</si>
  <si>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</si>
  <si>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</si>
  <si>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</si>
  <si>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</si>
  <si>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</si>
  <si>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</si>
  <si>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</si>
  <si>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RESID-UAL</t>
  </si>
  <si>
    <t>TOMATINA</t>
  </si>
  <si>
    <t>MN</t>
  </si>
  <si>
    <t>FARMSTEAD</t>
  </si>
  <si>
    <t>FATTORIA E MARE</t>
  </si>
  <si>
    <t>TERIYAKI MADNESS</t>
  </si>
  <si>
    <t>UPS</t>
  </si>
  <si>
    <t>KARTUNZ</t>
  </si>
  <si>
    <t>CANYON CREST</t>
  </si>
  <si>
    <t>DROP</t>
  </si>
  <si>
    <t>VESUVIO</t>
  </si>
  <si>
    <t>ALANA'S</t>
  </si>
  <si>
    <t>SUN'S MARKET</t>
  </si>
  <si>
    <t>CABLE</t>
  </si>
  <si>
    <t>CALISTOGA INN</t>
  </si>
  <si>
    <t>MONTHLY</t>
  </si>
  <si>
    <t>BLUE &amp; GOLD FLEET</t>
  </si>
  <si>
    <t>RIVER TIME RESTAURANT</t>
  </si>
  <si>
    <t>MOLTI AMICI</t>
  </si>
  <si>
    <t>COTOGNA &amp; QUINCE</t>
  </si>
  <si>
    <t>BRAVAS DE TAPAS</t>
  </si>
  <si>
    <t>PACIFICO RESTAURENTE</t>
  </si>
  <si>
    <t>THE TRIDENT</t>
  </si>
  <si>
    <t>DOLAN'S DEN</t>
  </si>
  <si>
    <t>POGGIO TRATTORIA</t>
  </si>
  <si>
    <t>ANAHEIM WHITE HOUSE</t>
  </si>
  <si>
    <t>ICON</t>
  </si>
  <si>
    <t>MAYFLOWER INN</t>
  </si>
  <si>
    <t>TONY</t>
  </si>
  <si>
    <t>HOUSE OF PRIME RIB</t>
  </si>
  <si>
    <t>VIA PICCOLA TRATTORIA</t>
  </si>
  <si>
    <t>ATWATER TAVERN</t>
  </si>
  <si>
    <t>KEY'S JAZZ BISTRO</t>
  </si>
  <si>
    <t>DE ANZA COLLEGE</t>
  </si>
  <si>
    <t>LE SANDWICH</t>
  </si>
  <si>
    <t>SARA'S SOUTHERN KITCHEN</t>
  </si>
  <si>
    <t>MONICA'S RIVERVIEW</t>
  </si>
  <si>
    <t>HELPDESK</t>
  </si>
  <si>
    <t>CLYDE'S LIQUOR</t>
  </si>
  <si>
    <t>TIBURON</t>
  </si>
  <si>
    <t xml:space="preserve">SALT AND PEPPER </t>
  </si>
  <si>
    <t>LOS CAPORALES TAQUERIA</t>
  </si>
  <si>
    <t>CHURCH STREET PRODUCE</t>
  </si>
  <si>
    <t>ONSITE</t>
  </si>
  <si>
    <t>CELIA'S/XALISCO CORP</t>
  </si>
  <si>
    <t>WILD FIRE PUBLIC HOUSE</t>
  </si>
  <si>
    <t>KITCHEN DOOR</t>
  </si>
  <si>
    <t>DRIVER</t>
  </si>
  <si>
    <t>GUEST HOUSE RESTAURANT</t>
  </si>
  <si>
    <t>PWR COND</t>
  </si>
  <si>
    <t>MOUNTAIN MIKE'S</t>
  </si>
  <si>
    <t>VALLEJO</t>
  </si>
  <si>
    <t>SERVINO'S RESTAURANT</t>
  </si>
  <si>
    <t>ACRE RESTAURANT</t>
  </si>
  <si>
    <t>COTOGNA AND QUINCE RESTAURANT</t>
  </si>
  <si>
    <t>HI WAY BURGER &amp; FRY</t>
  </si>
  <si>
    <t>COLUMBUS</t>
  </si>
  <si>
    <t>LAS MONTANAS</t>
  </si>
  <si>
    <t>SAN PABLO</t>
  </si>
  <si>
    <t>PEPITO'S</t>
  </si>
  <si>
    <t>NCC POS</t>
  </si>
  <si>
    <t>PUB REPUBLIC</t>
  </si>
  <si>
    <t>BILLINGS</t>
  </si>
  <si>
    <t>BISTRO 45</t>
  </si>
  <si>
    <t>DIST</t>
  </si>
  <si>
    <t>PD</t>
  </si>
  <si>
    <t>SAN RAFAEL JOE'S</t>
  </si>
  <si>
    <t>CYNTHIA</t>
  </si>
  <si>
    <t>SF</t>
  </si>
  <si>
    <t>OH</t>
  </si>
  <si>
    <t>PRECITA PARK CAFÉ</t>
  </si>
  <si>
    <t>THE FORGE HANDCRAFTED PIZZA</t>
  </si>
  <si>
    <t xml:space="preserve">AH </t>
  </si>
  <si>
    <t>ANDI'S MARKET</t>
  </si>
  <si>
    <t>MARISCOS EL AJOYANO</t>
  </si>
  <si>
    <t>CAFFE MACARONI</t>
  </si>
  <si>
    <t>SABELLA LATORRE</t>
  </si>
  <si>
    <t>AZ</t>
  </si>
  <si>
    <t>KB COVER</t>
  </si>
  <si>
    <t>PANDA RESTAURANT GROUP</t>
  </si>
  <si>
    <t>CASH DWRS</t>
  </si>
  <si>
    <t>MS</t>
  </si>
  <si>
    <t>GC PRESENTERS</t>
  </si>
  <si>
    <t>THE VILLAGE ITALIAN RESTAURANT</t>
  </si>
  <si>
    <t>RILEY'S BAR</t>
  </si>
  <si>
    <t>KIMONO</t>
  </si>
  <si>
    <t>BENICIA</t>
  </si>
  <si>
    <t>PANCHO VILLA TAQUERIA</t>
  </si>
  <si>
    <t>WILLIE'S SEAFOOD &amp; RAW BAR</t>
  </si>
  <si>
    <t>INSALATA'S</t>
  </si>
  <si>
    <t>JOHN'S GRILL</t>
  </si>
  <si>
    <t>PALO ALTO</t>
  </si>
  <si>
    <t>WILDSEED</t>
  </si>
  <si>
    <t>VILLA SPORT</t>
  </si>
  <si>
    <t>BEAVERTON</t>
  </si>
  <si>
    <t>GRAZIE</t>
  </si>
  <si>
    <t>RIVER FRONT CAFÉ</t>
  </si>
  <si>
    <t>PERLE WINE BAR</t>
  </si>
  <si>
    <t>PETITE LEFT BANK</t>
  </si>
  <si>
    <t>DISCOUNT FABRICS</t>
  </si>
  <si>
    <t>SPECIALTY'S CAFÉ BAKERY</t>
  </si>
  <si>
    <t>ALL LOCATIONS</t>
  </si>
  <si>
    <t>COFFEE ROASTERY</t>
  </si>
  <si>
    <t>FAIRFAX</t>
  </si>
  <si>
    <t>SAN ANSELMO</t>
  </si>
  <si>
    <t>KIENTZ HALL</t>
  </si>
  <si>
    <t>EL TORO TAQUERIA</t>
  </si>
  <si>
    <t>TACOS SINALOA</t>
  </si>
  <si>
    <t>BERKELEY</t>
  </si>
  <si>
    <t>AMERICAN BULL</t>
  </si>
  <si>
    <t>ALAMEDA</t>
  </si>
  <si>
    <t>SAN MATEO</t>
  </si>
  <si>
    <t>UNION LANDING</t>
  </si>
  <si>
    <t>WEST VALLEY</t>
  </si>
  <si>
    <t>WALNUT CREEK</t>
  </si>
  <si>
    <t>SANTA CLARA</t>
  </si>
  <si>
    <t>DEANZA COLLEGE DINING</t>
  </si>
  <si>
    <t>PEACOCK GAP GOLF CLUB</t>
  </si>
  <si>
    <t>PUNTO AZUL</t>
  </si>
  <si>
    <t>GASPARE'S</t>
  </si>
  <si>
    <t>SAN FRANCISCO</t>
  </si>
  <si>
    <t>DANIEL</t>
  </si>
  <si>
    <t>AUGIE'S FRENCH</t>
  </si>
  <si>
    <t>COTE OUEST BISTRO</t>
  </si>
  <si>
    <t>VALENCIA WHOLE FOODS</t>
  </si>
  <si>
    <t>DONATO ENOTECA</t>
  </si>
  <si>
    <t>MONTI'S ROTISERRIE &amp; BAR</t>
  </si>
  <si>
    <t>Y</t>
  </si>
  <si>
    <t>LAS GUITARRAS</t>
  </si>
  <si>
    <t>GROSSMAN'S NOSHERY &amp; BAR</t>
  </si>
  <si>
    <t>CHICKEN EXPRESS</t>
  </si>
  <si>
    <t>SUISIN</t>
  </si>
  <si>
    <t>LAS MONTANAS MKT</t>
  </si>
  <si>
    <t>HAYWARD NEW</t>
  </si>
  <si>
    <t>PRINTERS</t>
  </si>
  <si>
    <t>STARK'S STEAKHOUSE</t>
  </si>
  <si>
    <t>JS-750 TILLS</t>
  </si>
  <si>
    <t>MERSEA RESTAURANT</t>
  </si>
  <si>
    <t>NCC WS</t>
  </si>
  <si>
    <t>STATE MARKET</t>
  </si>
  <si>
    <t>THE COOLER</t>
  </si>
  <si>
    <t>CHUCK CORICA GOLD COMPLEX</t>
  </si>
  <si>
    <t>WS WINDOWS</t>
  </si>
  <si>
    <t>MI RANCHITO MARKET</t>
  </si>
  <si>
    <t>S.RAF</t>
  </si>
  <si>
    <t>MAX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</si>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</sst>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0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282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 wrapText="1"/>
    </xf>
    <xf numFmtId="164" fontId="29" fillId="0" borderId="0" xfId="0" applyNumberFormat="1" applyFont="1" applyAlignment="1">
      <alignment horizontal="right"/>
    </xf>
    <xf numFmtId="169" fontId="9" fillId="0" borderId="2" xfId="0" applyNumberFormat="1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2" fontId="2" fillId="9" borderId="2" xfId="0" applyNumberFormat="1" applyFont="1" applyFill="1" applyBorder="1" applyAlignment="1">
      <alignment horizontal="right"/>
    </xf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CCFFCC"/>
      <color rgb="FFFF99CC"/>
      <color rgb="FFFFFF99"/>
      <color rgb="FFFF99FF"/>
      <color rgb="FFFFCCFF"/>
      <color rgb="FFD8E4BC"/>
      <color rgb="FFFFFFCC"/>
      <color rgb="FF99FF99"/>
      <color rgb="FFFFCC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25"/>
  <sheetViews>
    <sheetView zoomScale="134" zoomScaleNormal="134" workbookViewId="0">
      <pane ySplit="3" topLeftCell="A4" activePane="bottomLeft" state="frozen"/>
      <selection pane="bottomLeft" sqref="A1:B1"/>
    </sheetView>
  </sheetViews>
  <sheetFormatPr defaultColWidth="9.109375" defaultRowHeight="9" customHeight="1" x14ac:dyDescent="0.35"/>
  <cols>
    <col min="1" max="1" width="5.5546875" style="249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8" width="5.33203125" style="8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82" customWidth="1"/>
    <col min="28" max="16384" width="9.109375" style="3"/>
  </cols>
  <sheetData>
    <row r="1" spans="1:27" s="10" customFormat="1" ht="19.95" customHeight="1" thickBot="1" x14ac:dyDescent="0.4">
      <c r="A1" s="278">
        <v>45201</v>
      </c>
      <c r="B1" s="279"/>
      <c r="C1" s="99" t="s">
        <v>27</v>
      </c>
      <c r="D1" s="1"/>
      <c r="E1" s="54"/>
      <c r="F1" s="55"/>
      <c r="G1" s="56"/>
      <c r="H1" s="56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0"/>
    </row>
    <row r="2" spans="1:27" s="2" customFormat="1" ht="31.5" customHeight="1" thickBot="1" x14ac:dyDescent="0.4">
      <c r="A2" s="243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260" t="s">
        <v>123</v>
      </c>
      <c r="I2" s="87" t="s">
        <v>43</v>
      </c>
      <c r="J2" s="110" t="s">
        <v>41</v>
      </c>
      <c r="K2" s="88" t="s">
        <v>42</v>
      </c>
      <c r="L2" s="93" t="s">
        <v>59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74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1"/>
    </row>
    <row r="3" spans="1:27" s="2" customFormat="1" ht="6.75" customHeight="1" thickBot="1" x14ac:dyDescent="0.4">
      <c r="A3" s="244"/>
      <c r="B3" s="67"/>
      <c r="C3" s="97"/>
      <c r="D3" s="68"/>
      <c r="E3" s="40"/>
      <c r="F3" s="69"/>
      <c r="G3" s="70"/>
      <c r="H3" s="70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1"/>
    </row>
    <row r="4" spans="1:27" ht="15.75" customHeight="1" thickBot="1" x14ac:dyDescent="0.4">
      <c r="A4" s="245" t="s">
        <v>9</v>
      </c>
      <c r="B4" s="34"/>
      <c r="C4" s="35"/>
      <c r="D4" s="35"/>
      <c r="E4" s="46"/>
      <c r="F4" s="35"/>
      <c r="G4" s="36"/>
      <c r="H4" s="36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46"/>
      <c r="B5" s="25"/>
      <c r="C5" s="116"/>
      <c r="D5" s="117"/>
      <c r="E5" s="103"/>
      <c r="F5" s="118"/>
      <c r="G5" s="119"/>
      <c r="H5" s="119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47" t="s">
        <v>38</v>
      </c>
      <c r="B6" s="3" t="s">
        <v>202</v>
      </c>
      <c r="C6" s="4"/>
      <c r="D6" s="52">
        <v>9293041</v>
      </c>
      <c r="E6" s="98">
        <v>45198</v>
      </c>
      <c r="F6" s="44" t="s">
        <v>20</v>
      </c>
      <c r="G6" s="61">
        <v>45201</v>
      </c>
      <c r="H6" s="261" t="s">
        <v>203</v>
      </c>
      <c r="I6" s="42"/>
      <c r="J6" s="28"/>
      <c r="K6" s="28"/>
      <c r="L6" s="28"/>
      <c r="M6" s="28"/>
      <c r="N6" s="42"/>
      <c r="O6" s="28"/>
      <c r="P6" s="42"/>
      <c r="Q6" s="7"/>
      <c r="R6" s="43"/>
      <c r="S6" s="42">
        <v>104</v>
      </c>
      <c r="T6" s="43"/>
      <c r="U6" s="32">
        <v>9.6199999999999992</v>
      </c>
      <c r="V6" s="53">
        <f t="shared" ref="V6:V20" si="0">SUM(I6:U6)</f>
        <v>113.62</v>
      </c>
      <c r="W6" s="64" t="s">
        <v>33</v>
      </c>
      <c r="X6" s="2" t="s">
        <v>204</v>
      </c>
      <c r="Y6" s="65" t="s">
        <v>124</v>
      </c>
      <c r="Z6" s="128" t="s">
        <v>205</v>
      </c>
      <c r="AA6" s="181"/>
    </row>
    <row r="7" spans="1:27" s="2" customFormat="1" ht="14.1" customHeight="1" x14ac:dyDescent="0.35">
      <c r="A7" s="247" t="s">
        <v>37</v>
      </c>
      <c r="B7" s="3" t="s">
        <v>97</v>
      </c>
      <c r="C7" s="4"/>
      <c r="D7" s="52">
        <v>10013052</v>
      </c>
      <c r="E7" s="98">
        <v>45200</v>
      </c>
      <c r="F7" s="44" t="s">
        <v>96</v>
      </c>
      <c r="G7" s="61">
        <v>45201</v>
      </c>
      <c r="H7" s="261" t="s">
        <v>203</v>
      </c>
      <c r="I7" s="42"/>
      <c r="J7" s="28"/>
      <c r="K7" s="28"/>
      <c r="L7" s="28"/>
      <c r="M7" s="28"/>
      <c r="N7" s="42">
        <v>49</v>
      </c>
      <c r="O7" s="28"/>
      <c r="P7" s="42"/>
      <c r="Q7" s="7"/>
      <c r="R7" s="43"/>
      <c r="S7" s="42"/>
      <c r="T7" s="43"/>
      <c r="U7" s="32"/>
      <c r="V7" s="53">
        <f t="shared" si="0"/>
        <v>49</v>
      </c>
      <c r="W7" s="64" t="s">
        <v>25</v>
      </c>
      <c r="X7" s="2" t="s">
        <v>5</v>
      </c>
      <c r="Y7" s="65" t="s">
        <v>17</v>
      </c>
      <c r="Z7" s="128"/>
      <c r="AA7" s="181"/>
    </row>
    <row r="8" spans="1:27" s="2" customFormat="1" ht="14.1" customHeight="1" x14ac:dyDescent="0.35">
      <c r="A8" s="247" t="s">
        <v>8</v>
      </c>
      <c r="B8" s="3" t="s">
        <v>70</v>
      </c>
      <c r="C8" s="4"/>
      <c r="D8" s="52">
        <v>10013051</v>
      </c>
      <c r="E8" s="98">
        <v>45200</v>
      </c>
      <c r="F8" s="44" t="s">
        <v>74</v>
      </c>
      <c r="G8" s="61">
        <v>45201</v>
      </c>
      <c r="H8" s="261" t="s">
        <v>203</v>
      </c>
      <c r="I8" s="42"/>
      <c r="J8" s="28"/>
      <c r="K8" s="28"/>
      <c r="L8" s="28"/>
      <c r="M8" s="28"/>
      <c r="N8" s="42">
        <v>49</v>
      </c>
      <c r="O8" s="28">
        <v>39</v>
      </c>
      <c r="P8" s="42"/>
      <c r="Q8" s="7"/>
      <c r="R8" s="43"/>
      <c r="S8" s="42"/>
      <c r="T8" s="43"/>
      <c r="U8" s="32"/>
      <c r="V8" s="53">
        <f t="shared" si="0"/>
        <v>88</v>
      </c>
      <c r="W8" s="64" t="s">
        <v>25</v>
      </c>
      <c r="X8" s="2" t="s">
        <v>8</v>
      </c>
      <c r="Y8" s="65" t="s">
        <v>17</v>
      </c>
      <c r="Z8" s="128"/>
      <c r="AA8" s="181"/>
    </row>
    <row r="9" spans="1:27" s="2" customFormat="1" ht="14.1" customHeight="1" x14ac:dyDescent="0.35">
      <c r="A9" s="247"/>
      <c r="B9" s="3"/>
      <c r="C9" s="4"/>
      <c r="D9" s="52"/>
      <c r="E9" s="98"/>
      <c r="F9" s="44"/>
      <c r="G9" s="61"/>
      <c r="H9" s="261"/>
      <c r="I9" s="42"/>
      <c r="J9" s="28"/>
      <c r="K9" s="28"/>
      <c r="L9" s="28"/>
      <c r="M9" s="28"/>
      <c r="N9" s="42"/>
      <c r="O9" s="28"/>
      <c r="P9" s="42"/>
      <c r="Q9" s="7"/>
      <c r="R9" s="43"/>
      <c r="S9" s="42"/>
      <c r="T9" s="43"/>
      <c r="U9" s="32"/>
      <c r="V9" s="53">
        <f t="shared" si="0"/>
        <v>0</v>
      </c>
      <c r="W9" s="64"/>
      <c r="Y9" s="65"/>
      <c r="Z9" s="128"/>
      <c r="AA9" s="181"/>
    </row>
    <row r="10" spans="1:27" s="2" customFormat="1" ht="14.1" customHeight="1" x14ac:dyDescent="0.35">
      <c r="A10" s="247"/>
      <c r="B10" s="3"/>
      <c r="C10" s="4"/>
      <c r="D10" s="52"/>
      <c r="E10" s="98"/>
      <c r="F10" s="44"/>
      <c r="G10" s="61"/>
      <c r="H10" s="261"/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/>
      <c r="T10" s="43"/>
      <c r="U10" s="32"/>
      <c r="V10" s="53">
        <f t="shared" si="0"/>
        <v>0</v>
      </c>
      <c r="W10" s="64"/>
      <c r="Y10" s="65"/>
      <c r="Z10" s="128"/>
      <c r="AA10" s="181"/>
    </row>
    <row r="11" spans="1:27" s="2" customFormat="1" ht="14.1" customHeight="1" x14ac:dyDescent="0.35">
      <c r="A11" s="247"/>
      <c r="B11" s="3"/>
      <c r="C11" s="4"/>
      <c r="D11" s="52"/>
      <c r="E11" s="98"/>
      <c r="F11" s="44"/>
      <c r="G11" s="61"/>
      <c r="H11" s="261"/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/>
      <c r="T11" s="43"/>
      <c r="U11" s="32"/>
      <c r="V11" s="53">
        <f t="shared" si="0"/>
        <v>0</v>
      </c>
      <c r="W11" s="64"/>
      <c r="Y11" s="65"/>
      <c r="Z11" s="128"/>
      <c r="AA11" s="181"/>
    </row>
    <row r="12" spans="1:27" s="2" customFormat="1" ht="14.1" customHeight="1" x14ac:dyDescent="0.35">
      <c r="A12" s="247"/>
      <c r="B12" s="3"/>
      <c r="C12" s="4"/>
      <c r="D12" s="52"/>
      <c r="E12" s="98"/>
      <c r="F12" s="44"/>
      <c r="G12" s="61"/>
      <c r="H12" s="261"/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/>
      <c r="T12" s="43"/>
      <c r="U12" s="32"/>
      <c r="V12" s="53">
        <f t="shared" si="0"/>
        <v>0</v>
      </c>
      <c r="W12" s="64"/>
      <c r="Y12" s="65"/>
      <c r="Z12" s="128"/>
      <c r="AA12" s="181"/>
    </row>
    <row r="13" spans="1:27" s="2" customFormat="1" ht="14.1" customHeight="1" x14ac:dyDescent="0.35">
      <c r="A13" s="247"/>
      <c r="B13" s="3"/>
      <c r="C13" s="4"/>
      <c r="D13" s="52"/>
      <c r="E13" s="98"/>
      <c r="F13" s="44"/>
      <c r="G13" s="61"/>
      <c r="H13" s="261"/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/>
      <c r="T13" s="43"/>
      <c r="U13" s="32"/>
      <c r="V13" s="53">
        <f t="shared" si="0"/>
        <v>0</v>
      </c>
      <c r="W13" s="64"/>
      <c r="Y13" s="65"/>
      <c r="Z13" s="128"/>
      <c r="AA13" s="181"/>
    </row>
    <row r="14" spans="1:27" s="2" customFormat="1" ht="14.1" customHeight="1" x14ac:dyDescent="0.35">
      <c r="A14" s="247"/>
      <c r="B14" s="3"/>
      <c r="C14" s="4"/>
      <c r="D14" s="52"/>
      <c r="E14" s="98"/>
      <c r="F14" s="44"/>
      <c r="G14" s="61"/>
      <c r="H14" s="261"/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/>
      <c r="T14" s="43"/>
      <c r="U14" s="32"/>
      <c r="V14" s="53">
        <f t="shared" si="0"/>
        <v>0</v>
      </c>
      <c r="W14" s="64"/>
      <c r="Y14" s="65"/>
      <c r="Z14" s="128"/>
      <c r="AA14" s="181"/>
    </row>
    <row r="15" spans="1:27" s="2" customFormat="1" ht="14.1" customHeight="1" x14ac:dyDescent="0.35">
      <c r="A15" s="247"/>
      <c r="B15" s="3"/>
      <c r="C15" s="4"/>
      <c r="D15" s="52"/>
      <c r="E15" s="98"/>
      <c r="F15" s="44"/>
      <c r="G15" s="61"/>
      <c r="H15" s="261"/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/>
      <c r="T15" s="43"/>
      <c r="U15" s="32"/>
      <c r="V15" s="53">
        <f t="shared" si="0"/>
        <v>0</v>
      </c>
      <c r="W15" s="64"/>
      <c r="Y15" s="65"/>
      <c r="Z15" s="128"/>
      <c r="AA15" s="181"/>
    </row>
    <row r="16" spans="1:27" s="2" customFormat="1" ht="14.1" customHeight="1" x14ac:dyDescent="0.35">
      <c r="A16" s="247"/>
      <c r="B16" s="3"/>
      <c r="C16" s="4"/>
      <c r="D16" s="52"/>
      <c r="E16" s="98"/>
      <c r="F16" s="44"/>
      <c r="G16" s="61"/>
      <c r="H16" s="261"/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/>
      <c r="T16" s="43"/>
      <c r="U16" s="32"/>
      <c r="V16" s="53">
        <f t="shared" si="0"/>
        <v>0</v>
      </c>
      <c r="W16" s="64"/>
      <c r="Y16" s="65"/>
      <c r="Z16" s="128"/>
      <c r="AA16" s="181"/>
    </row>
    <row r="17" spans="1:27" s="2" customFormat="1" ht="14.1" customHeight="1" x14ac:dyDescent="0.35">
      <c r="A17" s="247"/>
      <c r="B17" s="3"/>
      <c r="C17" s="4"/>
      <c r="D17" s="52"/>
      <c r="E17" s="98"/>
      <c r="F17" s="44"/>
      <c r="G17" s="61"/>
      <c r="H17" s="61"/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/>
      <c r="T17" s="43"/>
      <c r="U17" s="32"/>
      <c r="V17" s="53">
        <f t="shared" si="0"/>
        <v>0</v>
      </c>
      <c r="W17" s="64"/>
      <c r="Y17" s="65"/>
      <c r="Z17" s="105"/>
      <c r="AA17" s="181"/>
    </row>
    <row r="18" spans="1:27" s="2" customFormat="1" ht="14.1" customHeight="1" x14ac:dyDescent="0.35">
      <c r="A18" s="247"/>
      <c r="B18" s="3"/>
      <c r="C18" s="4"/>
      <c r="D18" s="52"/>
      <c r="E18" s="98"/>
      <c r="F18" s="44"/>
      <c r="G18" s="61"/>
      <c r="H18" s="61"/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/>
      <c r="T18" s="43"/>
      <c r="U18" s="32"/>
      <c r="V18" s="53">
        <f t="shared" si="0"/>
        <v>0</v>
      </c>
      <c r="W18" s="64"/>
      <c r="Y18" s="65"/>
      <c r="Z18" s="105"/>
      <c r="AA18" s="181"/>
    </row>
    <row r="19" spans="1:27" s="2" customFormat="1" ht="14.1" customHeight="1" x14ac:dyDescent="0.35">
      <c r="A19" s="247"/>
      <c r="B19" s="3"/>
      <c r="C19" s="4"/>
      <c r="D19" s="52"/>
      <c r="E19" s="98"/>
      <c r="F19" s="44"/>
      <c r="G19" s="61"/>
      <c r="H19" s="61"/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/>
      <c r="T19" s="43"/>
      <c r="U19" s="32"/>
      <c r="V19" s="53">
        <f t="shared" si="0"/>
        <v>0</v>
      </c>
      <c r="W19" s="64"/>
      <c r="Y19" s="65"/>
      <c r="Z19" s="105"/>
      <c r="AA19" s="181"/>
    </row>
    <row r="20" spans="1:27" s="2" customFormat="1" ht="14.1" customHeight="1" x14ac:dyDescent="0.35">
      <c r="A20" s="247"/>
      <c r="B20" s="3"/>
      <c r="C20" s="4"/>
      <c r="D20" s="52"/>
      <c r="E20" s="98"/>
      <c r="F20" s="44"/>
      <c r="G20" s="61"/>
      <c r="H20" s="61"/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/>
      <c r="T20" s="43"/>
      <c r="U20" s="32"/>
      <c r="V20" s="53">
        <f t="shared" si="0"/>
        <v>0</v>
      </c>
      <c r="W20" s="64"/>
      <c r="Y20" s="65"/>
      <c r="Z20" s="105"/>
      <c r="AA20" s="181"/>
    </row>
    <row r="21" spans="1:27" s="2" customFormat="1" ht="14.1" customHeight="1" thickBot="1" x14ac:dyDescent="0.4">
      <c r="A21" s="247"/>
      <c r="B21" s="3"/>
      <c r="C21" s="4"/>
      <c r="D21" s="52"/>
      <c r="E21" s="98"/>
      <c r="F21" s="44"/>
      <c r="G21" s="61"/>
      <c r="H21" s="261"/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/>
      <c r="T21" s="43"/>
      <c r="U21" s="32"/>
      <c r="V21" s="53">
        <f t="shared" ref="V21" si="1">SUM(I21:U21)</f>
        <v>0</v>
      </c>
      <c r="W21" s="64"/>
      <c r="Y21" s="65"/>
      <c r="Z21" s="128"/>
      <c r="AA21" s="181"/>
    </row>
    <row r="22" spans="1:27" s="2" customFormat="1" ht="14.1" customHeight="1" thickBot="1" x14ac:dyDescent="0.4">
      <c r="A22" s="248"/>
      <c r="B22" s="162" t="s">
        <v>10</v>
      </c>
      <c r="C22" s="45"/>
      <c r="D22" s="89"/>
      <c r="E22" s="90"/>
      <c r="F22" s="45"/>
      <c r="G22" s="91"/>
      <c r="H22" s="91"/>
      <c r="I22" s="163">
        <f>SUM(I5:I21)</f>
        <v>0</v>
      </c>
      <c r="J22" s="163">
        <f>SUM(J5:J21)</f>
        <v>0</v>
      </c>
      <c r="K22" s="163">
        <f>SUM(K5:K21)</f>
        <v>0</v>
      </c>
      <c r="L22" s="164">
        <f>SUM(L5:L21)</f>
        <v>0</v>
      </c>
      <c r="M22" s="165">
        <f>SUM(M5:M21)</f>
        <v>0</v>
      </c>
      <c r="N22" s="280">
        <f>SUM(N5:O21)</f>
        <v>137</v>
      </c>
      <c r="O22" s="281"/>
      <c r="P22" s="172">
        <f t="shared" ref="P22:V22" si="2">SUM(P5:P21)</f>
        <v>0</v>
      </c>
      <c r="Q22" s="172">
        <f t="shared" si="2"/>
        <v>0</v>
      </c>
      <c r="R22" s="172">
        <f t="shared" si="2"/>
        <v>0</v>
      </c>
      <c r="S22" s="173">
        <f t="shared" si="2"/>
        <v>104</v>
      </c>
      <c r="T22" s="173">
        <f t="shared" si="2"/>
        <v>0</v>
      </c>
      <c r="U22" s="171">
        <f t="shared" si="2"/>
        <v>9.6199999999999992</v>
      </c>
      <c r="V22" s="166">
        <f t="shared" si="2"/>
        <v>250.62</v>
      </c>
      <c r="W22" s="50"/>
      <c r="X22" s="92"/>
      <c r="Y22" s="170"/>
      <c r="Z22" s="254"/>
      <c r="AA22" s="171">
        <f>SUM(AA5:AA21)</f>
        <v>0</v>
      </c>
    </row>
    <row r="23" spans="1:27" s="6" customFormat="1" ht="12.75" customHeight="1" x14ac:dyDescent="0.35">
      <c r="A23" s="249"/>
      <c r="C23" s="240"/>
      <c r="D23" s="240"/>
      <c r="F23" s="240"/>
      <c r="G23" s="241"/>
      <c r="H23" s="241"/>
      <c r="X23" s="81"/>
      <c r="Y23" s="81"/>
      <c r="Z23" s="242"/>
    </row>
    <row r="24" spans="1:27" ht="14.25" customHeight="1" x14ac:dyDescent="0.35">
      <c r="S24" s="6"/>
    </row>
    <row r="25" spans="1:27" ht="9" customHeight="1" x14ac:dyDescent="0.35">
      <c r="S25" s="6"/>
    </row>
  </sheetData>
  <mergeCells count="2">
    <mergeCell ref="A1:B1"/>
    <mergeCell ref="N22:O22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51"/>
  <sheetViews>
    <sheetView tabSelected="1" zoomScale="120" zoomScaleNormal="120" workbookViewId="0">
      <pane ySplit="2" topLeftCell="A117" activePane="bottomLeft" state="frozen"/>
      <selection pane="bottomLeft" activeCell="J104" sqref="J104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7" ht="18.75" customHeight="1" thickBot="1" x14ac:dyDescent="0.4">
      <c r="A1" s="250"/>
      <c r="B1" s="251">
        <v>45201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7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7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7" s="2" customFormat="1" ht="14.1" customHeight="1" x14ac:dyDescent="0.35">
      <c r="A4" s="183" t="s">
        <v>38</v>
      </c>
      <c r="B4" s="224" t="s">
        <v>63</v>
      </c>
      <c r="C4" s="239"/>
      <c r="D4" s="229">
        <v>2143103</v>
      </c>
      <c r="E4" s="185">
        <v>44971</v>
      </c>
      <c r="F4" s="188" t="s">
        <v>20</v>
      </c>
      <c r="G4" s="225">
        <v>44971</v>
      </c>
      <c r="H4" s="194"/>
      <c r="I4" s="191"/>
      <c r="J4" s="191"/>
      <c r="K4" s="191"/>
      <c r="L4" s="191"/>
      <c r="M4" s="194"/>
      <c r="N4" s="191"/>
      <c r="O4" s="194"/>
      <c r="P4" s="226"/>
      <c r="Q4" s="197"/>
      <c r="R4" s="194">
        <v>90</v>
      </c>
      <c r="S4" s="197">
        <v>10</v>
      </c>
      <c r="T4" s="200">
        <v>8.44</v>
      </c>
      <c r="U4" s="203">
        <f>SUM(H4:T4)</f>
        <v>108.44</v>
      </c>
      <c r="V4" s="205" t="s">
        <v>30</v>
      </c>
      <c r="W4" s="227" t="s">
        <v>38</v>
      </c>
      <c r="X4" s="65" t="s">
        <v>17</v>
      </c>
      <c r="Y4" s="105"/>
      <c r="Z4" s="181"/>
    </row>
    <row r="5" spans="1:27" s="2" customFormat="1" ht="14.1" customHeight="1" x14ac:dyDescent="0.35">
      <c r="A5" s="257" t="s">
        <v>38</v>
      </c>
      <c r="B5" s="224" t="s">
        <v>66</v>
      </c>
      <c r="C5" s="239"/>
      <c r="D5" s="229">
        <v>3093104</v>
      </c>
      <c r="E5" s="185">
        <v>44994</v>
      </c>
      <c r="F5" s="188" t="s">
        <v>20</v>
      </c>
      <c r="G5" s="225">
        <v>44995</v>
      </c>
      <c r="H5" s="194"/>
      <c r="I5" s="191"/>
      <c r="J5" s="191"/>
      <c r="K5" s="191"/>
      <c r="L5" s="191"/>
      <c r="M5" s="194"/>
      <c r="N5" s="191"/>
      <c r="O5" s="194"/>
      <c r="P5" s="226"/>
      <c r="Q5" s="197"/>
      <c r="R5" s="194">
        <v>39</v>
      </c>
      <c r="S5" s="197">
        <v>12.5</v>
      </c>
      <c r="T5" s="200">
        <v>4</v>
      </c>
      <c r="U5" s="203">
        <f>SUM(H5:T5)</f>
        <v>55.5</v>
      </c>
      <c r="V5" s="205" t="s">
        <v>65</v>
      </c>
      <c r="W5" s="227" t="s">
        <v>58</v>
      </c>
      <c r="X5" s="65" t="s">
        <v>17</v>
      </c>
      <c r="Y5" s="105"/>
      <c r="Z5" s="181"/>
    </row>
    <row r="6" spans="1:27" s="2" customFormat="1" ht="14.1" customHeight="1" x14ac:dyDescent="0.35">
      <c r="A6" s="257" t="s">
        <v>38</v>
      </c>
      <c r="B6" s="224" t="s">
        <v>62</v>
      </c>
      <c r="C6" s="239"/>
      <c r="D6" s="229">
        <v>3133101</v>
      </c>
      <c r="E6" s="185">
        <v>44998</v>
      </c>
      <c r="F6" s="188" t="s">
        <v>20</v>
      </c>
      <c r="G6" s="225">
        <v>44998</v>
      </c>
      <c r="H6" s="194"/>
      <c r="I6" s="191"/>
      <c r="J6" s="191"/>
      <c r="K6" s="191"/>
      <c r="L6" s="191"/>
      <c r="M6" s="194"/>
      <c r="N6" s="191"/>
      <c r="O6" s="194"/>
      <c r="P6" s="226"/>
      <c r="Q6" s="197"/>
      <c r="R6" s="194">
        <v>298</v>
      </c>
      <c r="S6" s="197">
        <v>62.5</v>
      </c>
      <c r="T6" s="200">
        <v>24.59</v>
      </c>
      <c r="U6" s="203">
        <f>SUM(H6:T6)</f>
        <v>385.09</v>
      </c>
      <c r="V6" s="205" t="s">
        <v>65</v>
      </c>
      <c r="W6" s="227" t="s">
        <v>61</v>
      </c>
      <c r="X6" s="65" t="s">
        <v>17</v>
      </c>
      <c r="Y6" s="105"/>
      <c r="Z6" s="181"/>
    </row>
    <row r="7" spans="1:27" s="2" customFormat="1" ht="13.2" customHeight="1" x14ac:dyDescent="0.35">
      <c r="A7" s="257" t="s">
        <v>38</v>
      </c>
      <c r="B7" s="224" t="s">
        <v>62</v>
      </c>
      <c r="C7" s="239"/>
      <c r="D7" s="229">
        <v>4103101</v>
      </c>
      <c r="E7" s="185">
        <v>45026</v>
      </c>
      <c r="F7" s="188" t="s">
        <v>20</v>
      </c>
      <c r="G7" s="225">
        <v>45026</v>
      </c>
      <c r="H7" s="194"/>
      <c r="I7" s="191"/>
      <c r="J7" s="191"/>
      <c r="K7" s="191"/>
      <c r="L7" s="191"/>
      <c r="M7" s="194"/>
      <c r="N7" s="191"/>
      <c r="O7" s="194"/>
      <c r="P7" s="226"/>
      <c r="Q7" s="197"/>
      <c r="R7" s="194">
        <v>415</v>
      </c>
      <c r="S7" s="197">
        <v>62.5</v>
      </c>
      <c r="T7" s="200">
        <v>34.24</v>
      </c>
      <c r="U7" s="203">
        <f>SUM(H7:T7)</f>
        <v>511.74</v>
      </c>
      <c r="V7" s="205" t="s">
        <v>65</v>
      </c>
      <c r="W7" s="227" t="s">
        <v>58</v>
      </c>
      <c r="X7" s="65" t="s">
        <v>17</v>
      </c>
      <c r="Y7" s="105"/>
      <c r="Z7" s="181"/>
    </row>
    <row r="8" spans="1:27" s="2" customFormat="1" ht="14.1" customHeight="1" x14ac:dyDescent="0.35">
      <c r="A8" s="257" t="s">
        <v>37</v>
      </c>
      <c r="B8" s="224" t="s">
        <v>71</v>
      </c>
      <c r="C8" s="239"/>
      <c r="D8" s="229">
        <v>5013262</v>
      </c>
      <c r="E8" s="185">
        <v>45047</v>
      </c>
      <c r="F8" s="188" t="s">
        <v>72</v>
      </c>
      <c r="G8" s="225">
        <v>45047</v>
      </c>
      <c r="H8" s="194"/>
      <c r="I8" s="191"/>
      <c r="J8" s="191"/>
      <c r="K8" s="191"/>
      <c r="L8" s="191"/>
      <c r="M8" s="194"/>
      <c r="N8" s="191"/>
      <c r="O8" s="194">
        <v>37.5</v>
      </c>
      <c r="P8" s="226"/>
      <c r="Q8" s="197"/>
      <c r="R8" s="194"/>
      <c r="S8" s="197">
        <v>12.5</v>
      </c>
      <c r="T8" s="200">
        <v>3.52</v>
      </c>
      <c r="U8" s="203">
        <f>SUM(H8:T8)</f>
        <v>53.52</v>
      </c>
      <c r="V8" s="205" t="s">
        <v>7</v>
      </c>
      <c r="W8" s="227" t="s">
        <v>37</v>
      </c>
      <c r="X8" s="65" t="s">
        <v>17</v>
      </c>
      <c r="Y8" s="105"/>
      <c r="Z8" s="181"/>
    </row>
    <row r="9" spans="1:27" s="2" customFormat="1" ht="14.1" customHeight="1" x14ac:dyDescent="0.35">
      <c r="A9" s="257" t="s">
        <v>38</v>
      </c>
      <c r="B9" s="224" t="s">
        <v>75</v>
      </c>
      <c r="C9" s="239"/>
      <c r="D9" s="229">
        <v>5303104</v>
      </c>
      <c r="E9" s="185">
        <v>45076</v>
      </c>
      <c r="F9" s="188" t="s">
        <v>20</v>
      </c>
      <c r="G9" s="225">
        <v>45076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29</v>
      </c>
      <c r="S9" s="197">
        <v>12.5</v>
      </c>
      <c r="T9" s="200">
        <v>2.5</v>
      </c>
      <c r="U9" s="203">
        <f t="shared" ref="U9" si="0">SUM(H9:T9)</f>
        <v>44</v>
      </c>
      <c r="V9" s="205" t="s">
        <v>65</v>
      </c>
      <c r="W9" s="227" t="s">
        <v>38</v>
      </c>
      <c r="X9" s="65" t="s">
        <v>17</v>
      </c>
      <c r="Y9" s="105"/>
      <c r="Z9" s="181"/>
    </row>
    <row r="10" spans="1:27" s="2" customFormat="1" ht="14.1" customHeight="1" x14ac:dyDescent="0.35">
      <c r="A10" s="257" t="s">
        <v>38</v>
      </c>
      <c r="B10" s="224" t="s">
        <v>62</v>
      </c>
      <c r="C10" s="239"/>
      <c r="D10" s="229">
        <v>6063102</v>
      </c>
      <c r="E10" s="185">
        <v>45083</v>
      </c>
      <c r="F10" s="188" t="s">
        <v>20</v>
      </c>
      <c r="G10" s="225">
        <v>45083</v>
      </c>
      <c r="H10" s="194"/>
      <c r="I10" s="191"/>
      <c r="J10" s="191"/>
      <c r="K10" s="191"/>
      <c r="L10" s="191"/>
      <c r="M10" s="194"/>
      <c r="N10" s="191"/>
      <c r="O10" s="194"/>
      <c r="P10" s="226"/>
      <c r="Q10" s="197"/>
      <c r="R10" s="194">
        <v>415</v>
      </c>
      <c r="S10" s="197">
        <v>62.5</v>
      </c>
      <c r="T10" s="200">
        <v>34.24</v>
      </c>
      <c r="U10" s="203">
        <f t="shared" ref="U10:U13" si="1">SUM(H10:T10)</f>
        <v>511.74</v>
      </c>
      <c r="V10" s="205" t="s">
        <v>65</v>
      </c>
      <c r="W10" s="227" t="s">
        <v>58</v>
      </c>
      <c r="X10" s="65" t="s">
        <v>17</v>
      </c>
      <c r="Y10" s="105"/>
      <c r="Z10" s="181"/>
    </row>
    <row r="11" spans="1:27" s="2" customFormat="1" ht="14.1" customHeight="1" x14ac:dyDescent="0.35">
      <c r="A11" s="257" t="s">
        <v>38</v>
      </c>
      <c r="B11" s="224" t="s">
        <v>76</v>
      </c>
      <c r="C11" s="239"/>
      <c r="D11" s="229">
        <v>6233103</v>
      </c>
      <c r="E11" s="185">
        <v>45100</v>
      </c>
      <c r="F11" s="188" t="s">
        <v>20</v>
      </c>
      <c r="G11" s="225">
        <v>45100</v>
      </c>
      <c r="H11" s="194"/>
      <c r="I11" s="191"/>
      <c r="J11" s="191"/>
      <c r="K11" s="191"/>
      <c r="L11" s="191"/>
      <c r="M11" s="194"/>
      <c r="N11" s="191"/>
      <c r="O11" s="194"/>
      <c r="P11" s="226"/>
      <c r="Q11" s="197"/>
      <c r="R11" s="194">
        <v>110</v>
      </c>
      <c r="S11" s="197">
        <v>25</v>
      </c>
      <c r="T11" s="200">
        <v>9.35</v>
      </c>
      <c r="U11" s="203">
        <f t="shared" si="1"/>
        <v>144.35</v>
      </c>
      <c r="V11" s="205" t="s">
        <v>65</v>
      </c>
      <c r="W11" s="227" t="s">
        <v>38</v>
      </c>
      <c r="X11" s="65" t="s">
        <v>17</v>
      </c>
      <c r="Y11" s="105"/>
      <c r="Z11" s="181"/>
    </row>
    <row r="12" spans="1:27" s="2" customFormat="1" ht="14.1" customHeight="1" x14ac:dyDescent="0.35">
      <c r="A12" s="257" t="s">
        <v>37</v>
      </c>
      <c r="B12" s="224" t="s">
        <v>71</v>
      </c>
      <c r="C12" s="239"/>
      <c r="D12" s="229">
        <v>6203051</v>
      </c>
      <c r="E12" s="185">
        <v>45097</v>
      </c>
      <c r="F12" s="188" t="s">
        <v>74</v>
      </c>
      <c r="G12" s="225">
        <v>45103</v>
      </c>
      <c r="H12" s="194"/>
      <c r="I12" s="191">
        <v>762</v>
      </c>
      <c r="J12" s="191"/>
      <c r="K12" s="191"/>
      <c r="L12" s="191"/>
      <c r="M12" s="194"/>
      <c r="N12" s="191"/>
      <c r="O12" s="194"/>
      <c r="P12" s="226"/>
      <c r="Q12" s="197"/>
      <c r="R12" s="194"/>
      <c r="S12" s="197"/>
      <c r="T12" s="200"/>
      <c r="U12" s="203">
        <f t="shared" si="1"/>
        <v>762</v>
      </c>
      <c r="V12" s="205" t="s">
        <v>25</v>
      </c>
      <c r="W12" s="227" t="s">
        <v>37</v>
      </c>
      <c r="X12" s="65" t="s">
        <v>17</v>
      </c>
      <c r="Y12" s="105"/>
      <c r="Z12" s="181"/>
    </row>
    <row r="13" spans="1:27" s="2" customFormat="1" ht="14.1" customHeight="1" thickBot="1" x14ac:dyDescent="0.4">
      <c r="A13" s="257" t="s">
        <v>38</v>
      </c>
      <c r="B13" s="224" t="s">
        <v>77</v>
      </c>
      <c r="C13" s="239"/>
      <c r="D13" s="229">
        <v>6263103</v>
      </c>
      <c r="E13" s="185">
        <v>45103</v>
      </c>
      <c r="F13" s="188" t="s">
        <v>20</v>
      </c>
      <c r="G13" s="225">
        <v>45103</v>
      </c>
      <c r="H13" s="194"/>
      <c r="I13" s="191"/>
      <c r="J13" s="191"/>
      <c r="K13" s="191"/>
      <c r="L13" s="191"/>
      <c r="M13" s="194"/>
      <c r="N13" s="191"/>
      <c r="O13" s="194"/>
      <c r="P13" s="226"/>
      <c r="Q13" s="197"/>
      <c r="R13" s="194">
        <v>204</v>
      </c>
      <c r="S13" s="197">
        <v>50</v>
      </c>
      <c r="T13" s="200">
        <v>18.36</v>
      </c>
      <c r="U13" s="203">
        <f t="shared" si="1"/>
        <v>272.36</v>
      </c>
      <c r="V13" s="205" t="s">
        <v>65</v>
      </c>
      <c r="W13" s="227" t="s">
        <v>5</v>
      </c>
      <c r="X13" s="65" t="s">
        <v>17</v>
      </c>
      <c r="Y13" s="105"/>
      <c r="Z13" s="181"/>
    </row>
    <row r="14" spans="1:27" s="2" customFormat="1" ht="14.1" customHeight="1" thickBot="1" x14ac:dyDescent="0.25">
      <c r="A14" s="176"/>
      <c r="B14" s="177"/>
      <c r="C14" s="178"/>
      <c r="D14" s="178"/>
      <c r="E14" s="211"/>
      <c r="F14" s="212"/>
      <c r="G14" s="179"/>
      <c r="H14" s="213"/>
      <c r="I14" s="213"/>
      <c r="J14" s="214"/>
      <c r="K14" s="214"/>
      <c r="L14" s="214"/>
      <c r="M14" s="213"/>
      <c r="N14" s="213"/>
      <c r="O14" s="213"/>
      <c r="P14" s="50"/>
      <c r="Q14" s="222"/>
      <c r="R14" s="213"/>
      <c r="S14" s="222"/>
      <c r="T14" s="215"/>
      <c r="U14" s="216"/>
      <c r="V14" s="217"/>
      <c r="W14" s="84"/>
      <c r="X14" s="84"/>
      <c r="Y14" s="259">
        <f>SUM(U4:U13)</f>
        <v>2848.7400000000002</v>
      </c>
      <c r="Z14" s="237">
        <f>Y14/V127</f>
        <v>3.4119637793396981E-2</v>
      </c>
      <c r="AA14" s="181"/>
    </row>
    <row r="15" spans="1:27" s="2" customFormat="1" ht="14.1" customHeight="1" x14ac:dyDescent="0.35">
      <c r="A15" s="256" t="s">
        <v>6</v>
      </c>
      <c r="B15" s="219" t="s">
        <v>81</v>
      </c>
      <c r="C15" s="232"/>
      <c r="D15" s="230">
        <v>7103067</v>
      </c>
      <c r="E15" s="186">
        <v>45117</v>
      </c>
      <c r="F15" s="189" t="s">
        <v>20</v>
      </c>
      <c r="G15" s="220">
        <v>45117</v>
      </c>
      <c r="H15" s="195"/>
      <c r="I15" s="193"/>
      <c r="J15" s="193"/>
      <c r="K15" s="193"/>
      <c r="L15" s="193"/>
      <c r="M15" s="195"/>
      <c r="N15" s="193"/>
      <c r="O15" s="195"/>
      <c r="P15" s="221"/>
      <c r="Q15" s="198"/>
      <c r="R15" s="195">
        <v>726</v>
      </c>
      <c r="S15" s="198">
        <v>75</v>
      </c>
      <c r="T15" s="201">
        <v>67.16</v>
      </c>
      <c r="U15" s="204">
        <f t="shared" ref="U15:U19" si="2">SUM(H15:T15)</f>
        <v>868.16</v>
      </c>
      <c r="V15" s="207" t="s">
        <v>7</v>
      </c>
      <c r="W15" s="223" t="s">
        <v>6</v>
      </c>
      <c r="X15" s="65" t="s">
        <v>17</v>
      </c>
      <c r="Y15" s="105"/>
      <c r="Z15" s="181"/>
    </row>
    <row r="16" spans="1:27" s="2" customFormat="1" ht="14.1" customHeight="1" x14ac:dyDescent="0.35">
      <c r="A16" s="256" t="s">
        <v>38</v>
      </c>
      <c r="B16" s="219" t="s">
        <v>62</v>
      </c>
      <c r="C16" s="232"/>
      <c r="D16" s="230">
        <v>7103102</v>
      </c>
      <c r="E16" s="186">
        <v>45117</v>
      </c>
      <c r="F16" s="189" t="s">
        <v>20</v>
      </c>
      <c r="G16" s="220">
        <v>45117</v>
      </c>
      <c r="H16" s="195"/>
      <c r="I16" s="193"/>
      <c r="J16" s="193"/>
      <c r="K16" s="193"/>
      <c r="L16" s="193"/>
      <c r="M16" s="195"/>
      <c r="N16" s="193"/>
      <c r="O16" s="195"/>
      <c r="P16" s="221"/>
      <c r="Q16" s="198"/>
      <c r="R16" s="195">
        <v>220</v>
      </c>
      <c r="S16" s="198">
        <v>50</v>
      </c>
      <c r="T16" s="201">
        <v>18.149999999999999</v>
      </c>
      <c r="U16" s="204">
        <f t="shared" si="2"/>
        <v>288.14999999999998</v>
      </c>
      <c r="V16" s="207" t="s">
        <v>65</v>
      </c>
      <c r="W16" s="223" t="s">
        <v>5</v>
      </c>
      <c r="X16" s="65" t="s">
        <v>17</v>
      </c>
      <c r="Y16" s="105"/>
      <c r="Z16" s="181"/>
    </row>
    <row r="17" spans="1:28" s="2" customFormat="1" ht="14.1" customHeight="1" x14ac:dyDescent="0.35">
      <c r="A17" s="256" t="s">
        <v>38</v>
      </c>
      <c r="B17" s="219" t="s">
        <v>80</v>
      </c>
      <c r="C17" s="232"/>
      <c r="D17" s="230">
        <v>7103107</v>
      </c>
      <c r="E17" s="186">
        <v>45117</v>
      </c>
      <c r="F17" s="189" t="s">
        <v>20</v>
      </c>
      <c r="G17" s="220">
        <v>45117</v>
      </c>
      <c r="H17" s="195"/>
      <c r="I17" s="193"/>
      <c r="J17" s="193"/>
      <c r="K17" s="193"/>
      <c r="L17" s="193"/>
      <c r="M17" s="195"/>
      <c r="N17" s="193"/>
      <c r="O17" s="195"/>
      <c r="P17" s="221"/>
      <c r="Q17" s="198"/>
      <c r="R17" s="195">
        <v>130</v>
      </c>
      <c r="S17" s="198">
        <v>25</v>
      </c>
      <c r="T17" s="201">
        <v>10.08</v>
      </c>
      <c r="U17" s="204">
        <f t="shared" si="2"/>
        <v>165.08</v>
      </c>
      <c r="V17" s="207" t="s">
        <v>65</v>
      </c>
      <c r="W17" s="223" t="s">
        <v>5</v>
      </c>
      <c r="X17" s="65" t="s">
        <v>17</v>
      </c>
      <c r="Y17" s="105"/>
      <c r="Z17" s="181"/>
    </row>
    <row r="18" spans="1:28" s="2" customFormat="1" ht="14.1" customHeight="1" x14ac:dyDescent="0.35">
      <c r="A18" s="256" t="s">
        <v>38</v>
      </c>
      <c r="B18" s="219" t="s">
        <v>82</v>
      </c>
      <c r="C18" s="232"/>
      <c r="D18" s="230">
        <v>7103107</v>
      </c>
      <c r="E18" s="186">
        <v>45117</v>
      </c>
      <c r="F18" s="189" t="s">
        <v>20</v>
      </c>
      <c r="G18" s="220">
        <v>45118</v>
      </c>
      <c r="H18" s="195"/>
      <c r="I18" s="193"/>
      <c r="J18" s="193"/>
      <c r="K18" s="193"/>
      <c r="L18" s="193"/>
      <c r="M18" s="195"/>
      <c r="N18" s="193"/>
      <c r="O18" s="195"/>
      <c r="P18" s="221"/>
      <c r="Q18" s="198"/>
      <c r="R18" s="195">
        <v>65</v>
      </c>
      <c r="S18" s="198">
        <v>12.5</v>
      </c>
      <c r="T18" s="201">
        <v>6.01</v>
      </c>
      <c r="U18" s="204">
        <f t="shared" si="2"/>
        <v>83.51</v>
      </c>
      <c r="V18" s="207" t="s">
        <v>65</v>
      </c>
      <c r="W18" s="223" t="s">
        <v>38</v>
      </c>
      <c r="X18" s="65" t="s">
        <v>17</v>
      </c>
      <c r="Y18" s="105"/>
      <c r="Z18" s="181"/>
    </row>
    <row r="19" spans="1:28" s="2" customFormat="1" ht="14.1" customHeight="1" x14ac:dyDescent="0.35">
      <c r="A19" s="256" t="s">
        <v>38</v>
      </c>
      <c r="B19" s="219" t="s">
        <v>83</v>
      </c>
      <c r="C19" s="232"/>
      <c r="D19" s="230">
        <v>7103109</v>
      </c>
      <c r="E19" s="186">
        <v>45117</v>
      </c>
      <c r="F19" s="189" t="s">
        <v>20</v>
      </c>
      <c r="G19" s="220">
        <v>45118</v>
      </c>
      <c r="H19" s="195"/>
      <c r="I19" s="193"/>
      <c r="J19" s="193"/>
      <c r="K19" s="193"/>
      <c r="L19" s="193"/>
      <c r="M19" s="195"/>
      <c r="N19" s="193"/>
      <c r="O19" s="195"/>
      <c r="P19" s="221"/>
      <c r="Q19" s="198"/>
      <c r="R19" s="195">
        <v>292</v>
      </c>
      <c r="S19" s="198">
        <v>50</v>
      </c>
      <c r="T19" s="201">
        <v>27.01</v>
      </c>
      <c r="U19" s="204">
        <f t="shared" si="2"/>
        <v>369.01</v>
      </c>
      <c r="V19" s="207" t="s">
        <v>65</v>
      </c>
      <c r="W19" s="223" t="s">
        <v>38</v>
      </c>
      <c r="X19" s="65" t="s">
        <v>17</v>
      </c>
      <c r="Y19" s="105"/>
      <c r="Z19" s="181"/>
    </row>
    <row r="20" spans="1:28" s="2" customFormat="1" ht="14.1" customHeight="1" x14ac:dyDescent="0.35">
      <c r="A20" s="256" t="s">
        <v>38</v>
      </c>
      <c r="B20" s="219" t="s">
        <v>84</v>
      </c>
      <c r="C20" s="232"/>
      <c r="D20" s="230">
        <v>7203101</v>
      </c>
      <c r="E20" s="186">
        <v>45127</v>
      </c>
      <c r="F20" s="189" t="s">
        <v>20</v>
      </c>
      <c r="G20" s="220">
        <v>45127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240</v>
      </c>
      <c r="S20" s="198">
        <v>50</v>
      </c>
      <c r="T20" s="201">
        <v>18.600000000000001</v>
      </c>
      <c r="U20" s="204">
        <f t="shared" ref="U20:U31" si="3">SUM(H20:T20)</f>
        <v>308.60000000000002</v>
      </c>
      <c r="V20" s="207" t="s">
        <v>68</v>
      </c>
      <c r="W20" s="223" t="s">
        <v>85</v>
      </c>
      <c r="X20" s="65" t="s">
        <v>17</v>
      </c>
      <c r="Y20" s="105"/>
      <c r="Z20" s="181"/>
    </row>
    <row r="21" spans="1:28" s="2" customFormat="1" ht="14.1" customHeight="1" x14ac:dyDescent="0.35">
      <c r="A21" s="256" t="s">
        <v>38</v>
      </c>
      <c r="B21" s="219" t="s">
        <v>86</v>
      </c>
      <c r="C21" s="232"/>
      <c r="D21" s="230">
        <v>7203104</v>
      </c>
      <c r="E21" s="186">
        <v>45127</v>
      </c>
      <c r="F21" s="189" t="s">
        <v>20</v>
      </c>
      <c r="G21" s="220">
        <v>45127</v>
      </c>
      <c r="H21" s="195"/>
      <c r="I21" s="193"/>
      <c r="J21" s="193"/>
      <c r="K21" s="193"/>
      <c r="L21" s="193"/>
      <c r="M21" s="195"/>
      <c r="N21" s="193"/>
      <c r="O21" s="195"/>
      <c r="P21" s="221"/>
      <c r="Q21" s="198"/>
      <c r="R21" s="195">
        <v>29</v>
      </c>
      <c r="S21" s="198"/>
      <c r="T21" s="201">
        <v>2.68</v>
      </c>
      <c r="U21" s="204">
        <f t="shared" si="3"/>
        <v>31.68</v>
      </c>
      <c r="V21" s="207" t="s">
        <v>33</v>
      </c>
      <c r="W21" s="223" t="s">
        <v>87</v>
      </c>
      <c r="X21" s="65" t="s">
        <v>17</v>
      </c>
      <c r="Y21" s="105"/>
      <c r="Z21" s="181"/>
    </row>
    <row r="22" spans="1:28" s="2" customFormat="1" ht="14.1" customHeight="1" x14ac:dyDescent="0.35">
      <c r="A22" s="256" t="s">
        <v>38</v>
      </c>
      <c r="B22" s="219" t="s">
        <v>88</v>
      </c>
      <c r="C22" s="232"/>
      <c r="D22" s="230">
        <v>7203105</v>
      </c>
      <c r="E22" s="186">
        <v>45127</v>
      </c>
      <c r="F22" s="189" t="s">
        <v>20</v>
      </c>
      <c r="G22" s="220">
        <v>45127</v>
      </c>
      <c r="H22" s="195"/>
      <c r="I22" s="193"/>
      <c r="J22" s="193"/>
      <c r="K22" s="193"/>
      <c r="L22" s="193"/>
      <c r="M22" s="195"/>
      <c r="N22" s="193"/>
      <c r="O22" s="195"/>
      <c r="P22" s="221"/>
      <c r="Q22" s="198"/>
      <c r="R22" s="195">
        <v>135</v>
      </c>
      <c r="S22" s="198">
        <v>12.5</v>
      </c>
      <c r="T22" s="201">
        <v>11.64</v>
      </c>
      <c r="U22" s="204">
        <f t="shared" si="3"/>
        <v>159.13999999999999</v>
      </c>
      <c r="V22" s="207" t="s">
        <v>7</v>
      </c>
      <c r="W22" s="223" t="s">
        <v>8</v>
      </c>
      <c r="X22" s="65" t="s">
        <v>17</v>
      </c>
      <c r="Y22" s="105"/>
      <c r="Z22" s="181"/>
    </row>
    <row r="23" spans="1:28" s="2" customFormat="1" ht="14.1" customHeight="1" x14ac:dyDescent="0.35">
      <c r="A23" s="256" t="s">
        <v>38</v>
      </c>
      <c r="B23" s="219" t="s">
        <v>89</v>
      </c>
      <c r="C23" s="232"/>
      <c r="D23" s="230">
        <v>7243102</v>
      </c>
      <c r="E23" s="186">
        <v>45131</v>
      </c>
      <c r="F23" s="189" t="s">
        <v>20</v>
      </c>
      <c r="G23" s="220">
        <v>45131</v>
      </c>
      <c r="H23" s="195"/>
      <c r="I23" s="193"/>
      <c r="J23" s="193"/>
      <c r="K23" s="193"/>
      <c r="L23" s="193"/>
      <c r="M23" s="195"/>
      <c r="N23" s="193"/>
      <c r="O23" s="195"/>
      <c r="P23" s="221"/>
      <c r="Q23" s="198"/>
      <c r="R23" s="195">
        <v>175</v>
      </c>
      <c r="S23" s="198">
        <v>37.5</v>
      </c>
      <c r="T23" s="201">
        <v>14.44</v>
      </c>
      <c r="U23" s="204">
        <f t="shared" si="3"/>
        <v>226.94</v>
      </c>
      <c r="V23" s="207" t="s">
        <v>65</v>
      </c>
      <c r="W23" s="223" t="s">
        <v>38</v>
      </c>
      <c r="X23" s="65" t="s">
        <v>17</v>
      </c>
      <c r="Y23" s="105"/>
      <c r="Z23" s="181"/>
    </row>
    <row r="24" spans="1:28" s="2" customFormat="1" ht="14.1" customHeight="1" x14ac:dyDescent="0.35">
      <c r="A24" s="256" t="s">
        <v>38</v>
      </c>
      <c r="B24" s="219" t="s">
        <v>90</v>
      </c>
      <c r="C24" s="232"/>
      <c r="D24" s="230">
        <v>7243105</v>
      </c>
      <c r="E24" s="186">
        <v>45131</v>
      </c>
      <c r="F24" s="189" t="s">
        <v>20</v>
      </c>
      <c r="G24" s="220">
        <v>45132</v>
      </c>
      <c r="H24" s="195"/>
      <c r="I24" s="193"/>
      <c r="J24" s="193"/>
      <c r="K24" s="193"/>
      <c r="L24" s="193"/>
      <c r="M24" s="195"/>
      <c r="N24" s="193"/>
      <c r="O24" s="195"/>
      <c r="P24" s="221"/>
      <c r="Q24" s="198"/>
      <c r="R24" s="195">
        <v>188</v>
      </c>
      <c r="S24" s="198">
        <v>37.5</v>
      </c>
      <c r="T24" s="201">
        <v>16.22</v>
      </c>
      <c r="U24" s="204">
        <f t="shared" si="3"/>
        <v>241.72</v>
      </c>
      <c r="V24" s="207" t="s">
        <v>65</v>
      </c>
      <c r="W24" s="223" t="s">
        <v>38</v>
      </c>
      <c r="X24" s="65" t="s">
        <v>17</v>
      </c>
      <c r="Y24" s="105"/>
      <c r="Z24" s="181"/>
    </row>
    <row r="25" spans="1:28" s="2" customFormat="1" ht="14.1" customHeight="1" x14ac:dyDescent="0.35">
      <c r="A25" s="256" t="s">
        <v>38</v>
      </c>
      <c r="B25" s="219" t="s">
        <v>64</v>
      </c>
      <c r="C25" s="232" t="s">
        <v>121</v>
      </c>
      <c r="D25" s="230">
        <v>7263102</v>
      </c>
      <c r="E25" s="186">
        <v>45133</v>
      </c>
      <c r="F25" s="189" t="s">
        <v>20</v>
      </c>
      <c r="G25" s="220">
        <v>45133</v>
      </c>
      <c r="H25" s="195"/>
      <c r="I25" s="193"/>
      <c r="J25" s="193"/>
      <c r="K25" s="193"/>
      <c r="L25" s="193"/>
      <c r="M25" s="195"/>
      <c r="N25" s="193"/>
      <c r="O25" s="195"/>
      <c r="P25" s="221"/>
      <c r="Q25" s="198"/>
      <c r="R25" s="195">
        <v>195</v>
      </c>
      <c r="S25" s="198">
        <v>37.5</v>
      </c>
      <c r="T25" s="201"/>
      <c r="U25" s="204">
        <f t="shared" si="3"/>
        <v>232.5</v>
      </c>
      <c r="V25" s="207" t="s">
        <v>65</v>
      </c>
      <c r="W25" s="223" t="s">
        <v>58</v>
      </c>
      <c r="X25" s="65" t="s">
        <v>17</v>
      </c>
      <c r="Y25" s="105"/>
      <c r="Z25" s="181"/>
    </row>
    <row r="26" spans="1:28" s="2" customFormat="1" ht="14.1" customHeight="1" x14ac:dyDescent="0.35">
      <c r="A26" s="256" t="s">
        <v>38</v>
      </c>
      <c r="B26" s="219" t="s">
        <v>100</v>
      </c>
      <c r="C26" s="232"/>
      <c r="D26" s="230">
        <v>7273101</v>
      </c>
      <c r="E26" s="186">
        <v>45134</v>
      </c>
      <c r="F26" s="189" t="s">
        <v>20</v>
      </c>
      <c r="G26" s="220">
        <v>45134</v>
      </c>
      <c r="H26" s="195"/>
      <c r="I26" s="193"/>
      <c r="J26" s="193"/>
      <c r="K26" s="193"/>
      <c r="L26" s="193"/>
      <c r="M26" s="195"/>
      <c r="N26" s="193"/>
      <c r="O26" s="195"/>
      <c r="P26" s="221"/>
      <c r="Q26" s="198"/>
      <c r="R26" s="195">
        <v>-145</v>
      </c>
      <c r="S26" s="198">
        <v>-37.5</v>
      </c>
      <c r="T26" s="201">
        <v>-14.86</v>
      </c>
      <c r="U26" s="204">
        <f t="shared" si="3"/>
        <v>-197.36</v>
      </c>
      <c r="V26" s="207" t="s">
        <v>65</v>
      </c>
      <c r="W26" s="223" t="s">
        <v>58</v>
      </c>
      <c r="X26" s="65" t="s">
        <v>17</v>
      </c>
      <c r="Y26" s="105"/>
      <c r="Z26" s="105"/>
      <c r="AA26" s="105"/>
      <c r="AB26" s="105"/>
    </row>
    <row r="27" spans="1:28" s="2" customFormat="1" ht="14.1" customHeight="1" x14ac:dyDescent="0.35">
      <c r="A27" s="256" t="s">
        <v>38</v>
      </c>
      <c r="B27" s="219" t="s">
        <v>91</v>
      </c>
      <c r="C27" s="232"/>
      <c r="D27" s="230">
        <v>7273103</v>
      </c>
      <c r="E27" s="186">
        <v>45134</v>
      </c>
      <c r="F27" s="189" t="s">
        <v>20</v>
      </c>
      <c r="G27" s="220">
        <v>45135</v>
      </c>
      <c r="H27" s="195"/>
      <c r="I27" s="193"/>
      <c r="J27" s="193"/>
      <c r="K27" s="193"/>
      <c r="L27" s="193"/>
      <c r="M27" s="195"/>
      <c r="N27" s="193"/>
      <c r="O27" s="195"/>
      <c r="P27" s="221"/>
      <c r="Q27" s="198"/>
      <c r="R27" s="195">
        <v>39</v>
      </c>
      <c r="S27" s="198">
        <v>12.5</v>
      </c>
      <c r="T27" s="201">
        <v>3.36</v>
      </c>
      <c r="U27" s="204">
        <f t="shared" si="3"/>
        <v>54.86</v>
      </c>
      <c r="V27" s="207" t="s">
        <v>65</v>
      </c>
      <c r="W27" s="223" t="s">
        <v>58</v>
      </c>
      <c r="X27" s="65" t="s">
        <v>17</v>
      </c>
      <c r="Y27" s="105"/>
      <c r="Z27" s="181"/>
    </row>
    <row r="28" spans="1:28" s="2" customFormat="1" ht="14.1" customHeight="1" x14ac:dyDescent="0.35">
      <c r="A28" s="256" t="s">
        <v>38</v>
      </c>
      <c r="B28" s="219" t="s">
        <v>92</v>
      </c>
      <c r="C28" s="232"/>
      <c r="D28" s="230">
        <v>7273104</v>
      </c>
      <c r="E28" s="186">
        <v>45134</v>
      </c>
      <c r="F28" s="189" t="s">
        <v>20</v>
      </c>
      <c r="G28" s="220">
        <v>45135</v>
      </c>
      <c r="H28" s="195"/>
      <c r="I28" s="193"/>
      <c r="J28" s="193"/>
      <c r="K28" s="193"/>
      <c r="L28" s="193"/>
      <c r="M28" s="195"/>
      <c r="N28" s="193"/>
      <c r="O28" s="195"/>
      <c r="P28" s="221"/>
      <c r="Q28" s="198"/>
      <c r="R28" s="195">
        <v>260</v>
      </c>
      <c r="S28" s="198">
        <v>50</v>
      </c>
      <c r="T28" s="201">
        <v>23.73</v>
      </c>
      <c r="U28" s="204">
        <f t="shared" si="3"/>
        <v>333.73</v>
      </c>
      <c r="V28" s="207" t="s">
        <v>65</v>
      </c>
      <c r="W28" s="223" t="s">
        <v>58</v>
      </c>
      <c r="X28" s="65" t="s">
        <v>17</v>
      </c>
      <c r="Y28" s="105"/>
      <c r="Z28" s="181"/>
    </row>
    <row r="29" spans="1:28" s="2" customFormat="1" ht="14.1" customHeight="1" x14ac:dyDescent="0.35">
      <c r="A29" s="256" t="s">
        <v>38</v>
      </c>
      <c r="B29" s="219" t="s">
        <v>78</v>
      </c>
      <c r="C29" s="232"/>
      <c r="D29" s="230">
        <v>7273105</v>
      </c>
      <c r="E29" s="186">
        <v>45134</v>
      </c>
      <c r="F29" s="189" t="s">
        <v>20</v>
      </c>
      <c r="G29" s="220">
        <v>45135</v>
      </c>
      <c r="H29" s="195"/>
      <c r="I29" s="193"/>
      <c r="J29" s="193"/>
      <c r="K29" s="193"/>
      <c r="L29" s="193"/>
      <c r="M29" s="195"/>
      <c r="N29" s="193"/>
      <c r="O29" s="195"/>
      <c r="P29" s="221"/>
      <c r="Q29" s="198"/>
      <c r="R29" s="195">
        <v>195</v>
      </c>
      <c r="S29" s="198">
        <v>37.5</v>
      </c>
      <c r="T29" s="201">
        <v>16.82</v>
      </c>
      <c r="U29" s="204">
        <f t="shared" si="3"/>
        <v>249.32</v>
      </c>
      <c r="V29" s="207" t="s">
        <v>65</v>
      </c>
      <c r="W29" s="223" t="s">
        <v>58</v>
      </c>
      <c r="X29" s="65" t="s">
        <v>17</v>
      </c>
      <c r="Y29" s="105"/>
      <c r="Z29" s="181"/>
    </row>
    <row r="30" spans="1:28" s="2" customFormat="1" ht="14.1" customHeight="1" x14ac:dyDescent="0.35">
      <c r="A30" s="256" t="s">
        <v>8</v>
      </c>
      <c r="B30" s="219" t="s">
        <v>93</v>
      </c>
      <c r="C30" s="232"/>
      <c r="D30" s="230">
        <v>7263051</v>
      </c>
      <c r="E30" s="186">
        <v>45133</v>
      </c>
      <c r="F30" s="189" t="s">
        <v>74</v>
      </c>
      <c r="G30" s="220">
        <v>45138</v>
      </c>
      <c r="H30" s="195"/>
      <c r="I30" s="193">
        <v>99</v>
      </c>
      <c r="J30" s="193"/>
      <c r="K30" s="193"/>
      <c r="L30" s="193"/>
      <c r="M30" s="195"/>
      <c r="N30" s="193"/>
      <c r="O30" s="195"/>
      <c r="P30" s="221"/>
      <c r="Q30" s="198"/>
      <c r="R30" s="195"/>
      <c r="S30" s="198"/>
      <c r="T30" s="201">
        <v>8.42</v>
      </c>
      <c r="U30" s="204">
        <f t="shared" si="3"/>
        <v>107.42</v>
      </c>
      <c r="V30" s="207" t="s">
        <v>25</v>
      </c>
      <c r="W30" s="223" t="s">
        <v>8</v>
      </c>
      <c r="X30" s="65" t="s">
        <v>17</v>
      </c>
      <c r="Y30" s="105"/>
      <c r="Z30" s="181"/>
    </row>
    <row r="31" spans="1:28" s="2" customFormat="1" ht="14.1" customHeight="1" x14ac:dyDescent="0.35">
      <c r="A31" s="256" t="s">
        <v>38</v>
      </c>
      <c r="B31" s="219" t="s">
        <v>94</v>
      </c>
      <c r="C31" s="232"/>
      <c r="D31" s="230">
        <v>7313106</v>
      </c>
      <c r="E31" s="186">
        <v>45138</v>
      </c>
      <c r="F31" s="189" t="s">
        <v>20</v>
      </c>
      <c r="G31" s="220">
        <v>45138</v>
      </c>
      <c r="H31" s="195"/>
      <c r="I31" s="193"/>
      <c r="J31" s="193"/>
      <c r="K31" s="193"/>
      <c r="L31" s="193"/>
      <c r="M31" s="195"/>
      <c r="N31" s="193"/>
      <c r="O31" s="195"/>
      <c r="P31" s="221"/>
      <c r="Q31" s="198"/>
      <c r="R31" s="195">
        <v>39</v>
      </c>
      <c r="S31" s="198">
        <v>12.5</v>
      </c>
      <c r="T31" s="201">
        <v>3.61</v>
      </c>
      <c r="U31" s="204">
        <f t="shared" si="3"/>
        <v>55.11</v>
      </c>
      <c r="V31" s="207" t="s">
        <v>65</v>
      </c>
      <c r="W31" s="223" t="s">
        <v>5</v>
      </c>
      <c r="X31" s="65" t="s">
        <v>17</v>
      </c>
      <c r="Y31" s="105"/>
      <c r="Z31" s="181"/>
    </row>
    <row r="32" spans="1:28" s="2" customFormat="1" ht="14.1" customHeight="1" thickBot="1" x14ac:dyDescent="0.4">
      <c r="A32" s="256" t="s">
        <v>38</v>
      </c>
      <c r="B32" s="219" t="s">
        <v>63</v>
      </c>
      <c r="C32" s="232"/>
      <c r="D32" s="230">
        <v>7313111</v>
      </c>
      <c r="E32" s="186">
        <v>45138</v>
      </c>
      <c r="F32" s="189" t="s">
        <v>20</v>
      </c>
      <c r="G32" s="220">
        <v>45138</v>
      </c>
      <c r="H32" s="195"/>
      <c r="I32" s="193"/>
      <c r="J32" s="193"/>
      <c r="K32" s="193"/>
      <c r="L32" s="193"/>
      <c r="M32" s="195"/>
      <c r="N32" s="193"/>
      <c r="O32" s="195"/>
      <c r="P32" s="221"/>
      <c r="Q32" s="198"/>
      <c r="R32" s="195">
        <v>240</v>
      </c>
      <c r="S32" s="198">
        <v>50</v>
      </c>
      <c r="T32" s="201">
        <v>22.5</v>
      </c>
      <c r="U32" s="204">
        <f t="shared" ref="U32:U47" si="4">SUM(H32:T32)</f>
        <v>312.5</v>
      </c>
      <c r="V32" s="207" t="s">
        <v>65</v>
      </c>
      <c r="W32" s="223" t="s">
        <v>5</v>
      </c>
      <c r="X32" s="65" t="s">
        <v>17</v>
      </c>
      <c r="Y32" s="105"/>
      <c r="Z32" s="181"/>
    </row>
    <row r="33" spans="1:27" s="2" customFormat="1" ht="14.1" customHeight="1" thickBot="1" x14ac:dyDescent="0.25">
      <c r="A33" s="176"/>
      <c r="B33" s="177"/>
      <c r="C33" s="178"/>
      <c r="D33" s="178"/>
      <c r="E33" s="211"/>
      <c r="F33" s="212"/>
      <c r="G33" s="179"/>
      <c r="H33" s="213"/>
      <c r="I33" s="213"/>
      <c r="J33" s="214"/>
      <c r="K33" s="214"/>
      <c r="L33" s="214"/>
      <c r="M33" s="213"/>
      <c r="N33" s="213"/>
      <c r="O33" s="213"/>
      <c r="P33" s="50"/>
      <c r="Q33" s="222"/>
      <c r="R33" s="213"/>
      <c r="S33" s="222"/>
      <c r="T33" s="215"/>
      <c r="U33" s="216"/>
      <c r="V33" s="217"/>
      <c r="W33" s="84"/>
      <c r="X33" s="84"/>
      <c r="Y33" s="277">
        <f>SUM(U15:U32)</f>
        <v>3890.0699999999997</v>
      </c>
      <c r="Z33" s="237">
        <f>Y33/V127</f>
        <v>4.6591749121000788E-2</v>
      </c>
      <c r="AA33" s="181"/>
    </row>
    <row r="34" spans="1:27" s="2" customFormat="1" ht="14.1" customHeight="1" x14ac:dyDescent="0.35">
      <c r="A34" s="255" t="s">
        <v>38</v>
      </c>
      <c r="B34" s="208" t="s">
        <v>69</v>
      </c>
      <c r="C34" s="231"/>
      <c r="D34" s="228">
        <v>8013062</v>
      </c>
      <c r="E34" s="184">
        <v>45139</v>
      </c>
      <c r="F34" s="187" t="s">
        <v>20</v>
      </c>
      <c r="G34" s="209">
        <v>45140</v>
      </c>
      <c r="H34" s="192"/>
      <c r="I34" s="190"/>
      <c r="J34" s="190"/>
      <c r="K34" s="190"/>
      <c r="L34" s="190"/>
      <c r="M34" s="192"/>
      <c r="N34" s="190"/>
      <c r="O34" s="192"/>
      <c r="P34" s="210"/>
      <c r="Q34" s="196"/>
      <c r="R34" s="192">
        <v>130</v>
      </c>
      <c r="S34" s="196">
        <v>25</v>
      </c>
      <c r="T34" s="199">
        <v>11.21</v>
      </c>
      <c r="U34" s="202">
        <f t="shared" si="4"/>
        <v>166.21</v>
      </c>
      <c r="V34" s="206" t="s">
        <v>65</v>
      </c>
      <c r="W34" s="218" t="s">
        <v>38</v>
      </c>
      <c r="X34" s="65" t="s">
        <v>17</v>
      </c>
      <c r="Y34" s="105"/>
      <c r="Z34" s="181"/>
    </row>
    <row r="35" spans="1:27" s="2" customFormat="1" ht="14.1" customHeight="1" x14ac:dyDescent="0.35">
      <c r="A35" s="255" t="s">
        <v>38</v>
      </c>
      <c r="B35" s="208" t="s">
        <v>95</v>
      </c>
      <c r="C35" s="231"/>
      <c r="D35" s="228">
        <v>8033102</v>
      </c>
      <c r="E35" s="184">
        <v>45141</v>
      </c>
      <c r="F35" s="187" t="s">
        <v>20</v>
      </c>
      <c r="G35" s="209">
        <v>45141</v>
      </c>
      <c r="H35" s="192"/>
      <c r="I35" s="190"/>
      <c r="J35" s="190"/>
      <c r="K35" s="190"/>
      <c r="L35" s="190"/>
      <c r="M35" s="192"/>
      <c r="N35" s="190"/>
      <c r="O35" s="192"/>
      <c r="P35" s="210"/>
      <c r="Q35" s="196"/>
      <c r="R35" s="192">
        <v>260</v>
      </c>
      <c r="S35" s="196">
        <v>50</v>
      </c>
      <c r="T35" s="199">
        <v>25.35</v>
      </c>
      <c r="U35" s="202">
        <f t="shared" si="4"/>
        <v>335.35</v>
      </c>
      <c r="V35" s="206" t="s">
        <v>65</v>
      </c>
      <c r="W35" s="218" t="s">
        <v>38</v>
      </c>
      <c r="X35" s="65" t="s">
        <v>17</v>
      </c>
      <c r="Y35" s="105"/>
      <c r="Z35" s="181"/>
    </row>
    <row r="36" spans="1:27" s="2" customFormat="1" ht="14.1" customHeight="1" x14ac:dyDescent="0.35">
      <c r="A36" s="255" t="s">
        <v>8</v>
      </c>
      <c r="B36" s="208" t="s">
        <v>70</v>
      </c>
      <c r="C36" s="231"/>
      <c r="D36" s="228">
        <v>8013051</v>
      </c>
      <c r="E36" s="184">
        <v>45139</v>
      </c>
      <c r="F36" s="187" t="s">
        <v>96</v>
      </c>
      <c r="G36" s="209">
        <v>45142</v>
      </c>
      <c r="H36" s="192"/>
      <c r="I36" s="190"/>
      <c r="J36" s="190"/>
      <c r="K36" s="190"/>
      <c r="L36" s="190"/>
      <c r="M36" s="192">
        <v>49</v>
      </c>
      <c r="N36" s="190">
        <v>39</v>
      </c>
      <c r="O36" s="192"/>
      <c r="P36" s="210"/>
      <c r="Q36" s="196"/>
      <c r="R36" s="192"/>
      <c r="S36" s="196"/>
      <c r="T36" s="199"/>
      <c r="U36" s="202">
        <f t="shared" si="4"/>
        <v>88</v>
      </c>
      <c r="V36" s="206" t="s">
        <v>25</v>
      </c>
      <c r="W36" s="218" t="s">
        <v>8</v>
      </c>
      <c r="X36" s="65" t="s">
        <v>17</v>
      </c>
      <c r="Y36" s="105"/>
      <c r="Z36" s="181"/>
    </row>
    <row r="37" spans="1:27" s="2" customFormat="1" ht="14.1" customHeight="1" x14ac:dyDescent="0.35">
      <c r="A37" s="255" t="s">
        <v>5</v>
      </c>
      <c r="B37" s="208" t="s">
        <v>69</v>
      </c>
      <c r="C37" s="231"/>
      <c r="D37" s="228">
        <v>8043068</v>
      </c>
      <c r="E37" s="184">
        <v>45142</v>
      </c>
      <c r="F37" s="187" t="s">
        <v>20</v>
      </c>
      <c r="G37" s="209">
        <v>45142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-65</v>
      </c>
      <c r="S37" s="196"/>
      <c r="T37" s="199">
        <v>-5.61</v>
      </c>
      <c r="U37" s="202">
        <f t="shared" ref="U37" si="5">SUM(H37:T37)</f>
        <v>-70.61</v>
      </c>
      <c r="V37" s="206" t="s">
        <v>33</v>
      </c>
      <c r="W37" s="218" t="s">
        <v>8</v>
      </c>
      <c r="X37" s="65" t="s">
        <v>17</v>
      </c>
      <c r="Y37" s="105"/>
      <c r="Z37" s="181"/>
    </row>
    <row r="38" spans="1:27" s="2" customFormat="1" ht="14.1" customHeight="1" x14ac:dyDescent="0.35">
      <c r="A38" s="255" t="s">
        <v>38</v>
      </c>
      <c r="B38" s="208" t="s">
        <v>99</v>
      </c>
      <c r="C38" s="231" t="s">
        <v>98</v>
      </c>
      <c r="D38" s="228">
        <v>8043104</v>
      </c>
      <c r="E38" s="184">
        <v>45142</v>
      </c>
      <c r="F38" s="187" t="s">
        <v>20</v>
      </c>
      <c r="G38" s="209">
        <v>45145</v>
      </c>
      <c r="H38" s="192"/>
      <c r="I38" s="190"/>
      <c r="J38" s="190"/>
      <c r="K38" s="190"/>
      <c r="L38" s="190"/>
      <c r="M38" s="192"/>
      <c r="N38" s="190"/>
      <c r="O38" s="192"/>
      <c r="P38" s="210"/>
      <c r="Q38" s="196"/>
      <c r="R38" s="192">
        <v>110</v>
      </c>
      <c r="S38" s="196">
        <v>25</v>
      </c>
      <c r="T38" s="199">
        <v>9.08</v>
      </c>
      <c r="U38" s="202">
        <f t="shared" si="4"/>
        <v>144.08000000000001</v>
      </c>
      <c r="V38" s="206" t="s">
        <v>65</v>
      </c>
      <c r="W38" s="218" t="s">
        <v>5</v>
      </c>
      <c r="X38" s="65" t="s">
        <v>17</v>
      </c>
      <c r="Y38" s="105"/>
      <c r="Z38" s="181"/>
    </row>
    <row r="39" spans="1:27" s="2" customFormat="1" ht="14.1" customHeight="1" x14ac:dyDescent="0.35">
      <c r="A39" s="255" t="s">
        <v>5</v>
      </c>
      <c r="B39" s="208" t="s">
        <v>34</v>
      </c>
      <c r="C39" s="231"/>
      <c r="D39" s="228">
        <v>8093064</v>
      </c>
      <c r="E39" s="184">
        <v>45147</v>
      </c>
      <c r="F39" s="187" t="s">
        <v>20</v>
      </c>
      <c r="G39" s="209">
        <v>45147</v>
      </c>
      <c r="H39" s="192"/>
      <c r="I39" s="190"/>
      <c r="J39" s="190"/>
      <c r="K39" s="190"/>
      <c r="L39" s="190"/>
      <c r="M39" s="192"/>
      <c r="N39" s="190"/>
      <c r="O39" s="192"/>
      <c r="P39" s="210"/>
      <c r="Q39" s="196"/>
      <c r="R39" s="192">
        <v>256</v>
      </c>
      <c r="S39" s="196"/>
      <c r="T39" s="199"/>
      <c r="U39" s="202">
        <f t="shared" si="4"/>
        <v>256</v>
      </c>
      <c r="V39" s="206" t="s">
        <v>65</v>
      </c>
      <c r="W39" s="218" t="s">
        <v>58</v>
      </c>
      <c r="X39" s="65" t="s">
        <v>17</v>
      </c>
      <c r="Y39" s="105"/>
      <c r="Z39" s="181"/>
    </row>
    <row r="40" spans="1:27" s="2" customFormat="1" ht="14.1" customHeight="1" x14ac:dyDescent="0.35">
      <c r="A40" s="255" t="s">
        <v>5</v>
      </c>
      <c r="B40" s="208" t="s">
        <v>34</v>
      </c>
      <c r="C40" s="231"/>
      <c r="D40" s="228">
        <v>8113064</v>
      </c>
      <c r="E40" s="184">
        <v>45149</v>
      </c>
      <c r="F40" s="187" t="s">
        <v>20</v>
      </c>
      <c r="G40" s="209">
        <v>45149</v>
      </c>
      <c r="H40" s="192"/>
      <c r="I40" s="190"/>
      <c r="J40" s="190"/>
      <c r="K40" s="190"/>
      <c r="L40" s="190"/>
      <c r="M40" s="192"/>
      <c r="N40" s="190"/>
      <c r="O40" s="192"/>
      <c r="P40" s="210"/>
      <c r="Q40" s="196"/>
      <c r="R40" s="192">
        <v>690</v>
      </c>
      <c r="S40" s="196"/>
      <c r="T40" s="199"/>
      <c r="U40" s="202">
        <f t="shared" si="4"/>
        <v>690</v>
      </c>
      <c r="V40" s="206" t="s">
        <v>65</v>
      </c>
      <c r="W40" s="218" t="s">
        <v>5</v>
      </c>
      <c r="X40" s="65" t="s">
        <v>17</v>
      </c>
      <c r="Y40" s="105"/>
      <c r="Z40" s="181"/>
    </row>
    <row r="41" spans="1:27" s="2" customFormat="1" ht="14.1" customHeight="1" x14ac:dyDescent="0.35">
      <c r="A41" s="255" t="s">
        <v>37</v>
      </c>
      <c r="B41" s="208" t="s">
        <v>101</v>
      </c>
      <c r="C41" s="231"/>
      <c r="D41" s="228">
        <v>8113251</v>
      </c>
      <c r="E41" s="184">
        <v>45149</v>
      </c>
      <c r="F41" s="187" t="s">
        <v>102</v>
      </c>
      <c r="G41" s="209">
        <v>45152</v>
      </c>
      <c r="H41" s="192"/>
      <c r="I41" s="190"/>
      <c r="J41" s="190"/>
      <c r="K41" s="190"/>
      <c r="L41" s="190"/>
      <c r="M41" s="192"/>
      <c r="N41" s="190"/>
      <c r="O41" s="192"/>
      <c r="P41" s="210">
        <v>180</v>
      </c>
      <c r="Q41" s="196">
        <v>90</v>
      </c>
      <c r="R41" s="192"/>
      <c r="S41" s="196"/>
      <c r="T41" s="199"/>
      <c r="U41" s="202">
        <f t="shared" si="4"/>
        <v>270</v>
      </c>
      <c r="V41" s="206" t="s">
        <v>7</v>
      </c>
      <c r="W41" s="218" t="s">
        <v>37</v>
      </c>
      <c r="X41" s="65" t="s">
        <v>17</v>
      </c>
      <c r="Y41" s="105"/>
      <c r="Z41" s="181"/>
    </row>
    <row r="42" spans="1:27" s="2" customFormat="1" ht="14.1" customHeight="1" x14ac:dyDescent="0.35">
      <c r="A42" s="255" t="s">
        <v>37</v>
      </c>
      <c r="B42" s="208" t="s">
        <v>103</v>
      </c>
      <c r="C42" s="231"/>
      <c r="D42" s="228">
        <v>8143062</v>
      </c>
      <c r="E42" s="184">
        <v>45152</v>
      </c>
      <c r="F42" s="187" t="s">
        <v>20</v>
      </c>
      <c r="G42" s="209">
        <v>45152</v>
      </c>
      <c r="H42" s="192"/>
      <c r="I42" s="190"/>
      <c r="J42" s="190"/>
      <c r="K42" s="190"/>
      <c r="L42" s="190"/>
      <c r="M42" s="192"/>
      <c r="N42" s="190"/>
      <c r="O42" s="192"/>
      <c r="P42" s="210"/>
      <c r="Q42" s="196"/>
      <c r="R42" s="192">
        <v>855</v>
      </c>
      <c r="S42" s="196"/>
      <c r="T42" s="199"/>
      <c r="U42" s="202">
        <f t="shared" si="4"/>
        <v>855</v>
      </c>
      <c r="V42" s="206" t="s">
        <v>33</v>
      </c>
      <c r="W42" s="218" t="s">
        <v>106</v>
      </c>
      <c r="X42" s="65" t="s">
        <v>17</v>
      </c>
      <c r="Y42" s="105"/>
      <c r="Z42" s="181"/>
    </row>
    <row r="43" spans="1:27" s="2" customFormat="1" ht="14.1" customHeight="1" x14ac:dyDescent="0.35">
      <c r="A43" s="255" t="s">
        <v>38</v>
      </c>
      <c r="B43" s="208" t="s">
        <v>104</v>
      </c>
      <c r="C43" s="231"/>
      <c r="D43" s="228">
        <v>8143102</v>
      </c>
      <c r="E43" s="184">
        <v>45152</v>
      </c>
      <c r="F43" s="187" t="s">
        <v>20</v>
      </c>
      <c r="G43" s="209">
        <v>45152</v>
      </c>
      <c r="H43" s="192"/>
      <c r="I43" s="190"/>
      <c r="J43" s="190"/>
      <c r="K43" s="190"/>
      <c r="L43" s="190"/>
      <c r="M43" s="192"/>
      <c r="N43" s="190"/>
      <c r="O43" s="192"/>
      <c r="P43" s="210"/>
      <c r="Q43" s="196"/>
      <c r="R43" s="192">
        <v>195</v>
      </c>
      <c r="S43" s="196">
        <v>25</v>
      </c>
      <c r="T43" s="199">
        <v>17.309999999999999</v>
      </c>
      <c r="U43" s="202">
        <f t="shared" si="4"/>
        <v>237.31</v>
      </c>
      <c r="V43" s="206" t="s">
        <v>65</v>
      </c>
      <c r="W43" s="218" t="s">
        <v>38</v>
      </c>
      <c r="X43" s="65" t="s">
        <v>17</v>
      </c>
      <c r="Y43" s="105"/>
      <c r="Z43" s="181"/>
    </row>
    <row r="44" spans="1:27" s="2" customFormat="1" ht="14.1" customHeight="1" x14ac:dyDescent="0.35">
      <c r="A44" s="255" t="s">
        <v>38</v>
      </c>
      <c r="B44" s="208" t="s">
        <v>105</v>
      </c>
      <c r="C44" s="231"/>
      <c r="D44" s="228">
        <v>8143104</v>
      </c>
      <c r="E44" s="184">
        <v>45152</v>
      </c>
      <c r="F44" s="187" t="s">
        <v>20</v>
      </c>
      <c r="G44" s="209">
        <v>45152</v>
      </c>
      <c r="H44" s="192"/>
      <c r="I44" s="190"/>
      <c r="J44" s="190"/>
      <c r="K44" s="190"/>
      <c r="L44" s="190"/>
      <c r="M44" s="192"/>
      <c r="N44" s="190"/>
      <c r="O44" s="192"/>
      <c r="P44" s="210"/>
      <c r="Q44" s="196"/>
      <c r="R44" s="192">
        <v>220</v>
      </c>
      <c r="S44" s="196">
        <v>50</v>
      </c>
      <c r="T44" s="199">
        <v>17.05</v>
      </c>
      <c r="U44" s="202">
        <f t="shared" si="4"/>
        <v>287.05</v>
      </c>
      <c r="V44" s="206" t="s">
        <v>65</v>
      </c>
      <c r="W44" s="218" t="s">
        <v>38</v>
      </c>
      <c r="X44" s="65" t="s">
        <v>17</v>
      </c>
      <c r="Y44" s="105"/>
      <c r="Z44" s="181"/>
    </row>
    <row r="45" spans="1:27" s="2" customFormat="1" ht="14.1" customHeight="1" x14ac:dyDescent="0.35">
      <c r="A45" s="255" t="s">
        <v>38</v>
      </c>
      <c r="B45" s="208" t="s">
        <v>62</v>
      </c>
      <c r="C45" s="231"/>
      <c r="D45" s="228">
        <v>8153102</v>
      </c>
      <c r="E45" s="184">
        <v>45153</v>
      </c>
      <c r="F45" s="187" t="s">
        <v>20</v>
      </c>
      <c r="G45" s="209">
        <v>45153</v>
      </c>
      <c r="H45" s="192"/>
      <c r="I45" s="190"/>
      <c r="J45" s="190"/>
      <c r="K45" s="190"/>
      <c r="L45" s="190"/>
      <c r="M45" s="192"/>
      <c r="N45" s="190"/>
      <c r="O45" s="192"/>
      <c r="P45" s="210"/>
      <c r="Q45" s="196"/>
      <c r="R45" s="192">
        <v>220</v>
      </c>
      <c r="S45" s="196">
        <v>50</v>
      </c>
      <c r="T45" s="199">
        <v>18.149999999999999</v>
      </c>
      <c r="U45" s="202">
        <f t="shared" si="4"/>
        <v>288.14999999999998</v>
      </c>
      <c r="V45" s="206" t="s">
        <v>65</v>
      </c>
      <c r="W45" s="218" t="s">
        <v>38</v>
      </c>
      <c r="X45" s="65" t="s">
        <v>17</v>
      </c>
      <c r="Y45" s="105"/>
      <c r="Z45" s="181"/>
    </row>
    <row r="46" spans="1:27" s="2" customFormat="1" ht="14.1" customHeight="1" x14ac:dyDescent="0.35">
      <c r="A46" s="255" t="s">
        <v>38</v>
      </c>
      <c r="B46" s="208" t="s">
        <v>109</v>
      </c>
      <c r="C46" s="231" t="s">
        <v>110</v>
      </c>
      <c r="D46" s="228">
        <v>8153101</v>
      </c>
      <c r="E46" s="184">
        <v>45153</v>
      </c>
      <c r="F46" s="187" t="s">
        <v>20</v>
      </c>
      <c r="G46" s="209">
        <v>45156</v>
      </c>
      <c r="H46" s="192"/>
      <c r="I46" s="190"/>
      <c r="J46" s="190"/>
      <c r="K46" s="190"/>
      <c r="L46" s="190"/>
      <c r="M46" s="192"/>
      <c r="N46" s="190"/>
      <c r="O46" s="192"/>
      <c r="P46" s="210"/>
      <c r="Q46" s="196"/>
      <c r="R46" s="192">
        <v>149</v>
      </c>
      <c r="S46" s="196"/>
      <c r="T46" s="199">
        <v>13.78</v>
      </c>
      <c r="U46" s="202">
        <f t="shared" si="4"/>
        <v>162.78</v>
      </c>
      <c r="V46" s="206" t="s">
        <v>65</v>
      </c>
      <c r="W46" s="218" t="s">
        <v>58</v>
      </c>
      <c r="X46" s="65" t="s">
        <v>17</v>
      </c>
      <c r="Y46" s="105"/>
      <c r="Z46" s="181"/>
    </row>
    <row r="47" spans="1:27" s="2" customFormat="1" ht="14.1" customHeight="1" x14ac:dyDescent="0.35">
      <c r="A47" s="255" t="s">
        <v>6</v>
      </c>
      <c r="B47" s="208" t="s">
        <v>111</v>
      </c>
      <c r="C47" s="231"/>
      <c r="D47" s="228">
        <v>8083071</v>
      </c>
      <c r="E47" s="184">
        <v>45146</v>
      </c>
      <c r="F47" s="187" t="s">
        <v>108</v>
      </c>
      <c r="G47" s="209">
        <v>45159</v>
      </c>
      <c r="H47" s="192">
        <v>75</v>
      </c>
      <c r="I47" s="190"/>
      <c r="J47" s="190"/>
      <c r="K47" s="190"/>
      <c r="L47" s="190"/>
      <c r="M47" s="192"/>
      <c r="N47" s="190"/>
      <c r="O47" s="192"/>
      <c r="P47" s="210"/>
      <c r="Q47" s="196"/>
      <c r="R47" s="192"/>
      <c r="S47" s="196"/>
      <c r="T47" s="199">
        <v>6.19</v>
      </c>
      <c r="U47" s="202">
        <f t="shared" si="4"/>
        <v>81.19</v>
      </c>
      <c r="V47" s="206" t="s">
        <v>68</v>
      </c>
      <c r="W47" s="218" t="s">
        <v>6</v>
      </c>
      <c r="X47" s="65" t="s">
        <v>17</v>
      </c>
      <c r="Y47" s="105"/>
      <c r="Z47" s="181"/>
    </row>
    <row r="48" spans="1:27" s="2" customFormat="1" ht="14.1" customHeight="1" x14ac:dyDescent="0.35">
      <c r="A48" s="255" t="s">
        <v>38</v>
      </c>
      <c r="B48" s="208" t="s">
        <v>112</v>
      </c>
      <c r="C48" s="231"/>
      <c r="D48" s="228">
        <v>8233101</v>
      </c>
      <c r="E48" s="184">
        <v>45161</v>
      </c>
      <c r="F48" s="187" t="s">
        <v>20</v>
      </c>
      <c r="G48" s="209">
        <v>45162</v>
      </c>
      <c r="H48" s="192"/>
      <c r="I48" s="190"/>
      <c r="J48" s="190"/>
      <c r="K48" s="190"/>
      <c r="L48" s="190"/>
      <c r="M48" s="192"/>
      <c r="N48" s="190"/>
      <c r="O48" s="192"/>
      <c r="P48" s="210"/>
      <c r="Q48" s="196"/>
      <c r="R48" s="192">
        <v>39</v>
      </c>
      <c r="S48" s="196">
        <v>12.5</v>
      </c>
      <c r="T48" s="199">
        <v>4</v>
      </c>
      <c r="U48" s="202">
        <f t="shared" ref="U48:U54" si="6">SUM(H48:T48)</f>
        <v>55.5</v>
      </c>
      <c r="V48" s="206" t="s">
        <v>65</v>
      </c>
      <c r="W48" s="218" t="s">
        <v>58</v>
      </c>
      <c r="X48" s="65" t="s">
        <v>17</v>
      </c>
      <c r="Y48" s="105"/>
      <c r="Z48" s="181"/>
    </row>
    <row r="49" spans="1:27" s="2" customFormat="1" ht="14.1" customHeight="1" x14ac:dyDescent="0.35">
      <c r="A49" s="255" t="s">
        <v>38</v>
      </c>
      <c r="B49" s="208" t="s">
        <v>114</v>
      </c>
      <c r="C49" s="231" t="s">
        <v>115</v>
      </c>
      <c r="D49" s="228">
        <v>8233102</v>
      </c>
      <c r="E49" s="184">
        <v>45161</v>
      </c>
      <c r="F49" s="187" t="s">
        <v>20</v>
      </c>
      <c r="G49" s="209">
        <v>45162</v>
      </c>
      <c r="H49" s="192"/>
      <c r="I49" s="190"/>
      <c r="J49" s="190"/>
      <c r="K49" s="190"/>
      <c r="L49" s="190"/>
      <c r="M49" s="192"/>
      <c r="N49" s="190"/>
      <c r="O49" s="192"/>
      <c r="P49" s="210"/>
      <c r="Q49" s="196"/>
      <c r="R49" s="192">
        <v>130</v>
      </c>
      <c r="S49" s="196">
        <v>25</v>
      </c>
      <c r="T49" s="199">
        <v>11.21</v>
      </c>
      <c r="U49" s="202">
        <f t="shared" si="6"/>
        <v>166.21</v>
      </c>
      <c r="V49" s="206" t="s">
        <v>65</v>
      </c>
      <c r="W49" s="218" t="s">
        <v>58</v>
      </c>
      <c r="X49" s="65" t="s">
        <v>17</v>
      </c>
      <c r="Y49" s="105"/>
      <c r="Z49" s="181"/>
    </row>
    <row r="50" spans="1:27" s="2" customFormat="1" ht="14.1" customHeight="1" x14ac:dyDescent="0.35">
      <c r="A50" s="255" t="s">
        <v>37</v>
      </c>
      <c r="B50" s="208" t="s">
        <v>116</v>
      </c>
      <c r="C50" s="231" t="s">
        <v>117</v>
      </c>
      <c r="D50" s="228">
        <v>8253253</v>
      </c>
      <c r="E50" s="184">
        <v>45163</v>
      </c>
      <c r="F50" s="187" t="s">
        <v>102</v>
      </c>
      <c r="G50" s="209">
        <v>45166</v>
      </c>
      <c r="H50" s="192"/>
      <c r="I50" s="190"/>
      <c r="J50" s="190"/>
      <c r="K50" s="190"/>
      <c r="L50" s="190"/>
      <c r="M50" s="192"/>
      <c r="N50" s="190"/>
      <c r="O50" s="192"/>
      <c r="P50" s="210">
        <v>180</v>
      </c>
      <c r="Q50" s="196">
        <v>90</v>
      </c>
      <c r="R50" s="192"/>
      <c r="S50" s="196"/>
      <c r="T50" s="199"/>
      <c r="U50" s="202">
        <f t="shared" si="6"/>
        <v>270</v>
      </c>
      <c r="V50" s="206" t="s">
        <v>7</v>
      </c>
      <c r="W50" s="218" t="s">
        <v>37</v>
      </c>
      <c r="X50" s="65" t="s">
        <v>17</v>
      </c>
      <c r="Y50" s="105"/>
      <c r="Z50" s="181"/>
    </row>
    <row r="51" spans="1:27" s="2" customFormat="1" ht="14.1" customHeight="1" x14ac:dyDescent="0.35">
      <c r="A51" s="255" t="s">
        <v>38</v>
      </c>
      <c r="B51" s="208" t="s">
        <v>118</v>
      </c>
      <c r="C51" s="231" t="s">
        <v>67</v>
      </c>
      <c r="D51" s="228">
        <v>8253104</v>
      </c>
      <c r="E51" s="184">
        <v>45163</v>
      </c>
      <c r="F51" s="187" t="s">
        <v>20</v>
      </c>
      <c r="G51" s="209">
        <v>45166</v>
      </c>
      <c r="H51" s="192"/>
      <c r="I51" s="190"/>
      <c r="J51" s="190"/>
      <c r="K51" s="190"/>
      <c r="L51" s="190"/>
      <c r="M51" s="192"/>
      <c r="N51" s="190"/>
      <c r="O51" s="192"/>
      <c r="P51" s="210"/>
      <c r="Q51" s="196"/>
      <c r="R51" s="192">
        <v>45</v>
      </c>
      <c r="S51" s="196">
        <v>12.5</v>
      </c>
      <c r="T51" s="199">
        <v>3.94</v>
      </c>
      <c r="U51" s="202">
        <f t="shared" si="6"/>
        <v>61.44</v>
      </c>
      <c r="V51" s="206" t="s">
        <v>65</v>
      </c>
      <c r="W51" s="218" t="s">
        <v>5</v>
      </c>
      <c r="X51" s="65" t="s">
        <v>17</v>
      </c>
      <c r="Y51" s="105"/>
      <c r="Z51" s="181"/>
    </row>
    <row r="52" spans="1:27" s="2" customFormat="1" ht="14.1" customHeight="1" x14ac:dyDescent="0.35">
      <c r="A52" s="255" t="s">
        <v>8</v>
      </c>
      <c r="B52" s="208" t="s">
        <v>93</v>
      </c>
      <c r="C52" s="231"/>
      <c r="D52" s="228">
        <v>8263051</v>
      </c>
      <c r="E52" s="184">
        <v>45164</v>
      </c>
      <c r="F52" s="187" t="s">
        <v>119</v>
      </c>
      <c r="G52" s="209">
        <v>45166</v>
      </c>
      <c r="H52" s="192">
        <v>99</v>
      </c>
      <c r="I52" s="190"/>
      <c r="J52" s="190"/>
      <c r="K52" s="190"/>
      <c r="L52" s="190"/>
      <c r="M52" s="192"/>
      <c r="N52" s="190"/>
      <c r="O52" s="192"/>
      <c r="P52" s="210"/>
      <c r="Q52" s="196"/>
      <c r="R52" s="192"/>
      <c r="S52" s="196"/>
      <c r="T52" s="199">
        <v>8.42</v>
      </c>
      <c r="U52" s="202">
        <f t="shared" si="6"/>
        <v>107.42</v>
      </c>
      <c r="V52" s="206" t="s">
        <v>7</v>
      </c>
      <c r="W52" s="218" t="s">
        <v>8</v>
      </c>
      <c r="X52" s="65" t="s">
        <v>17</v>
      </c>
      <c r="Y52" s="105"/>
      <c r="Z52" s="181"/>
    </row>
    <row r="53" spans="1:27" s="2" customFormat="1" ht="14.1" customHeight="1" x14ac:dyDescent="0.35">
      <c r="A53" s="255" t="s">
        <v>38</v>
      </c>
      <c r="B53" s="208" t="s">
        <v>120</v>
      </c>
      <c r="C53" s="231"/>
      <c r="D53" s="228">
        <v>8303102</v>
      </c>
      <c r="E53" s="184">
        <v>45168</v>
      </c>
      <c r="F53" s="187" t="s">
        <v>20</v>
      </c>
      <c r="G53" s="209">
        <v>45168</v>
      </c>
      <c r="H53" s="192"/>
      <c r="I53" s="190"/>
      <c r="J53" s="190"/>
      <c r="K53" s="190"/>
      <c r="L53" s="190"/>
      <c r="M53" s="192"/>
      <c r="N53" s="190"/>
      <c r="O53" s="192"/>
      <c r="P53" s="210"/>
      <c r="Q53" s="196"/>
      <c r="R53" s="192">
        <v>175</v>
      </c>
      <c r="S53" s="196">
        <v>37.5</v>
      </c>
      <c r="T53" s="199">
        <v>16.63</v>
      </c>
      <c r="U53" s="202">
        <f t="shared" si="6"/>
        <v>229.13</v>
      </c>
      <c r="V53" s="206" t="s">
        <v>65</v>
      </c>
      <c r="W53" s="218" t="s">
        <v>5</v>
      </c>
      <c r="X53" s="65" t="s">
        <v>17</v>
      </c>
      <c r="Y53" s="105"/>
      <c r="Z53" s="181"/>
    </row>
    <row r="54" spans="1:27" s="2" customFormat="1" ht="14.1" customHeight="1" thickBot="1" x14ac:dyDescent="0.4">
      <c r="A54" s="255" t="s">
        <v>38</v>
      </c>
      <c r="B54" s="208" t="s">
        <v>122</v>
      </c>
      <c r="C54" s="231"/>
      <c r="D54" s="228">
        <v>8313101</v>
      </c>
      <c r="E54" s="184">
        <v>45169</v>
      </c>
      <c r="F54" s="187" t="s">
        <v>20</v>
      </c>
      <c r="G54" s="209">
        <v>45169</v>
      </c>
      <c r="H54" s="192"/>
      <c r="I54" s="190"/>
      <c r="J54" s="190"/>
      <c r="K54" s="190"/>
      <c r="L54" s="190"/>
      <c r="M54" s="192"/>
      <c r="N54" s="190"/>
      <c r="O54" s="192"/>
      <c r="P54" s="210"/>
      <c r="Q54" s="196"/>
      <c r="R54" s="192">
        <v>100</v>
      </c>
      <c r="S54" s="196">
        <v>25</v>
      </c>
      <c r="T54" s="199">
        <v>10.25</v>
      </c>
      <c r="U54" s="202">
        <f t="shared" si="6"/>
        <v>135.25</v>
      </c>
      <c r="V54" s="206" t="s">
        <v>65</v>
      </c>
      <c r="W54" s="218" t="s">
        <v>5</v>
      </c>
      <c r="X54" s="65" t="s">
        <v>17</v>
      </c>
      <c r="Y54" s="105"/>
      <c r="Z54" s="181"/>
    </row>
    <row r="55" spans="1:27" s="2" customFormat="1" ht="14.1" customHeight="1" thickBot="1" x14ac:dyDescent="0.25">
      <c r="A55" s="176"/>
      <c r="B55" s="177"/>
      <c r="C55" s="178"/>
      <c r="D55" s="178"/>
      <c r="E55" s="211"/>
      <c r="F55" s="212"/>
      <c r="G55" s="179"/>
      <c r="H55" s="213"/>
      <c r="I55" s="213"/>
      <c r="J55" s="214"/>
      <c r="K55" s="214"/>
      <c r="L55" s="214"/>
      <c r="M55" s="213"/>
      <c r="N55" s="213"/>
      <c r="O55" s="213"/>
      <c r="P55" s="50"/>
      <c r="Q55" s="222"/>
      <c r="R55" s="213"/>
      <c r="S55" s="222"/>
      <c r="T55" s="215"/>
      <c r="U55" s="216"/>
      <c r="V55" s="217"/>
      <c r="W55" s="84"/>
      <c r="X55" s="84"/>
      <c r="Y55" s="277">
        <f>SUM(U34:U54)</f>
        <v>4815.4600000000009</v>
      </c>
      <c r="Z55" s="237">
        <f>Y55/V127</f>
        <v>5.7675235721263249E-2</v>
      </c>
      <c r="AA55" s="181"/>
    </row>
    <row r="56" spans="1:27" s="2" customFormat="1" ht="14.1" customHeight="1" x14ac:dyDescent="0.35">
      <c r="A56" s="247" t="s">
        <v>38</v>
      </c>
      <c r="B56" s="3" t="s">
        <v>125</v>
      </c>
      <c r="C56" s="4"/>
      <c r="D56" s="52">
        <v>9013102</v>
      </c>
      <c r="E56" s="98">
        <v>45170</v>
      </c>
      <c r="F56" s="44" t="s">
        <v>20</v>
      </c>
      <c r="G56" s="61">
        <v>45170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215</v>
      </c>
      <c r="S56" s="43">
        <v>67.5</v>
      </c>
      <c r="T56" s="32">
        <v>19.89</v>
      </c>
      <c r="U56" s="53">
        <f t="shared" ref="U56:U124" si="7">SUM(H56:T56)</f>
        <v>302.39</v>
      </c>
      <c r="V56" s="64" t="s">
        <v>65</v>
      </c>
      <c r="W56" s="2" t="s">
        <v>126</v>
      </c>
      <c r="X56" s="65" t="s">
        <v>17</v>
      </c>
      <c r="Y56" s="105"/>
      <c r="Z56" s="181"/>
    </row>
    <row r="57" spans="1:27" s="2" customFormat="1" ht="14.1" customHeight="1" x14ac:dyDescent="0.35">
      <c r="A57" s="247" t="s">
        <v>38</v>
      </c>
      <c r="B57" s="3" t="s">
        <v>97</v>
      </c>
      <c r="C57" s="4"/>
      <c r="D57" s="52">
        <v>9013052</v>
      </c>
      <c r="E57" s="98">
        <v>45170</v>
      </c>
      <c r="F57" s="44" t="s">
        <v>74</v>
      </c>
      <c r="G57" s="61">
        <v>45174</v>
      </c>
      <c r="H57" s="42"/>
      <c r="I57" s="28"/>
      <c r="J57" s="28"/>
      <c r="K57" s="28"/>
      <c r="L57" s="28"/>
      <c r="M57" s="42">
        <v>49</v>
      </c>
      <c r="N57" s="28"/>
      <c r="O57" s="42"/>
      <c r="P57" s="7"/>
      <c r="Q57" s="43"/>
      <c r="R57" s="42"/>
      <c r="S57" s="43"/>
      <c r="T57" s="32"/>
      <c r="U57" s="53">
        <f t="shared" si="7"/>
        <v>49</v>
      </c>
      <c r="V57" s="64" t="s">
        <v>25</v>
      </c>
      <c r="W57" s="2" t="s">
        <v>6</v>
      </c>
      <c r="X57" s="65" t="s">
        <v>17</v>
      </c>
      <c r="Y57" s="105"/>
      <c r="Z57" s="181"/>
    </row>
    <row r="58" spans="1:27" s="2" customFormat="1" ht="14.1" customHeight="1" x14ac:dyDescent="0.35">
      <c r="A58" s="247" t="s">
        <v>8</v>
      </c>
      <c r="B58" s="3" t="s">
        <v>70</v>
      </c>
      <c r="C58" s="4"/>
      <c r="D58" s="52">
        <v>9013051</v>
      </c>
      <c r="E58" s="98">
        <v>45170</v>
      </c>
      <c r="F58" s="44" t="s">
        <v>74</v>
      </c>
      <c r="G58" s="61">
        <v>45174</v>
      </c>
      <c r="H58" s="42"/>
      <c r="I58" s="28"/>
      <c r="J58" s="28"/>
      <c r="K58" s="28"/>
      <c r="L58" s="28"/>
      <c r="M58" s="42">
        <v>49</v>
      </c>
      <c r="N58" s="28">
        <v>39</v>
      </c>
      <c r="O58" s="42"/>
      <c r="P58" s="7"/>
      <c r="Q58" s="43"/>
      <c r="R58" s="42"/>
      <c r="S58" s="43"/>
      <c r="T58" s="32"/>
      <c r="U58" s="53">
        <f t="shared" si="7"/>
        <v>88</v>
      </c>
      <c r="V58" s="64" t="s">
        <v>25</v>
      </c>
      <c r="W58" s="2" t="s">
        <v>8</v>
      </c>
      <c r="X58" s="65" t="s">
        <v>17</v>
      </c>
      <c r="Y58" s="105"/>
      <c r="Z58" s="181"/>
    </row>
    <row r="59" spans="1:27" s="2" customFormat="1" ht="14.1" customHeight="1" x14ac:dyDescent="0.35">
      <c r="A59" s="247" t="s">
        <v>38</v>
      </c>
      <c r="B59" s="3" t="s">
        <v>129</v>
      </c>
      <c r="C59" s="4"/>
      <c r="D59" s="52">
        <v>9053101</v>
      </c>
      <c r="E59" s="98">
        <v>45174</v>
      </c>
      <c r="F59" s="44" t="s">
        <v>20</v>
      </c>
      <c r="G59" s="61">
        <v>45174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194</v>
      </c>
      <c r="S59" s="43">
        <v>50</v>
      </c>
      <c r="T59" s="32">
        <v>16.73</v>
      </c>
      <c r="U59" s="53">
        <f t="shared" si="7"/>
        <v>260.73</v>
      </c>
      <c r="V59" s="64" t="s">
        <v>65</v>
      </c>
      <c r="W59" s="2" t="s">
        <v>128</v>
      </c>
      <c r="X59" s="65" t="s">
        <v>17</v>
      </c>
      <c r="Y59" s="105"/>
      <c r="Z59" s="181"/>
    </row>
    <row r="60" spans="1:27" s="2" customFormat="1" ht="14.1" customHeight="1" x14ac:dyDescent="0.35">
      <c r="A60" s="247" t="s">
        <v>38</v>
      </c>
      <c r="B60" s="3" t="s">
        <v>130</v>
      </c>
      <c r="C60" s="4"/>
      <c r="D60" s="52">
        <v>9053102</v>
      </c>
      <c r="E60" s="98">
        <v>45174</v>
      </c>
      <c r="F60" s="44" t="s">
        <v>20</v>
      </c>
      <c r="G60" s="61">
        <v>45174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219</v>
      </c>
      <c r="S60" s="43">
        <v>62.5</v>
      </c>
      <c r="T60" s="32">
        <v>22.45</v>
      </c>
      <c r="U60" s="53">
        <f t="shared" si="7"/>
        <v>303.95</v>
      </c>
      <c r="V60" s="64" t="s">
        <v>65</v>
      </c>
      <c r="W60" s="2" t="s">
        <v>5</v>
      </c>
      <c r="X60" s="65" t="s">
        <v>17</v>
      </c>
      <c r="Y60" s="105"/>
      <c r="Z60" s="181"/>
    </row>
    <row r="61" spans="1:27" s="2" customFormat="1" ht="14.1" customHeight="1" x14ac:dyDescent="0.35">
      <c r="A61" s="247" t="s">
        <v>38</v>
      </c>
      <c r="B61" s="3" t="s">
        <v>79</v>
      </c>
      <c r="C61" s="4"/>
      <c r="D61" s="52">
        <v>9053103</v>
      </c>
      <c r="E61" s="98">
        <v>45174</v>
      </c>
      <c r="F61" s="44" t="s">
        <v>20</v>
      </c>
      <c r="G61" s="61">
        <v>45174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149</v>
      </c>
      <c r="S61" s="43">
        <v>37.5</v>
      </c>
      <c r="T61" s="32">
        <v>13.41</v>
      </c>
      <c r="U61" s="53">
        <f t="shared" si="7"/>
        <v>199.91</v>
      </c>
      <c r="V61" s="64" t="s">
        <v>65</v>
      </c>
      <c r="W61" s="2" t="s">
        <v>128</v>
      </c>
      <c r="X61" s="65" t="s">
        <v>17</v>
      </c>
      <c r="Y61" s="105"/>
      <c r="Z61" s="181"/>
    </row>
    <row r="62" spans="1:27" s="2" customFormat="1" ht="14.1" customHeight="1" x14ac:dyDescent="0.35">
      <c r="A62" s="247" t="s">
        <v>131</v>
      </c>
      <c r="B62" s="3" t="s">
        <v>132</v>
      </c>
      <c r="C62" s="4"/>
      <c r="D62" s="52">
        <v>9053105</v>
      </c>
      <c r="E62" s="98">
        <v>45174</v>
      </c>
      <c r="F62" s="44" t="s">
        <v>20</v>
      </c>
      <c r="G62" s="61">
        <v>45174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286</v>
      </c>
      <c r="S62" s="43">
        <v>75</v>
      </c>
      <c r="T62" s="32">
        <v>24.67</v>
      </c>
      <c r="U62" s="53">
        <f t="shared" si="7"/>
        <v>385.67</v>
      </c>
      <c r="V62" s="64" t="s">
        <v>65</v>
      </c>
      <c r="W62" s="2" t="s">
        <v>128</v>
      </c>
      <c r="X62" s="65" t="s">
        <v>17</v>
      </c>
      <c r="Y62" s="105"/>
      <c r="Z62" s="181"/>
    </row>
    <row r="63" spans="1:27" s="2" customFormat="1" ht="14.1" customHeight="1" x14ac:dyDescent="0.35">
      <c r="A63" s="247" t="s">
        <v>38</v>
      </c>
      <c r="B63" s="3" t="s">
        <v>133</v>
      </c>
      <c r="C63" s="4"/>
      <c r="D63" s="52">
        <v>9013106</v>
      </c>
      <c r="E63" s="98">
        <v>45170</v>
      </c>
      <c r="F63" s="44" t="s">
        <v>20</v>
      </c>
      <c r="G63" s="61">
        <v>45174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135</v>
      </c>
      <c r="S63" s="43">
        <v>25</v>
      </c>
      <c r="T63" s="32">
        <v>12.99</v>
      </c>
      <c r="U63" s="53">
        <f t="shared" si="7"/>
        <v>172.99</v>
      </c>
      <c r="V63" s="64" t="s">
        <v>7</v>
      </c>
      <c r="W63" s="2" t="s">
        <v>61</v>
      </c>
      <c r="X63" s="65" t="s">
        <v>17</v>
      </c>
      <c r="Y63" s="105"/>
      <c r="Z63" s="181"/>
    </row>
    <row r="64" spans="1:27" s="2" customFormat="1" ht="14.1" customHeight="1" x14ac:dyDescent="0.35">
      <c r="A64" s="247" t="s">
        <v>5</v>
      </c>
      <c r="B64" s="3" t="s">
        <v>34</v>
      </c>
      <c r="C64" s="4"/>
      <c r="D64" s="52">
        <v>9063062</v>
      </c>
      <c r="E64" s="98">
        <v>45175</v>
      </c>
      <c r="F64" s="44" t="s">
        <v>20</v>
      </c>
      <c r="G64" s="61">
        <v>45175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463</v>
      </c>
      <c r="S64" s="43"/>
      <c r="T64" s="32"/>
      <c r="U64" s="53">
        <f t="shared" si="7"/>
        <v>463</v>
      </c>
      <c r="V64" s="64" t="s">
        <v>65</v>
      </c>
      <c r="W64" s="2" t="s">
        <v>58</v>
      </c>
      <c r="X64" s="65" t="s">
        <v>17</v>
      </c>
      <c r="Y64" s="105"/>
      <c r="Z64" s="181"/>
    </row>
    <row r="65" spans="1:26" s="2" customFormat="1" ht="14.1" customHeight="1" x14ac:dyDescent="0.35">
      <c r="A65" s="247" t="s">
        <v>38</v>
      </c>
      <c r="B65" s="3" t="s">
        <v>134</v>
      </c>
      <c r="C65" s="4"/>
      <c r="D65" s="52">
        <v>9073101</v>
      </c>
      <c r="E65" s="98">
        <v>45176</v>
      </c>
      <c r="F65" s="44" t="s">
        <v>20</v>
      </c>
      <c r="G65" s="61">
        <v>45176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65</v>
      </c>
      <c r="S65" s="43">
        <v>25</v>
      </c>
      <c r="T65" s="32">
        <v>5.61</v>
      </c>
      <c r="U65" s="53">
        <f t="shared" si="7"/>
        <v>95.61</v>
      </c>
      <c r="V65" s="64" t="s">
        <v>65</v>
      </c>
      <c r="W65" s="2" t="s">
        <v>58</v>
      </c>
      <c r="X65" s="65" t="s">
        <v>17</v>
      </c>
      <c r="Y65" s="105"/>
      <c r="Z65" s="181"/>
    </row>
    <row r="66" spans="1:26" s="2" customFormat="1" ht="14.1" customHeight="1" x14ac:dyDescent="0.35">
      <c r="A66" s="247" t="s">
        <v>38</v>
      </c>
      <c r="B66" s="3" t="s">
        <v>113</v>
      </c>
      <c r="C66" s="4"/>
      <c r="D66" s="52">
        <v>9083103</v>
      </c>
      <c r="E66" s="98">
        <v>45177</v>
      </c>
      <c r="F66" s="44" t="s">
        <v>20</v>
      </c>
      <c r="G66" s="61">
        <v>45180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185</v>
      </c>
      <c r="S66" s="43">
        <v>37.5</v>
      </c>
      <c r="T66" s="32">
        <v>15.96</v>
      </c>
      <c r="U66" s="53">
        <f t="shared" si="7"/>
        <v>238.46</v>
      </c>
      <c r="V66" s="64" t="s">
        <v>65</v>
      </c>
      <c r="W66" s="2" t="s">
        <v>5</v>
      </c>
      <c r="X66" s="65" t="s">
        <v>17</v>
      </c>
      <c r="Y66" s="105"/>
      <c r="Z66" s="181"/>
    </row>
    <row r="67" spans="1:26" s="2" customFormat="1" ht="14.1" customHeight="1" x14ac:dyDescent="0.35">
      <c r="A67" s="247" t="s">
        <v>38</v>
      </c>
      <c r="B67" s="3" t="s">
        <v>34</v>
      </c>
      <c r="C67" s="4"/>
      <c r="D67" s="52">
        <v>9093062</v>
      </c>
      <c r="E67" s="98">
        <v>45178</v>
      </c>
      <c r="F67" s="44" t="s">
        <v>20</v>
      </c>
      <c r="G67" s="61">
        <v>45180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345</v>
      </c>
      <c r="S67" s="43"/>
      <c r="T67" s="32"/>
      <c r="U67" s="53">
        <f t="shared" si="7"/>
        <v>345</v>
      </c>
      <c r="V67" s="64" t="s">
        <v>65</v>
      </c>
      <c r="W67" s="2" t="s">
        <v>5</v>
      </c>
      <c r="X67" s="65" t="s">
        <v>17</v>
      </c>
      <c r="Y67" s="105"/>
      <c r="Z67" s="181"/>
    </row>
    <row r="68" spans="1:26" s="2" customFormat="1" ht="14.1" customHeight="1" x14ac:dyDescent="0.35">
      <c r="A68" s="247" t="s">
        <v>38</v>
      </c>
      <c r="B68" s="3" t="s">
        <v>135</v>
      </c>
      <c r="C68" s="4"/>
      <c r="D68" s="52">
        <v>9113064</v>
      </c>
      <c r="E68" s="98">
        <v>45180</v>
      </c>
      <c r="F68" s="44" t="s">
        <v>137</v>
      </c>
      <c r="G68" s="61">
        <v>45180</v>
      </c>
      <c r="H68" s="42"/>
      <c r="I68" s="28"/>
      <c r="J68" s="28"/>
      <c r="K68" s="28"/>
      <c r="L68" s="28"/>
      <c r="M68" s="42"/>
      <c r="N68" s="28"/>
      <c r="O68" s="42">
        <v>49</v>
      </c>
      <c r="P68" s="7"/>
      <c r="Q68" s="43"/>
      <c r="R68" s="42"/>
      <c r="S68" s="43">
        <v>12.5</v>
      </c>
      <c r="T68" s="32">
        <v>4.2300000000000004</v>
      </c>
      <c r="U68" s="53">
        <f t="shared" si="7"/>
        <v>65.73</v>
      </c>
      <c r="V68" s="64" t="s">
        <v>68</v>
      </c>
      <c r="W68" s="2" t="s">
        <v>136</v>
      </c>
      <c r="X68" s="65" t="s">
        <v>17</v>
      </c>
      <c r="Y68" s="105"/>
      <c r="Z68" s="181"/>
    </row>
    <row r="69" spans="1:26" s="2" customFormat="1" ht="14.1" customHeight="1" x14ac:dyDescent="0.35">
      <c r="A69" s="247" t="s">
        <v>5</v>
      </c>
      <c r="B69" s="3" t="s">
        <v>138</v>
      </c>
      <c r="C69" s="4"/>
      <c r="D69" s="52">
        <v>9113065</v>
      </c>
      <c r="E69" s="98">
        <v>45180</v>
      </c>
      <c r="F69" s="44" t="s">
        <v>139</v>
      </c>
      <c r="G69" s="61">
        <v>45180</v>
      </c>
      <c r="H69" s="42">
        <v>41500</v>
      </c>
      <c r="I69" s="28"/>
      <c r="J69" s="28"/>
      <c r="K69" s="28"/>
      <c r="L69" s="28"/>
      <c r="M69" s="42"/>
      <c r="N69" s="28"/>
      <c r="O69" s="42"/>
      <c r="P69" s="7"/>
      <c r="Q69" s="43"/>
      <c r="R69" s="42"/>
      <c r="S69" s="43">
        <v>475</v>
      </c>
      <c r="T69" s="32">
        <v>3942.5</v>
      </c>
      <c r="U69" s="53">
        <f t="shared" si="7"/>
        <v>45917.5</v>
      </c>
      <c r="V69" s="64" t="s">
        <v>68</v>
      </c>
      <c r="W69" s="2" t="s">
        <v>140</v>
      </c>
      <c r="X69" s="65" t="s">
        <v>17</v>
      </c>
      <c r="Y69" s="105"/>
      <c r="Z69" s="181"/>
    </row>
    <row r="70" spans="1:26" s="2" customFormat="1" ht="14.1" customHeight="1" x14ac:dyDescent="0.35">
      <c r="A70" s="247" t="s">
        <v>8</v>
      </c>
      <c r="B70" s="3" t="s">
        <v>88</v>
      </c>
      <c r="C70" s="4"/>
      <c r="D70" s="52">
        <v>9113067</v>
      </c>
      <c r="E70" s="98">
        <v>45180</v>
      </c>
      <c r="F70" s="44" t="s">
        <v>141</v>
      </c>
      <c r="G70" s="61">
        <v>45180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196</v>
      </c>
      <c r="S70" s="43">
        <v>20</v>
      </c>
      <c r="T70" s="32">
        <v>16.91</v>
      </c>
      <c r="U70" s="53">
        <f t="shared" si="7"/>
        <v>232.91</v>
      </c>
      <c r="V70" s="64" t="s">
        <v>68</v>
      </c>
      <c r="W70" s="2" t="s">
        <v>136</v>
      </c>
      <c r="X70" s="65" t="s">
        <v>17</v>
      </c>
      <c r="Y70" s="105"/>
      <c r="Z70" s="181"/>
    </row>
    <row r="71" spans="1:26" s="2" customFormat="1" ht="14.1" customHeight="1" x14ac:dyDescent="0.35">
      <c r="A71" s="247" t="s">
        <v>38</v>
      </c>
      <c r="B71" s="3" t="s">
        <v>142</v>
      </c>
      <c r="C71" s="4"/>
      <c r="D71" s="52">
        <v>9113041</v>
      </c>
      <c r="E71" s="98">
        <v>45180</v>
      </c>
      <c r="F71" s="44" t="s">
        <v>20</v>
      </c>
      <c r="G71" s="61">
        <v>45180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120</v>
      </c>
      <c r="S71" s="43">
        <v>25</v>
      </c>
      <c r="T71" s="32">
        <v>10.199999999999999</v>
      </c>
      <c r="U71" s="53">
        <f t="shared" si="7"/>
        <v>155.19999999999999</v>
      </c>
      <c r="V71" s="64" t="s">
        <v>65</v>
      </c>
      <c r="W71" s="2" t="s">
        <v>128</v>
      </c>
      <c r="X71" s="65" t="s">
        <v>17</v>
      </c>
      <c r="Y71" s="105"/>
      <c r="Z71" s="181"/>
    </row>
    <row r="72" spans="1:26" s="2" customFormat="1" ht="14.1" customHeight="1" x14ac:dyDescent="0.35">
      <c r="A72" s="247" t="s">
        <v>38</v>
      </c>
      <c r="B72" s="3" t="s">
        <v>143</v>
      </c>
      <c r="C72" s="4"/>
      <c r="D72" s="52">
        <v>9113044</v>
      </c>
      <c r="E72" s="98">
        <v>45180</v>
      </c>
      <c r="F72" s="44" t="s">
        <v>20</v>
      </c>
      <c r="G72" s="61">
        <v>45180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65</v>
      </c>
      <c r="S72" s="43">
        <v>12.5</v>
      </c>
      <c r="T72" s="32">
        <v>5.36</v>
      </c>
      <c r="U72" s="53">
        <f t="shared" si="7"/>
        <v>82.86</v>
      </c>
      <c r="V72" s="64" t="s">
        <v>65</v>
      </c>
      <c r="W72" s="2" t="s">
        <v>128</v>
      </c>
      <c r="X72" s="65" t="s">
        <v>17</v>
      </c>
      <c r="Y72" s="105"/>
      <c r="Z72" s="181"/>
    </row>
    <row r="73" spans="1:26" s="2" customFormat="1" ht="14.1" customHeight="1" x14ac:dyDescent="0.35">
      <c r="A73" s="247" t="s">
        <v>38</v>
      </c>
      <c r="B73" s="3" t="s">
        <v>144</v>
      </c>
      <c r="C73" s="4" t="s">
        <v>145</v>
      </c>
      <c r="D73" s="52">
        <v>9123101</v>
      </c>
      <c r="E73" s="98">
        <v>45181</v>
      </c>
      <c r="F73" s="44" t="s">
        <v>20</v>
      </c>
      <c r="G73" s="61">
        <v>45181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130</v>
      </c>
      <c r="S73" s="43">
        <v>25</v>
      </c>
      <c r="T73" s="32">
        <v>10.89</v>
      </c>
      <c r="U73" s="53">
        <f t="shared" si="7"/>
        <v>165.89</v>
      </c>
      <c r="V73" s="64" t="s">
        <v>65</v>
      </c>
      <c r="W73" s="2" t="s">
        <v>5</v>
      </c>
      <c r="X73" s="65" t="s">
        <v>17</v>
      </c>
      <c r="Y73" s="105"/>
      <c r="Z73" s="181"/>
    </row>
    <row r="74" spans="1:26" s="2" customFormat="1" ht="14.1" customHeight="1" x14ac:dyDescent="0.35">
      <c r="A74" s="247" t="s">
        <v>38</v>
      </c>
      <c r="B74" s="3" t="s">
        <v>146</v>
      </c>
      <c r="C74" s="4" t="s">
        <v>127</v>
      </c>
      <c r="D74" s="52">
        <v>9123103</v>
      </c>
      <c r="E74" s="98">
        <v>45181</v>
      </c>
      <c r="F74" s="44" t="s">
        <v>20</v>
      </c>
      <c r="G74" s="61">
        <v>45181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225</v>
      </c>
      <c r="S74" s="43">
        <v>62.5</v>
      </c>
      <c r="T74" s="32">
        <v>19.41</v>
      </c>
      <c r="U74" s="53">
        <f t="shared" si="7"/>
        <v>306.91000000000003</v>
      </c>
      <c r="V74" s="64" t="s">
        <v>65</v>
      </c>
      <c r="W74" s="2" t="s">
        <v>5</v>
      </c>
      <c r="X74" s="65" t="s">
        <v>17</v>
      </c>
      <c r="Y74" s="105"/>
      <c r="Z74" s="181"/>
    </row>
    <row r="75" spans="1:26" s="2" customFormat="1" ht="14.1" customHeight="1" x14ac:dyDescent="0.35">
      <c r="A75" s="247" t="s">
        <v>38</v>
      </c>
      <c r="B75" s="3" t="s">
        <v>147</v>
      </c>
      <c r="C75" s="4"/>
      <c r="D75" s="52">
        <v>9123104</v>
      </c>
      <c r="E75" s="98">
        <v>45181</v>
      </c>
      <c r="F75" s="44" t="s">
        <v>20</v>
      </c>
      <c r="G75" s="61">
        <v>45181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258</v>
      </c>
      <c r="S75" s="43">
        <v>62.5</v>
      </c>
      <c r="T75" s="32">
        <v>23.22</v>
      </c>
      <c r="U75" s="53">
        <f t="shared" si="7"/>
        <v>343.72</v>
      </c>
      <c r="V75" s="64" t="s">
        <v>65</v>
      </c>
      <c r="W75" s="2" t="s">
        <v>5</v>
      </c>
      <c r="X75" s="65" t="s">
        <v>17</v>
      </c>
      <c r="Y75" s="105"/>
      <c r="Z75" s="181"/>
    </row>
    <row r="76" spans="1:26" s="2" customFormat="1" ht="14.1" customHeight="1" x14ac:dyDescent="0.35">
      <c r="A76" s="247" t="s">
        <v>38</v>
      </c>
      <c r="B76" s="3" t="s">
        <v>148</v>
      </c>
      <c r="C76" s="4"/>
      <c r="D76" s="52">
        <v>9123105</v>
      </c>
      <c r="E76" s="98">
        <v>45181</v>
      </c>
      <c r="F76" s="44" t="s">
        <v>20</v>
      </c>
      <c r="G76" s="61">
        <v>45181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188</v>
      </c>
      <c r="S76" s="43">
        <v>37.5</v>
      </c>
      <c r="T76" s="32">
        <v>17.39</v>
      </c>
      <c r="U76" s="53">
        <f t="shared" si="7"/>
        <v>242.89</v>
      </c>
      <c r="V76" s="64" t="s">
        <v>7</v>
      </c>
      <c r="W76" s="2" t="s">
        <v>6</v>
      </c>
      <c r="X76" s="65" t="s">
        <v>17</v>
      </c>
      <c r="Y76" s="105"/>
      <c r="Z76" s="181"/>
    </row>
    <row r="77" spans="1:26" s="2" customFormat="1" ht="14.1" customHeight="1" x14ac:dyDescent="0.35">
      <c r="A77" s="247" t="s">
        <v>38</v>
      </c>
      <c r="B77" s="3" t="s">
        <v>149</v>
      </c>
      <c r="C77" s="4"/>
      <c r="D77" s="52">
        <v>9123111</v>
      </c>
      <c r="E77" s="98">
        <v>45181</v>
      </c>
      <c r="F77" s="44" t="s">
        <v>20</v>
      </c>
      <c r="G77" s="61">
        <v>45181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39</v>
      </c>
      <c r="S77" s="43">
        <v>12.5</v>
      </c>
      <c r="T77" s="32">
        <v>3.36</v>
      </c>
      <c r="U77" s="53">
        <f t="shared" si="7"/>
        <v>54.86</v>
      </c>
      <c r="V77" s="64" t="s">
        <v>65</v>
      </c>
      <c r="W77" s="2" t="s">
        <v>124</v>
      </c>
      <c r="X77" s="65" t="s">
        <v>17</v>
      </c>
      <c r="Y77" s="105"/>
      <c r="Z77" s="181"/>
    </row>
    <row r="78" spans="1:26" s="2" customFormat="1" ht="14.1" customHeight="1" x14ac:dyDescent="0.35">
      <c r="A78" s="247" t="s">
        <v>38</v>
      </c>
      <c r="B78" s="3" t="s">
        <v>71</v>
      </c>
      <c r="C78" s="4"/>
      <c r="D78" s="52">
        <v>9123109</v>
      </c>
      <c r="E78" s="98">
        <v>45181</v>
      </c>
      <c r="F78" s="44" t="s">
        <v>72</v>
      </c>
      <c r="G78" s="61">
        <v>45182</v>
      </c>
      <c r="H78" s="42"/>
      <c r="I78" s="28"/>
      <c r="J78" s="28"/>
      <c r="K78" s="28"/>
      <c r="L78" s="28"/>
      <c r="M78" s="42"/>
      <c r="N78" s="28"/>
      <c r="O78" s="42">
        <v>37.5</v>
      </c>
      <c r="P78" s="7"/>
      <c r="Q78" s="43"/>
      <c r="R78" s="42"/>
      <c r="S78" s="43">
        <v>12.5</v>
      </c>
      <c r="T78" s="32">
        <v>3.52</v>
      </c>
      <c r="U78" s="53">
        <f t="shared" si="7"/>
        <v>53.52</v>
      </c>
      <c r="V78" s="64" t="s">
        <v>7</v>
      </c>
      <c r="W78" s="2" t="s">
        <v>37</v>
      </c>
      <c r="X78" s="65" t="s">
        <v>17</v>
      </c>
      <c r="Y78" s="105"/>
      <c r="Z78" s="181"/>
    </row>
    <row r="79" spans="1:26" s="2" customFormat="1" ht="14.1" customHeight="1" x14ac:dyDescent="0.35">
      <c r="A79" s="247" t="s">
        <v>5</v>
      </c>
      <c r="B79" s="3" t="s">
        <v>151</v>
      </c>
      <c r="C79" s="4" t="s">
        <v>150</v>
      </c>
      <c r="D79" s="52">
        <v>9143062</v>
      </c>
      <c r="E79" s="98">
        <v>45183</v>
      </c>
      <c r="F79" s="44" t="s">
        <v>20</v>
      </c>
      <c r="G79" s="61">
        <v>45183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305</v>
      </c>
      <c r="S79" s="43">
        <v>62.5</v>
      </c>
      <c r="T79" s="32">
        <v>27.83</v>
      </c>
      <c r="U79" s="53">
        <f t="shared" si="7"/>
        <v>395.33</v>
      </c>
      <c r="V79" s="64" t="s">
        <v>65</v>
      </c>
      <c r="W79" s="2" t="s">
        <v>128</v>
      </c>
      <c r="X79" s="65" t="s">
        <v>17</v>
      </c>
      <c r="Y79" s="105"/>
      <c r="Z79" s="181"/>
    </row>
    <row r="80" spans="1:26" s="2" customFormat="1" ht="14.1" customHeight="1" x14ac:dyDescent="0.35">
      <c r="A80" s="247" t="s">
        <v>38</v>
      </c>
      <c r="B80" s="3" t="s">
        <v>73</v>
      </c>
      <c r="C80" s="4"/>
      <c r="D80" s="52">
        <v>9143063</v>
      </c>
      <c r="E80" s="98">
        <v>45183</v>
      </c>
      <c r="F80" s="44" t="s">
        <v>20</v>
      </c>
      <c r="G80" s="61">
        <v>45183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120</v>
      </c>
      <c r="S80" s="43">
        <v>25</v>
      </c>
      <c r="T80" s="32">
        <v>9.3000000000000007</v>
      </c>
      <c r="U80" s="53">
        <f t="shared" si="7"/>
        <v>154.30000000000001</v>
      </c>
      <c r="V80" s="64" t="s">
        <v>65</v>
      </c>
      <c r="W80" s="2" t="s">
        <v>128</v>
      </c>
      <c r="X80" s="65" t="s">
        <v>17</v>
      </c>
      <c r="Y80" s="105"/>
      <c r="Z80" s="181"/>
    </row>
    <row r="81" spans="1:26" s="2" customFormat="1" ht="14.1" customHeight="1" x14ac:dyDescent="0.35">
      <c r="A81" s="247" t="s">
        <v>38</v>
      </c>
      <c r="B81" s="3" t="s">
        <v>152</v>
      </c>
      <c r="C81" s="4" t="s">
        <v>153</v>
      </c>
      <c r="D81" s="52">
        <v>9143101</v>
      </c>
      <c r="E81" s="98">
        <v>45183</v>
      </c>
      <c r="F81" s="44" t="s">
        <v>20</v>
      </c>
      <c r="G81" s="61">
        <v>45183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185</v>
      </c>
      <c r="S81" s="43">
        <v>37.5</v>
      </c>
      <c r="T81" s="32"/>
      <c r="U81" s="53">
        <f t="shared" si="7"/>
        <v>222.5</v>
      </c>
      <c r="V81" s="64" t="s">
        <v>65</v>
      </c>
      <c r="W81" s="2" t="s">
        <v>128</v>
      </c>
      <c r="X81" s="65" t="s">
        <v>17</v>
      </c>
      <c r="Y81" s="105"/>
      <c r="Z81" s="181"/>
    </row>
    <row r="82" spans="1:26" s="2" customFormat="1" ht="14.1" customHeight="1" x14ac:dyDescent="0.35">
      <c r="A82" s="247" t="s">
        <v>38</v>
      </c>
      <c r="B82" s="3" t="s">
        <v>154</v>
      </c>
      <c r="C82" s="4"/>
      <c r="D82" s="52">
        <v>9143102</v>
      </c>
      <c r="E82" s="98">
        <v>45183</v>
      </c>
      <c r="F82" s="44" t="s">
        <v>20</v>
      </c>
      <c r="G82" s="61">
        <v>45183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155</v>
      </c>
      <c r="S82" s="43">
        <v>37.5</v>
      </c>
      <c r="T82" s="32">
        <v>13.18</v>
      </c>
      <c r="U82" s="53">
        <f t="shared" si="7"/>
        <v>205.68</v>
      </c>
      <c r="V82" s="64" t="s">
        <v>65</v>
      </c>
      <c r="W82" s="2" t="s">
        <v>128</v>
      </c>
      <c r="X82" s="65" t="s">
        <v>17</v>
      </c>
      <c r="Y82" s="105"/>
      <c r="Z82" s="181"/>
    </row>
    <row r="83" spans="1:26" s="2" customFormat="1" ht="14.1" customHeight="1" x14ac:dyDescent="0.35">
      <c r="A83" s="247" t="s">
        <v>38</v>
      </c>
      <c r="B83" s="3" t="s">
        <v>155</v>
      </c>
      <c r="C83" s="4"/>
      <c r="D83" s="52">
        <v>9143103</v>
      </c>
      <c r="E83" s="98">
        <v>45183</v>
      </c>
      <c r="F83" s="44" t="s">
        <v>20</v>
      </c>
      <c r="G83" s="61">
        <v>45183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65</v>
      </c>
      <c r="S83" s="43">
        <v>12.5</v>
      </c>
      <c r="T83" s="32">
        <v>6.18</v>
      </c>
      <c r="U83" s="53">
        <f t="shared" si="7"/>
        <v>83.68</v>
      </c>
      <c r="V83" s="64" t="s">
        <v>65</v>
      </c>
      <c r="W83" s="2" t="s">
        <v>128</v>
      </c>
      <c r="X83" s="65" t="s">
        <v>17</v>
      </c>
      <c r="Y83" s="105"/>
      <c r="Z83" s="181"/>
    </row>
    <row r="84" spans="1:26" s="2" customFormat="1" ht="14.1" customHeight="1" x14ac:dyDescent="0.35">
      <c r="A84" s="247" t="s">
        <v>38</v>
      </c>
      <c r="B84" s="3" t="s">
        <v>156</v>
      </c>
      <c r="C84" s="4"/>
      <c r="D84" s="52">
        <v>9143104</v>
      </c>
      <c r="E84" s="98">
        <v>45183</v>
      </c>
      <c r="F84" s="44" t="s">
        <v>20</v>
      </c>
      <c r="G84" s="61">
        <v>45184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143</v>
      </c>
      <c r="S84" s="43">
        <v>25</v>
      </c>
      <c r="T84" s="32">
        <v>14.66</v>
      </c>
      <c r="U84" s="53">
        <f t="shared" si="7"/>
        <v>182.66</v>
      </c>
      <c r="V84" s="64" t="s">
        <v>65</v>
      </c>
      <c r="W84" s="2" t="s">
        <v>5</v>
      </c>
      <c r="X84" s="65" t="s">
        <v>17</v>
      </c>
      <c r="Y84" s="105"/>
      <c r="Z84" s="181"/>
    </row>
    <row r="85" spans="1:26" s="2" customFormat="1" ht="14.1" customHeight="1" x14ac:dyDescent="0.35">
      <c r="A85" s="247" t="s">
        <v>38</v>
      </c>
      <c r="B85" s="3" t="s">
        <v>157</v>
      </c>
      <c r="C85" s="4"/>
      <c r="D85" s="52">
        <v>9153063</v>
      </c>
      <c r="E85" s="98">
        <v>45184</v>
      </c>
      <c r="F85" s="44" t="s">
        <v>20</v>
      </c>
      <c r="G85" s="61">
        <v>45184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149</v>
      </c>
      <c r="S85" s="43">
        <v>37.5</v>
      </c>
      <c r="T85" s="32">
        <v>12.29</v>
      </c>
      <c r="U85" s="53">
        <f t="shared" si="7"/>
        <v>198.79</v>
      </c>
      <c r="V85" s="64" t="s">
        <v>65</v>
      </c>
      <c r="W85" s="2" t="s">
        <v>5</v>
      </c>
      <c r="X85" s="65" t="s">
        <v>17</v>
      </c>
      <c r="Y85" s="105"/>
      <c r="Z85" s="181"/>
    </row>
    <row r="86" spans="1:26" s="2" customFormat="1" ht="14.1" customHeight="1" x14ac:dyDescent="0.35">
      <c r="A86" s="247" t="s">
        <v>38</v>
      </c>
      <c r="B86" s="3" t="s">
        <v>158</v>
      </c>
      <c r="C86" s="4" t="s">
        <v>127</v>
      </c>
      <c r="D86" s="52">
        <v>9153107</v>
      </c>
      <c r="E86" s="98">
        <v>45184</v>
      </c>
      <c r="F86" s="44" t="s">
        <v>20</v>
      </c>
      <c r="G86" s="61">
        <v>45187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104</v>
      </c>
      <c r="S86" s="43">
        <v>25</v>
      </c>
      <c r="T86" s="32">
        <v>8.9700000000000006</v>
      </c>
      <c r="U86" s="53">
        <f t="shared" si="7"/>
        <v>137.97</v>
      </c>
      <c r="V86" s="64" t="s">
        <v>65</v>
      </c>
      <c r="W86" s="2" t="s">
        <v>128</v>
      </c>
      <c r="X86" s="65" t="s">
        <v>17</v>
      </c>
      <c r="Y86" s="105"/>
      <c r="Z86" s="181"/>
    </row>
    <row r="87" spans="1:26" s="2" customFormat="1" ht="14.1" customHeight="1" x14ac:dyDescent="0.35">
      <c r="A87" s="247" t="s">
        <v>5</v>
      </c>
      <c r="B87" s="3" t="s">
        <v>159</v>
      </c>
      <c r="C87" s="4" t="s">
        <v>160</v>
      </c>
      <c r="D87" s="52">
        <v>9153051</v>
      </c>
      <c r="E87" s="98">
        <v>45184</v>
      </c>
      <c r="F87" s="44" t="s">
        <v>39</v>
      </c>
      <c r="G87" s="61">
        <v>45188</v>
      </c>
      <c r="H87" s="42"/>
      <c r="I87" s="28"/>
      <c r="J87" s="28"/>
      <c r="K87" s="28"/>
      <c r="L87" s="28"/>
      <c r="M87" s="42">
        <v>95</v>
      </c>
      <c r="N87" s="28"/>
      <c r="O87" s="42"/>
      <c r="P87" s="7"/>
      <c r="Q87" s="43"/>
      <c r="R87" s="42"/>
      <c r="S87" s="43"/>
      <c r="T87" s="32"/>
      <c r="U87" s="53">
        <f t="shared" si="7"/>
        <v>95</v>
      </c>
      <c r="V87" s="64" t="s">
        <v>25</v>
      </c>
      <c r="W87" s="2" t="s">
        <v>5</v>
      </c>
      <c r="X87" s="65" t="s">
        <v>17</v>
      </c>
      <c r="Y87" s="105"/>
      <c r="Z87" s="181"/>
    </row>
    <row r="88" spans="1:26" s="2" customFormat="1" ht="14.1" customHeight="1" x14ac:dyDescent="0.35">
      <c r="A88" s="247" t="s">
        <v>8</v>
      </c>
      <c r="B88" s="3" t="s">
        <v>161</v>
      </c>
      <c r="C88" s="4" t="s">
        <v>162</v>
      </c>
      <c r="D88" s="52">
        <v>9153053</v>
      </c>
      <c r="E88" s="98">
        <v>45184</v>
      </c>
      <c r="F88" s="44" t="s">
        <v>39</v>
      </c>
      <c r="G88" s="61">
        <v>45188</v>
      </c>
      <c r="H88" s="42"/>
      <c r="I88" s="28"/>
      <c r="J88" s="28"/>
      <c r="K88" s="28"/>
      <c r="L88" s="28"/>
      <c r="M88" s="42">
        <v>69</v>
      </c>
      <c r="N88" s="28">
        <v>39</v>
      </c>
      <c r="O88" s="42"/>
      <c r="P88" s="7"/>
      <c r="Q88" s="43"/>
      <c r="R88" s="42"/>
      <c r="S88" s="43"/>
      <c r="T88" s="32"/>
      <c r="U88" s="53">
        <f t="shared" si="7"/>
        <v>108</v>
      </c>
      <c r="V88" s="64" t="s">
        <v>25</v>
      </c>
      <c r="W88" s="2" t="s">
        <v>8</v>
      </c>
      <c r="X88" s="65" t="s">
        <v>17</v>
      </c>
      <c r="Y88" s="105"/>
      <c r="Z88" s="181"/>
    </row>
    <row r="89" spans="1:26" s="2" customFormat="1" ht="14.1" customHeight="1" x14ac:dyDescent="0.35">
      <c r="A89" s="247" t="s">
        <v>8</v>
      </c>
      <c r="B89" s="3" t="s">
        <v>161</v>
      </c>
      <c r="C89" s="4" t="s">
        <v>163</v>
      </c>
      <c r="D89" s="52">
        <v>9153054</v>
      </c>
      <c r="E89" s="98">
        <v>45184</v>
      </c>
      <c r="F89" s="44" t="s">
        <v>39</v>
      </c>
      <c r="G89" s="61">
        <v>45188</v>
      </c>
      <c r="H89" s="42"/>
      <c r="I89" s="28"/>
      <c r="J89" s="28"/>
      <c r="K89" s="28"/>
      <c r="L89" s="28"/>
      <c r="M89" s="42">
        <v>69</v>
      </c>
      <c r="N89" s="28">
        <v>39</v>
      </c>
      <c r="O89" s="42"/>
      <c r="P89" s="7"/>
      <c r="Q89" s="43"/>
      <c r="R89" s="42"/>
      <c r="S89" s="43"/>
      <c r="T89" s="32"/>
      <c r="U89" s="53">
        <f t="shared" si="7"/>
        <v>108</v>
      </c>
      <c r="V89" s="64" t="s">
        <v>25</v>
      </c>
      <c r="W89" s="2" t="s">
        <v>8</v>
      </c>
      <c r="X89" s="65" t="s">
        <v>17</v>
      </c>
      <c r="Y89" s="105"/>
      <c r="Z89" s="181"/>
    </row>
    <row r="90" spans="1:26" s="2" customFormat="1" ht="14.1" customHeight="1" x14ac:dyDescent="0.35">
      <c r="A90" s="247" t="s">
        <v>8</v>
      </c>
      <c r="B90" s="3" t="s">
        <v>175</v>
      </c>
      <c r="C90" s="4"/>
      <c r="D90" s="52">
        <v>9153057</v>
      </c>
      <c r="E90" s="98">
        <v>45184</v>
      </c>
      <c r="F90" s="44" t="s">
        <v>39</v>
      </c>
      <c r="G90" s="61">
        <v>45188</v>
      </c>
      <c r="H90" s="42"/>
      <c r="I90" s="28"/>
      <c r="J90" s="28"/>
      <c r="K90" s="28"/>
      <c r="L90" s="28"/>
      <c r="M90" s="42">
        <v>500</v>
      </c>
      <c r="N90" s="28">
        <v>2492</v>
      </c>
      <c r="O90" s="42"/>
      <c r="P90" s="7"/>
      <c r="Q90" s="43"/>
      <c r="R90" s="42"/>
      <c r="S90" s="43"/>
      <c r="T90" s="32"/>
      <c r="U90" s="53">
        <f t="shared" si="7"/>
        <v>2992</v>
      </c>
      <c r="V90" s="64" t="s">
        <v>25</v>
      </c>
      <c r="W90" s="2" t="s">
        <v>8</v>
      </c>
      <c r="X90" s="65" t="s">
        <v>17</v>
      </c>
      <c r="Y90" s="105"/>
      <c r="Z90" s="181"/>
    </row>
    <row r="91" spans="1:26" s="2" customFormat="1" ht="14.1" customHeight="1" x14ac:dyDescent="0.35">
      <c r="A91" s="247" t="s">
        <v>6</v>
      </c>
      <c r="B91" s="3" t="s">
        <v>164</v>
      </c>
      <c r="C91" s="4"/>
      <c r="D91" s="52">
        <v>9183062</v>
      </c>
      <c r="E91" s="98">
        <v>45187</v>
      </c>
      <c r="F91" s="44" t="s">
        <v>20</v>
      </c>
      <c r="G91" s="61">
        <v>45188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94</v>
      </c>
      <c r="S91" s="43"/>
      <c r="T91" s="32">
        <v>8.6999999999999993</v>
      </c>
      <c r="U91" s="53">
        <f t="shared" si="7"/>
        <v>102.7</v>
      </c>
      <c r="V91" s="64" t="s">
        <v>7</v>
      </c>
      <c r="W91" s="2" t="s">
        <v>6</v>
      </c>
      <c r="X91" s="65" t="s">
        <v>17</v>
      </c>
      <c r="Y91" s="105"/>
      <c r="Z91" s="181"/>
    </row>
    <row r="92" spans="1:26" s="2" customFormat="1" ht="14.1" customHeight="1" x14ac:dyDescent="0.35">
      <c r="A92" s="247" t="s">
        <v>38</v>
      </c>
      <c r="B92" s="3" t="s">
        <v>165</v>
      </c>
      <c r="C92" s="4"/>
      <c r="D92" s="52">
        <v>9183101</v>
      </c>
      <c r="E92" s="98">
        <v>45187</v>
      </c>
      <c r="F92" s="44" t="s">
        <v>20</v>
      </c>
      <c r="G92" s="61">
        <v>45188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130</v>
      </c>
      <c r="S92" s="43">
        <v>25</v>
      </c>
      <c r="T92" s="32">
        <v>11.21</v>
      </c>
      <c r="U92" s="53">
        <f t="shared" si="7"/>
        <v>166.21</v>
      </c>
      <c r="V92" s="64" t="s">
        <v>65</v>
      </c>
      <c r="W92" s="2" t="s">
        <v>128</v>
      </c>
      <c r="X92" s="65" t="s">
        <v>17</v>
      </c>
      <c r="Y92" s="105"/>
      <c r="Z92" s="181"/>
    </row>
    <row r="93" spans="1:26" s="2" customFormat="1" ht="14.1" customHeight="1" x14ac:dyDescent="0.35">
      <c r="A93" s="247" t="s">
        <v>37</v>
      </c>
      <c r="B93" s="3" t="s">
        <v>166</v>
      </c>
      <c r="C93" s="4" t="s">
        <v>167</v>
      </c>
      <c r="D93" s="52">
        <v>9193051</v>
      </c>
      <c r="E93" s="98">
        <v>45188</v>
      </c>
      <c r="F93" s="44" t="s">
        <v>39</v>
      </c>
      <c r="G93" s="61">
        <v>45188</v>
      </c>
      <c r="H93" s="42"/>
      <c r="I93" s="28"/>
      <c r="J93" s="28"/>
      <c r="K93" s="28"/>
      <c r="L93" s="28"/>
      <c r="M93" s="42">
        <v>468</v>
      </c>
      <c r="N93" s="28"/>
      <c r="O93" s="42"/>
      <c r="P93" s="7"/>
      <c r="Q93" s="43"/>
      <c r="R93" s="42"/>
      <c r="S93" s="43"/>
      <c r="T93" s="32"/>
      <c r="U93" s="53">
        <f t="shared" si="7"/>
        <v>468</v>
      </c>
      <c r="V93" s="64" t="s">
        <v>25</v>
      </c>
      <c r="W93" s="2" t="s">
        <v>37</v>
      </c>
      <c r="X93" s="65" t="s">
        <v>17</v>
      </c>
      <c r="Y93" s="105"/>
      <c r="Z93" s="181"/>
    </row>
    <row r="94" spans="1:26" s="2" customFormat="1" ht="14.1" customHeight="1" x14ac:dyDescent="0.35">
      <c r="A94" s="247" t="s">
        <v>8</v>
      </c>
      <c r="B94" s="3" t="s">
        <v>168</v>
      </c>
      <c r="C94" s="4"/>
      <c r="D94" s="52">
        <v>9193052</v>
      </c>
      <c r="E94" s="98">
        <v>45188</v>
      </c>
      <c r="F94" s="44" t="s">
        <v>39</v>
      </c>
      <c r="G94" s="61">
        <v>45188</v>
      </c>
      <c r="H94" s="42"/>
      <c r="I94" s="28"/>
      <c r="J94" s="28"/>
      <c r="K94" s="28"/>
      <c r="L94" s="28"/>
      <c r="M94" s="42">
        <v>390</v>
      </c>
      <c r="N94" s="28">
        <v>600</v>
      </c>
      <c r="O94" s="42"/>
      <c r="P94" s="7"/>
      <c r="Q94" s="43"/>
      <c r="R94" s="42"/>
      <c r="S94" s="43"/>
      <c r="T94" s="32"/>
      <c r="U94" s="53">
        <f t="shared" si="7"/>
        <v>990</v>
      </c>
      <c r="V94" s="64" t="s">
        <v>25</v>
      </c>
      <c r="W94" s="2" t="s">
        <v>8</v>
      </c>
      <c r="X94" s="65" t="s">
        <v>17</v>
      </c>
      <c r="Y94" s="105"/>
      <c r="Z94" s="181"/>
    </row>
    <row r="95" spans="1:26" s="2" customFormat="1" ht="14.1" customHeight="1" x14ac:dyDescent="0.35">
      <c r="A95" s="247" t="s">
        <v>38</v>
      </c>
      <c r="B95" s="3" t="s">
        <v>60</v>
      </c>
      <c r="C95" s="4" t="s">
        <v>169</v>
      </c>
      <c r="D95" s="52">
        <v>9193101</v>
      </c>
      <c r="E95" s="98">
        <v>45188</v>
      </c>
      <c r="F95" s="44" t="s">
        <v>20</v>
      </c>
      <c r="G95" s="61">
        <v>45188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253</v>
      </c>
      <c r="S95" s="43">
        <v>50</v>
      </c>
      <c r="T95" s="32">
        <v>27.2</v>
      </c>
      <c r="U95" s="53">
        <f t="shared" si="7"/>
        <v>330.2</v>
      </c>
      <c r="V95" s="64" t="s">
        <v>65</v>
      </c>
      <c r="W95" s="2" t="s">
        <v>128</v>
      </c>
      <c r="X95" s="65" t="s">
        <v>17</v>
      </c>
      <c r="Y95" s="105"/>
      <c r="Z95" s="181"/>
    </row>
    <row r="96" spans="1:26" s="2" customFormat="1" ht="14.1" customHeight="1" x14ac:dyDescent="0.35">
      <c r="A96" s="247" t="s">
        <v>38</v>
      </c>
      <c r="B96" s="3" t="s">
        <v>60</v>
      </c>
      <c r="C96" s="4" t="s">
        <v>170</v>
      </c>
      <c r="D96" s="52">
        <v>9193102</v>
      </c>
      <c r="E96" s="98">
        <v>45188</v>
      </c>
      <c r="F96" s="44" t="s">
        <v>20</v>
      </c>
      <c r="G96" s="61">
        <v>45188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188</v>
      </c>
      <c r="S96" s="43">
        <v>37.5</v>
      </c>
      <c r="T96" s="32">
        <v>18.100000000000001</v>
      </c>
      <c r="U96" s="53">
        <f t="shared" si="7"/>
        <v>243.6</v>
      </c>
      <c r="V96" s="64" t="s">
        <v>65</v>
      </c>
      <c r="W96" s="2" t="s">
        <v>128</v>
      </c>
      <c r="X96" s="65" t="s">
        <v>17</v>
      </c>
      <c r="Y96" s="105"/>
      <c r="Z96" s="181"/>
    </row>
    <row r="97" spans="1:26" s="2" customFormat="1" ht="14.1" customHeight="1" x14ac:dyDescent="0.35">
      <c r="A97" s="247" t="s">
        <v>38</v>
      </c>
      <c r="B97" s="3" t="s">
        <v>60</v>
      </c>
      <c r="C97" s="4" t="s">
        <v>171</v>
      </c>
      <c r="D97" s="52">
        <v>9193103</v>
      </c>
      <c r="E97" s="98">
        <v>45188</v>
      </c>
      <c r="F97" s="44" t="s">
        <v>20</v>
      </c>
      <c r="G97" s="61">
        <v>45188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188</v>
      </c>
      <c r="S97" s="43">
        <v>37.5</v>
      </c>
      <c r="T97" s="32">
        <v>20.21</v>
      </c>
      <c r="U97" s="53">
        <f t="shared" si="7"/>
        <v>245.71</v>
      </c>
      <c r="V97" s="64" t="s">
        <v>65</v>
      </c>
      <c r="W97" s="2" t="s">
        <v>128</v>
      </c>
      <c r="X97" s="65" t="s">
        <v>17</v>
      </c>
      <c r="Y97" s="105"/>
      <c r="Z97" s="181"/>
    </row>
    <row r="98" spans="1:26" s="2" customFormat="1" ht="14.1" customHeight="1" x14ac:dyDescent="0.35">
      <c r="A98" s="247" t="s">
        <v>38</v>
      </c>
      <c r="B98" s="3" t="s">
        <v>60</v>
      </c>
      <c r="C98" s="4" t="s">
        <v>171</v>
      </c>
      <c r="D98" s="52">
        <v>9193104</v>
      </c>
      <c r="E98" s="98">
        <v>45188</v>
      </c>
      <c r="F98" s="44" t="s">
        <v>20</v>
      </c>
      <c r="G98" s="61">
        <v>45188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110</v>
      </c>
      <c r="S98" s="43">
        <v>25</v>
      </c>
      <c r="T98" s="32">
        <v>11.83</v>
      </c>
      <c r="U98" s="53">
        <f t="shared" si="7"/>
        <v>146.83000000000001</v>
      </c>
      <c r="V98" s="64" t="s">
        <v>65</v>
      </c>
      <c r="W98" s="2" t="s">
        <v>128</v>
      </c>
      <c r="X98" s="65" t="s">
        <v>17</v>
      </c>
      <c r="Y98" s="105"/>
      <c r="Z98" s="181"/>
    </row>
    <row r="99" spans="1:26" s="2" customFormat="1" ht="14.1" customHeight="1" x14ac:dyDescent="0.35">
      <c r="A99" s="247" t="s">
        <v>38</v>
      </c>
      <c r="B99" s="3" t="s">
        <v>60</v>
      </c>
      <c r="C99" s="4" t="s">
        <v>172</v>
      </c>
      <c r="D99" s="52">
        <v>9193105</v>
      </c>
      <c r="E99" s="98">
        <v>45188</v>
      </c>
      <c r="F99" s="44" t="s">
        <v>20</v>
      </c>
      <c r="G99" s="61">
        <v>45188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104</v>
      </c>
      <c r="S99" s="43">
        <v>25</v>
      </c>
      <c r="T99" s="32">
        <v>9.75</v>
      </c>
      <c r="U99" s="53">
        <f t="shared" si="7"/>
        <v>138.75</v>
      </c>
      <c r="V99" s="64" t="s">
        <v>65</v>
      </c>
      <c r="W99" s="2" t="s">
        <v>128</v>
      </c>
      <c r="X99" s="65" t="s">
        <v>17</v>
      </c>
      <c r="Y99" s="105"/>
      <c r="Z99" s="181"/>
    </row>
    <row r="100" spans="1:26" s="2" customFormat="1" ht="14.1" customHeight="1" x14ac:dyDescent="0.35">
      <c r="A100" s="247" t="s">
        <v>38</v>
      </c>
      <c r="B100" s="3" t="s">
        <v>60</v>
      </c>
      <c r="C100" s="4" t="s">
        <v>173</v>
      </c>
      <c r="D100" s="52">
        <v>9193106</v>
      </c>
      <c r="E100" s="98">
        <v>45188</v>
      </c>
      <c r="F100" s="44" t="s">
        <v>20</v>
      </c>
      <c r="G100" s="61">
        <v>45188</v>
      </c>
      <c r="H100" s="42"/>
      <c r="I100" s="28"/>
      <c r="J100" s="28"/>
      <c r="K100" s="28"/>
      <c r="L100" s="28"/>
      <c r="M100" s="42"/>
      <c r="N100" s="28"/>
      <c r="O100" s="42"/>
      <c r="P100" s="7"/>
      <c r="Q100" s="43"/>
      <c r="R100" s="42">
        <v>65</v>
      </c>
      <c r="S100" s="43">
        <v>12.5</v>
      </c>
      <c r="T100" s="32">
        <v>6.01</v>
      </c>
      <c r="U100" s="53">
        <f t="shared" si="7"/>
        <v>83.51</v>
      </c>
      <c r="V100" s="64" t="s">
        <v>65</v>
      </c>
      <c r="W100" s="2" t="s">
        <v>128</v>
      </c>
      <c r="X100" s="65" t="s">
        <v>17</v>
      </c>
      <c r="Y100" s="105"/>
      <c r="Z100" s="181"/>
    </row>
    <row r="101" spans="1:26" s="2" customFormat="1" ht="14.1" customHeight="1" x14ac:dyDescent="0.35">
      <c r="A101" s="247" t="s">
        <v>38</v>
      </c>
      <c r="B101" s="3" t="s">
        <v>60</v>
      </c>
      <c r="C101" s="4" t="s">
        <v>174</v>
      </c>
      <c r="D101" s="52">
        <v>9193107</v>
      </c>
      <c r="E101" s="98">
        <v>45188</v>
      </c>
      <c r="F101" s="44" t="s">
        <v>20</v>
      </c>
      <c r="G101" s="61">
        <v>45188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65</v>
      </c>
      <c r="S101" s="43">
        <v>12.5</v>
      </c>
      <c r="T101" s="32">
        <v>5.93</v>
      </c>
      <c r="U101" s="53">
        <f t="shared" si="7"/>
        <v>83.43</v>
      </c>
      <c r="V101" s="64" t="s">
        <v>65</v>
      </c>
      <c r="W101" s="2" t="s">
        <v>128</v>
      </c>
      <c r="X101" s="65" t="s">
        <v>17</v>
      </c>
      <c r="Y101" s="105"/>
      <c r="Z101" s="181"/>
    </row>
    <row r="102" spans="1:26" s="2" customFormat="1" ht="14.1" customHeight="1" x14ac:dyDescent="0.35">
      <c r="A102" s="247" t="s">
        <v>38</v>
      </c>
      <c r="B102" s="3" t="s">
        <v>176</v>
      </c>
      <c r="C102" s="4"/>
      <c r="D102" s="52">
        <v>9203101</v>
      </c>
      <c r="E102" s="98">
        <v>45189</v>
      </c>
      <c r="F102" s="44" t="s">
        <v>20</v>
      </c>
      <c r="G102" s="61">
        <v>45189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90</v>
      </c>
      <c r="S102" s="43">
        <v>25</v>
      </c>
      <c r="T102" s="32">
        <v>8.33</v>
      </c>
      <c r="U102" s="53">
        <f t="shared" si="7"/>
        <v>123.33</v>
      </c>
      <c r="V102" s="64" t="s">
        <v>65</v>
      </c>
      <c r="W102" s="2" t="s">
        <v>38</v>
      </c>
      <c r="X102" s="65" t="s">
        <v>17</v>
      </c>
      <c r="Y102" s="105"/>
      <c r="Z102" s="181"/>
    </row>
    <row r="103" spans="1:26" s="2" customFormat="1" ht="14.1" customHeight="1" x14ac:dyDescent="0.35">
      <c r="A103" s="247" t="s">
        <v>38</v>
      </c>
      <c r="B103" s="3" t="s">
        <v>177</v>
      </c>
      <c r="C103" s="4"/>
      <c r="D103" s="52">
        <v>9203102</v>
      </c>
      <c r="E103" s="98">
        <v>45189</v>
      </c>
      <c r="F103" s="44" t="s">
        <v>20</v>
      </c>
      <c r="G103" s="61">
        <v>45189</v>
      </c>
      <c r="H103" s="42"/>
      <c r="I103" s="28"/>
      <c r="J103" s="28"/>
      <c r="K103" s="28"/>
      <c r="L103" s="28"/>
      <c r="M103" s="42"/>
      <c r="N103" s="28"/>
      <c r="O103" s="42"/>
      <c r="P103" s="7"/>
      <c r="Q103" s="43"/>
      <c r="R103" s="42">
        <v>188</v>
      </c>
      <c r="S103" s="43">
        <v>50</v>
      </c>
      <c r="T103" s="32">
        <v>16.22</v>
      </c>
      <c r="U103" s="53">
        <f t="shared" si="7"/>
        <v>254.22</v>
      </c>
      <c r="V103" s="64" t="s">
        <v>65</v>
      </c>
      <c r="W103" s="2" t="s">
        <v>38</v>
      </c>
      <c r="X103" s="65" t="s">
        <v>17</v>
      </c>
      <c r="Y103" s="105"/>
      <c r="Z103" s="181"/>
    </row>
    <row r="104" spans="1:26" s="2" customFormat="1" ht="14.1" customHeight="1" x14ac:dyDescent="0.35">
      <c r="A104" s="247" t="s">
        <v>5</v>
      </c>
      <c r="B104" s="3" t="s">
        <v>34</v>
      </c>
      <c r="C104" s="4"/>
      <c r="D104" s="52">
        <v>9213062</v>
      </c>
      <c r="E104" s="98">
        <v>45190</v>
      </c>
      <c r="F104" s="44" t="s">
        <v>20</v>
      </c>
      <c r="G104" s="61">
        <v>45191</v>
      </c>
      <c r="H104" s="42"/>
      <c r="I104" s="28"/>
      <c r="J104" s="28"/>
      <c r="K104" s="28"/>
      <c r="L104" s="28"/>
      <c r="M104" s="42"/>
      <c r="N104" s="28"/>
      <c r="O104" s="42"/>
      <c r="P104" s="7"/>
      <c r="Q104" s="43"/>
      <c r="R104" s="42">
        <v>651</v>
      </c>
      <c r="S104" s="43"/>
      <c r="T104" s="32"/>
      <c r="U104" s="53">
        <f t="shared" si="7"/>
        <v>651</v>
      </c>
      <c r="V104" s="64" t="s">
        <v>65</v>
      </c>
      <c r="W104" s="2" t="s">
        <v>58</v>
      </c>
      <c r="X104" s="65" t="s">
        <v>17</v>
      </c>
      <c r="Y104" s="105"/>
      <c r="Z104" s="181"/>
    </row>
    <row r="105" spans="1:26" s="2" customFormat="1" ht="14.1" customHeight="1" x14ac:dyDescent="0.35">
      <c r="A105" s="247" t="s">
        <v>38</v>
      </c>
      <c r="B105" s="3" t="s">
        <v>178</v>
      </c>
      <c r="C105" s="4" t="s">
        <v>179</v>
      </c>
      <c r="D105" s="52">
        <v>9213101</v>
      </c>
      <c r="E105" s="98">
        <v>45190</v>
      </c>
      <c r="F105" s="44" t="s">
        <v>20</v>
      </c>
      <c r="G105" s="61">
        <v>45191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159</v>
      </c>
      <c r="S105" s="43"/>
      <c r="T105" s="32">
        <v>13.71</v>
      </c>
      <c r="U105" s="53">
        <f t="shared" si="7"/>
        <v>172.71</v>
      </c>
      <c r="V105" s="64" t="s">
        <v>33</v>
      </c>
      <c r="W105" s="2" t="s">
        <v>180</v>
      </c>
      <c r="X105" s="65" t="s">
        <v>17</v>
      </c>
      <c r="Y105" s="105"/>
      <c r="Z105" s="181"/>
    </row>
    <row r="106" spans="1:26" s="2" customFormat="1" ht="14.1" customHeight="1" x14ac:dyDescent="0.35">
      <c r="A106" s="247" t="s">
        <v>38</v>
      </c>
      <c r="B106" s="3" t="s">
        <v>182</v>
      </c>
      <c r="C106" s="4"/>
      <c r="D106" s="52">
        <v>9213103</v>
      </c>
      <c r="E106" s="98">
        <v>45190</v>
      </c>
      <c r="F106" s="44" t="s">
        <v>20</v>
      </c>
      <c r="G106" s="61">
        <v>45191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120</v>
      </c>
      <c r="S106" s="43">
        <v>25</v>
      </c>
      <c r="T106" s="32">
        <v>10.35</v>
      </c>
      <c r="U106" s="53">
        <f t="shared" si="7"/>
        <v>155.35</v>
      </c>
      <c r="V106" s="64" t="s">
        <v>65</v>
      </c>
      <c r="W106" s="2" t="s">
        <v>58</v>
      </c>
      <c r="X106" s="65" t="s">
        <v>17</v>
      </c>
      <c r="Y106" s="105"/>
      <c r="Z106" s="181"/>
    </row>
    <row r="107" spans="1:26" s="2" customFormat="1" ht="14.1" customHeight="1" x14ac:dyDescent="0.35">
      <c r="A107" s="247" t="s">
        <v>38</v>
      </c>
      <c r="B107" s="3" t="s">
        <v>183</v>
      </c>
      <c r="C107" s="4"/>
      <c r="D107" s="52">
        <v>9223101</v>
      </c>
      <c r="E107" s="98">
        <v>45191</v>
      </c>
      <c r="F107" s="44" t="s">
        <v>20</v>
      </c>
      <c r="G107" s="61">
        <v>45194</v>
      </c>
      <c r="H107" s="42"/>
      <c r="I107" s="28"/>
      <c r="J107" s="28"/>
      <c r="K107" s="28"/>
      <c r="L107" s="28"/>
      <c r="M107" s="42"/>
      <c r="N107" s="28"/>
      <c r="O107" s="42"/>
      <c r="P107" s="7"/>
      <c r="Q107" s="43"/>
      <c r="R107" s="42">
        <v>182</v>
      </c>
      <c r="S107" s="43">
        <v>50</v>
      </c>
      <c r="T107" s="32">
        <v>15.7</v>
      </c>
      <c r="U107" s="53">
        <f t="shared" si="7"/>
        <v>247.7</v>
      </c>
      <c r="V107" s="64" t="s">
        <v>65</v>
      </c>
      <c r="W107" s="2" t="s">
        <v>5</v>
      </c>
      <c r="X107" s="65" t="s">
        <v>17</v>
      </c>
      <c r="Y107" s="105"/>
      <c r="Z107" s="181"/>
    </row>
    <row r="108" spans="1:26" s="2" customFormat="1" ht="14.1" customHeight="1" x14ac:dyDescent="0.35">
      <c r="A108" s="247" t="s">
        <v>38</v>
      </c>
      <c r="B108" s="3" t="s">
        <v>184</v>
      </c>
      <c r="C108" s="4"/>
      <c r="D108" s="52">
        <v>9223102</v>
      </c>
      <c r="E108" s="98">
        <v>45191</v>
      </c>
      <c r="F108" s="44" t="s">
        <v>20</v>
      </c>
      <c r="G108" s="61">
        <v>45194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130</v>
      </c>
      <c r="S108" s="43">
        <v>25</v>
      </c>
      <c r="T108" s="32">
        <v>12.84</v>
      </c>
      <c r="U108" s="53">
        <f t="shared" si="7"/>
        <v>167.84</v>
      </c>
      <c r="V108" s="64" t="s">
        <v>65</v>
      </c>
      <c r="W108" s="2" t="s">
        <v>5</v>
      </c>
      <c r="X108" s="65" t="s">
        <v>17</v>
      </c>
      <c r="Y108" s="105"/>
      <c r="Z108" s="181"/>
    </row>
    <row r="109" spans="1:26" s="2" customFormat="1" ht="14.1" customHeight="1" x14ac:dyDescent="0.35">
      <c r="A109" s="247" t="s">
        <v>38</v>
      </c>
      <c r="B109" s="3" t="s">
        <v>185</v>
      </c>
      <c r="C109" s="4"/>
      <c r="D109" s="52">
        <v>9223103</v>
      </c>
      <c r="E109" s="98">
        <v>45191</v>
      </c>
      <c r="F109" s="44" t="s">
        <v>20</v>
      </c>
      <c r="G109" s="61">
        <v>45194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505</v>
      </c>
      <c r="S109" s="43">
        <v>112.5</v>
      </c>
      <c r="T109" s="32">
        <v>46.71</v>
      </c>
      <c r="U109" s="53">
        <f t="shared" si="7"/>
        <v>664.21</v>
      </c>
      <c r="V109" s="64" t="s">
        <v>65</v>
      </c>
      <c r="W109" s="2" t="s">
        <v>58</v>
      </c>
      <c r="X109" s="65" t="s">
        <v>186</v>
      </c>
      <c r="Y109" s="105"/>
      <c r="Z109" s="181"/>
    </row>
    <row r="110" spans="1:26" s="2" customFormat="1" ht="14.1" customHeight="1" x14ac:dyDescent="0.35">
      <c r="A110" s="247" t="s">
        <v>38</v>
      </c>
      <c r="B110" s="3" t="s">
        <v>187</v>
      </c>
      <c r="C110" s="4"/>
      <c r="D110" s="52">
        <v>9253102</v>
      </c>
      <c r="E110" s="98">
        <v>45194</v>
      </c>
      <c r="F110" s="44" t="s">
        <v>20</v>
      </c>
      <c r="G110" s="61">
        <v>45194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65</v>
      </c>
      <c r="S110" s="43">
        <v>12.5</v>
      </c>
      <c r="T110" s="32">
        <v>5.53</v>
      </c>
      <c r="U110" s="53">
        <f t="shared" si="7"/>
        <v>83.03</v>
      </c>
      <c r="V110" s="64" t="s">
        <v>65</v>
      </c>
      <c r="W110" s="2" t="s">
        <v>38</v>
      </c>
      <c r="X110" s="65" t="s">
        <v>17</v>
      </c>
      <c r="Y110" s="105"/>
      <c r="Z110" s="181"/>
    </row>
    <row r="111" spans="1:26" s="2" customFormat="1" ht="14.1" customHeight="1" x14ac:dyDescent="0.35">
      <c r="A111" s="247" t="s">
        <v>38</v>
      </c>
      <c r="B111" s="3" t="s">
        <v>188</v>
      </c>
      <c r="C111" s="4"/>
      <c r="D111" s="52">
        <v>9253107</v>
      </c>
      <c r="E111" s="98">
        <v>45194</v>
      </c>
      <c r="F111" s="44" t="s">
        <v>20</v>
      </c>
      <c r="G111" s="61">
        <v>45194</v>
      </c>
      <c r="H111" s="42"/>
      <c r="I111" s="28"/>
      <c r="J111" s="28"/>
      <c r="K111" s="28"/>
      <c r="L111" s="28"/>
      <c r="M111" s="42"/>
      <c r="N111" s="28"/>
      <c r="O111" s="42"/>
      <c r="P111" s="7"/>
      <c r="Q111" s="43"/>
      <c r="R111" s="42">
        <v>220</v>
      </c>
      <c r="S111" s="43">
        <v>50</v>
      </c>
      <c r="T111" s="32">
        <v>20.239999999999998</v>
      </c>
      <c r="U111" s="53">
        <f t="shared" si="7"/>
        <v>290.24</v>
      </c>
      <c r="V111" s="64" t="s">
        <v>65</v>
      </c>
      <c r="W111" s="2" t="s">
        <v>38</v>
      </c>
      <c r="X111" s="65" t="s">
        <v>17</v>
      </c>
      <c r="Y111" s="105"/>
      <c r="Z111" s="181"/>
    </row>
    <row r="112" spans="1:26" s="2" customFormat="1" ht="14.1" customHeight="1" x14ac:dyDescent="0.35">
      <c r="A112" s="247" t="s">
        <v>38</v>
      </c>
      <c r="B112" s="3" t="s">
        <v>189</v>
      </c>
      <c r="C112" s="4" t="s">
        <v>190</v>
      </c>
      <c r="D112" s="52">
        <v>9253108</v>
      </c>
      <c r="E112" s="98">
        <v>45194</v>
      </c>
      <c r="F112" s="44" t="s">
        <v>20</v>
      </c>
      <c r="G112" s="61">
        <v>45194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180</v>
      </c>
      <c r="S112" s="43">
        <v>50</v>
      </c>
      <c r="T112" s="32">
        <v>15.08</v>
      </c>
      <c r="U112" s="53">
        <f t="shared" si="7"/>
        <v>245.08</v>
      </c>
      <c r="V112" s="64" t="s">
        <v>65</v>
      </c>
      <c r="W112" s="2" t="s">
        <v>38</v>
      </c>
      <c r="X112" s="65" t="s">
        <v>17</v>
      </c>
      <c r="Y112" s="105"/>
      <c r="Z112" s="181"/>
    </row>
    <row r="113" spans="1:29" s="2" customFormat="1" ht="14.1" customHeight="1" x14ac:dyDescent="0.35">
      <c r="A113" s="247" t="s">
        <v>38</v>
      </c>
      <c r="B113" s="3" t="s">
        <v>194</v>
      </c>
      <c r="C113" s="4"/>
      <c r="D113" s="52">
        <v>9263101</v>
      </c>
      <c r="E113" s="98">
        <v>45195</v>
      </c>
      <c r="F113" s="44" t="s">
        <v>20</v>
      </c>
      <c r="G113" s="61">
        <v>45195</v>
      </c>
      <c r="H113" s="42"/>
      <c r="I113" s="28"/>
      <c r="J113" s="28"/>
      <c r="K113" s="28"/>
      <c r="L113" s="28"/>
      <c r="M113" s="42"/>
      <c r="N113" s="28"/>
      <c r="O113" s="42"/>
      <c r="P113" s="7"/>
      <c r="Q113" s="43"/>
      <c r="R113" s="42">
        <v>373</v>
      </c>
      <c r="S113" s="43">
        <v>75</v>
      </c>
      <c r="T113" s="32">
        <v>34.5</v>
      </c>
      <c r="U113" s="53">
        <f t="shared" si="7"/>
        <v>482.5</v>
      </c>
      <c r="V113" s="64" t="s">
        <v>65</v>
      </c>
      <c r="W113" s="2" t="s">
        <v>58</v>
      </c>
      <c r="X113" s="65" t="s">
        <v>17</v>
      </c>
      <c r="Y113" s="105"/>
      <c r="Z113" s="181"/>
    </row>
    <row r="114" spans="1:29" s="2" customFormat="1" ht="14.1" customHeight="1" x14ac:dyDescent="0.35">
      <c r="A114" s="247" t="s">
        <v>38</v>
      </c>
      <c r="B114" s="3" t="s">
        <v>178</v>
      </c>
      <c r="C114" s="4" t="s">
        <v>179</v>
      </c>
      <c r="D114" s="52">
        <v>9263102</v>
      </c>
      <c r="E114" s="98">
        <v>45195</v>
      </c>
      <c r="F114" s="44" t="s">
        <v>20</v>
      </c>
      <c r="G114" s="61">
        <v>45195</v>
      </c>
      <c r="H114" s="42"/>
      <c r="I114" s="28"/>
      <c r="J114" s="28"/>
      <c r="K114" s="28"/>
      <c r="L114" s="28"/>
      <c r="M114" s="42"/>
      <c r="N114" s="28"/>
      <c r="O114" s="42"/>
      <c r="P114" s="7"/>
      <c r="Q114" s="43"/>
      <c r="R114" s="42">
        <v>45</v>
      </c>
      <c r="S114" s="43"/>
      <c r="T114" s="32">
        <v>3.88</v>
      </c>
      <c r="U114" s="53">
        <f t="shared" si="7"/>
        <v>48.88</v>
      </c>
      <c r="V114" s="64" t="s">
        <v>33</v>
      </c>
      <c r="W114" s="2" t="s">
        <v>180</v>
      </c>
      <c r="X114" s="65" t="s">
        <v>17</v>
      </c>
      <c r="Y114" s="105"/>
      <c r="Z114" s="181"/>
    </row>
    <row r="115" spans="1:29" s="2" customFormat="1" ht="14.1" customHeight="1" x14ac:dyDescent="0.35">
      <c r="A115" s="247" t="s">
        <v>37</v>
      </c>
      <c r="B115" s="3" t="s">
        <v>191</v>
      </c>
      <c r="C115" s="4" t="s">
        <v>192</v>
      </c>
      <c r="D115" s="52">
        <v>9263251</v>
      </c>
      <c r="E115" s="98">
        <v>45195</v>
      </c>
      <c r="F115" s="44" t="s">
        <v>193</v>
      </c>
      <c r="G115" s="61">
        <v>45195</v>
      </c>
      <c r="H115" s="42">
        <v>3512.67</v>
      </c>
      <c r="I115" s="28"/>
      <c r="J115" s="28">
        <v>1440</v>
      </c>
      <c r="K115" s="28"/>
      <c r="L115" s="28"/>
      <c r="M115" s="42"/>
      <c r="N115" s="28"/>
      <c r="O115" s="42"/>
      <c r="P115" s="7"/>
      <c r="Q115" s="43"/>
      <c r="R115" s="42"/>
      <c r="S115" s="43"/>
      <c r="T115" s="32">
        <v>377.61</v>
      </c>
      <c r="U115" s="53">
        <f t="shared" si="7"/>
        <v>5330.28</v>
      </c>
      <c r="V115" s="64" t="s">
        <v>7</v>
      </c>
      <c r="W115" s="2" t="s">
        <v>37</v>
      </c>
      <c r="X115" s="65" t="s">
        <v>17</v>
      </c>
      <c r="Y115" s="105"/>
      <c r="Z115" s="181"/>
    </row>
    <row r="116" spans="1:29" s="2" customFormat="1" ht="14.1" customHeight="1" x14ac:dyDescent="0.35">
      <c r="A116" s="247" t="s">
        <v>5</v>
      </c>
      <c r="B116" s="3" t="s">
        <v>138</v>
      </c>
      <c r="C116" s="4"/>
      <c r="D116" s="52">
        <v>9273065</v>
      </c>
      <c r="E116" s="98">
        <v>45196</v>
      </c>
      <c r="F116" s="44" t="s">
        <v>195</v>
      </c>
      <c r="G116" s="61">
        <v>45196</v>
      </c>
      <c r="H116" s="42">
        <v>2160</v>
      </c>
      <c r="I116" s="28"/>
      <c r="J116" s="28"/>
      <c r="K116" s="28"/>
      <c r="L116" s="28"/>
      <c r="M116" s="42"/>
      <c r="N116" s="28"/>
      <c r="O116" s="42"/>
      <c r="P116" s="7"/>
      <c r="Q116" s="43"/>
      <c r="R116" s="42"/>
      <c r="S116" s="43">
        <v>36</v>
      </c>
      <c r="T116" s="32">
        <v>205.2</v>
      </c>
      <c r="U116" s="53">
        <f t="shared" si="7"/>
        <v>2401.1999999999998</v>
      </c>
      <c r="V116" s="64" t="s">
        <v>68</v>
      </c>
      <c r="W116" s="2" t="s">
        <v>5</v>
      </c>
      <c r="X116" s="65" t="s">
        <v>17</v>
      </c>
      <c r="Y116" s="105"/>
      <c r="Z116" s="181"/>
    </row>
    <row r="117" spans="1:29" s="2" customFormat="1" ht="14.1" customHeight="1" x14ac:dyDescent="0.35">
      <c r="A117" s="247" t="s">
        <v>38</v>
      </c>
      <c r="B117" s="3" t="s">
        <v>83</v>
      </c>
      <c r="C117" s="4"/>
      <c r="D117" s="52">
        <v>9223104</v>
      </c>
      <c r="E117" s="98">
        <v>45191</v>
      </c>
      <c r="F117" s="44" t="s">
        <v>20</v>
      </c>
      <c r="G117" s="61">
        <v>45196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557</v>
      </c>
      <c r="S117" s="43">
        <v>112.5</v>
      </c>
      <c r="T117" s="32">
        <v>51.52</v>
      </c>
      <c r="U117" s="53">
        <f t="shared" si="7"/>
        <v>721.02</v>
      </c>
      <c r="V117" s="64" t="s">
        <v>65</v>
      </c>
      <c r="W117" s="2" t="s">
        <v>128</v>
      </c>
      <c r="X117" s="65" t="s">
        <v>17</v>
      </c>
      <c r="Y117" s="105"/>
      <c r="Z117" s="181"/>
    </row>
    <row r="118" spans="1:29" s="2" customFormat="1" ht="14.1" customHeight="1" x14ac:dyDescent="0.35">
      <c r="A118" s="247" t="s">
        <v>38</v>
      </c>
      <c r="B118" s="3" t="s">
        <v>196</v>
      </c>
      <c r="C118" s="4"/>
      <c r="D118" s="52">
        <v>9273101</v>
      </c>
      <c r="E118" s="98">
        <v>45196</v>
      </c>
      <c r="F118" s="44" t="s">
        <v>20</v>
      </c>
      <c r="G118" s="61">
        <v>45196</v>
      </c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>
        <v>149</v>
      </c>
      <c r="S118" s="43">
        <v>37.5</v>
      </c>
      <c r="T118" s="32">
        <v>12.85</v>
      </c>
      <c r="U118" s="53">
        <f t="shared" si="7"/>
        <v>199.35</v>
      </c>
      <c r="V118" s="64" t="s">
        <v>65</v>
      </c>
      <c r="W118" s="2" t="s">
        <v>128</v>
      </c>
      <c r="X118" s="65" t="s">
        <v>17</v>
      </c>
      <c r="Y118" s="105"/>
      <c r="Z118" s="181"/>
    </row>
    <row r="119" spans="1:29" s="2" customFormat="1" ht="14.1" customHeight="1" x14ac:dyDescent="0.35">
      <c r="A119" s="247" t="s">
        <v>8</v>
      </c>
      <c r="B119" s="3" t="s">
        <v>93</v>
      </c>
      <c r="C119" s="4"/>
      <c r="D119" s="52">
        <v>9263051</v>
      </c>
      <c r="E119" s="98">
        <v>45195</v>
      </c>
      <c r="F119" s="44" t="s">
        <v>197</v>
      </c>
      <c r="G119" s="61">
        <v>45197</v>
      </c>
      <c r="H119" s="42">
        <v>99</v>
      </c>
      <c r="I119" s="28"/>
      <c r="J119" s="28"/>
      <c r="K119" s="28"/>
      <c r="L119" s="28"/>
      <c r="M119" s="42"/>
      <c r="N119" s="28"/>
      <c r="O119" s="42"/>
      <c r="P119" s="7"/>
      <c r="Q119" s="43"/>
      <c r="R119" s="42"/>
      <c r="S119" s="43"/>
      <c r="T119" s="32">
        <v>8.42</v>
      </c>
      <c r="U119" s="53">
        <f t="shared" si="7"/>
        <v>107.42</v>
      </c>
      <c r="V119" s="64" t="s">
        <v>7</v>
      </c>
      <c r="W119" s="2" t="s">
        <v>8</v>
      </c>
      <c r="X119" s="65" t="s">
        <v>17</v>
      </c>
      <c r="Y119" s="105"/>
      <c r="Z119" s="181"/>
    </row>
    <row r="120" spans="1:29" s="2" customFormat="1" ht="14.1" customHeight="1" x14ac:dyDescent="0.35">
      <c r="A120" s="247" t="s">
        <v>37</v>
      </c>
      <c r="B120" s="3" t="s">
        <v>198</v>
      </c>
      <c r="C120" s="4"/>
      <c r="D120" s="52">
        <v>9263052</v>
      </c>
      <c r="E120" s="98">
        <v>45195</v>
      </c>
      <c r="F120" s="44" t="s">
        <v>39</v>
      </c>
      <c r="G120" s="61">
        <v>45197</v>
      </c>
      <c r="H120" s="42"/>
      <c r="I120" s="28"/>
      <c r="J120" s="28"/>
      <c r="K120" s="28"/>
      <c r="L120" s="28"/>
      <c r="M120" s="42">
        <v>49</v>
      </c>
      <c r="N120" s="28"/>
      <c r="O120" s="42"/>
      <c r="P120" s="7"/>
      <c r="Q120" s="43"/>
      <c r="R120" s="42"/>
      <c r="S120" s="43"/>
      <c r="T120" s="32"/>
      <c r="U120" s="53">
        <f t="shared" si="7"/>
        <v>49</v>
      </c>
      <c r="V120" s="64" t="s">
        <v>25</v>
      </c>
      <c r="W120" s="2" t="s">
        <v>37</v>
      </c>
      <c r="X120" s="65" t="s">
        <v>17</v>
      </c>
      <c r="Y120" s="105"/>
      <c r="Z120" s="181"/>
    </row>
    <row r="121" spans="1:29" s="2" customFormat="1" ht="14.1" customHeight="1" x14ac:dyDescent="0.35">
      <c r="A121" s="247" t="s">
        <v>8</v>
      </c>
      <c r="B121" s="3" t="s">
        <v>199</v>
      </c>
      <c r="C121" s="4"/>
      <c r="D121" s="52">
        <v>9263053</v>
      </c>
      <c r="E121" s="98">
        <v>45195</v>
      </c>
      <c r="F121" s="44" t="s">
        <v>39</v>
      </c>
      <c r="G121" s="61">
        <v>45197</v>
      </c>
      <c r="H121" s="42"/>
      <c r="I121" s="28"/>
      <c r="J121" s="28"/>
      <c r="K121" s="28"/>
      <c r="L121" s="28"/>
      <c r="M121" s="42">
        <v>49</v>
      </c>
      <c r="N121" s="28"/>
      <c r="O121" s="42"/>
      <c r="P121" s="7"/>
      <c r="Q121" s="43"/>
      <c r="R121" s="42"/>
      <c r="S121" s="43"/>
      <c r="T121" s="32"/>
      <c r="U121" s="53">
        <f t="shared" si="7"/>
        <v>49</v>
      </c>
      <c r="V121" s="64" t="s">
        <v>25</v>
      </c>
      <c r="W121" s="2" t="s">
        <v>8</v>
      </c>
      <c r="X121" s="65" t="s">
        <v>17</v>
      </c>
      <c r="Y121" s="105"/>
      <c r="Z121" s="181"/>
    </row>
    <row r="122" spans="1:29" s="2" customFormat="1" ht="14.1" customHeight="1" x14ac:dyDescent="0.35">
      <c r="A122" s="247" t="s">
        <v>38</v>
      </c>
      <c r="B122" s="3" t="s">
        <v>200</v>
      </c>
      <c r="C122" s="4"/>
      <c r="D122" s="52">
        <v>9293101</v>
      </c>
      <c r="E122" s="98">
        <v>45198</v>
      </c>
      <c r="F122" s="44" t="s">
        <v>20</v>
      </c>
      <c r="G122" s="61">
        <v>45198</v>
      </c>
      <c r="H122" s="42"/>
      <c r="I122" s="28"/>
      <c r="J122" s="28"/>
      <c r="K122" s="28"/>
      <c r="L122" s="28"/>
      <c r="M122" s="42"/>
      <c r="N122" s="28"/>
      <c r="O122" s="42"/>
      <c r="P122" s="7"/>
      <c r="Q122" s="43"/>
      <c r="R122" s="42">
        <v>195</v>
      </c>
      <c r="S122" s="43">
        <v>37.5</v>
      </c>
      <c r="T122" s="32">
        <v>20.96</v>
      </c>
      <c r="U122" s="53">
        <f t="shared" si="7"/>
        <v>253.46</v>
      </c>
      <c r="V122" s="64" t="s">
        <v>65</v>
      </c>
      <c r="W122" s="2" t="s">
        <v>5</v>
      </c>
      <c r="X122" s="65" t="s">
        <v>17</v>
      </c>
      <c r="Y122" s="105"/>
      <c r="Z122" s="181"/>
    </row>
    <row r="123" spans="1:29" s="2" customFormat="1" ht="14.1" customHeight="1" x14ac:dyDescent="0.35">
      <c r="A123" s="247" t="s">
        <v>37</v>
      </c>
      <c r="B123" s="3" t="s">
        <v>191</v>
      </c>
      <c r="C123" s="4" t="s">
        <v>117</v>
      </c>
      <c r="D123" s="52">
        <v>9273253</v>
      </c>
      <c r="E123" s="98">
        <v>45196</v>
      </c>
      <c r="F123" s="44" t="s">
        <v>201</v>
      </c>
      <c r="G123" s="61">
        <v>45196</v>
      </c>
      <c r="H123" s="42"/>
      <c r="I123" s="28"/>
      <c r="J123" s="28"/>
      <c r="K123" s="28"/>
      <c r="L123" s="28"/>
      <c r="M123" s="42"/>
      <c r="N123" s="28"/>
      <c r="O123" s="42">
        <v>295</v>
      </c>
      <c r="P123" s="7">
        <v>180</v>
      </c>
      <c r="Q123" s="43">
        <v>90</v>
      </c>
      <c r="R123" s="42"/>
      <c r="S123" s="43"/>
      <c r="T123" s="32">
        <v>28.03</v>
      </c>
      <c r="U123" s="53">
        <f t="shared" si="7"/>
        <v>593.03</v>
      </c>
      <c r="V123" s="64" t="s">
        <v>7</v>
      </c>
      <c r="W123" s="2" t="s">
        <v>128</v>
      </c>
      <c r="X123" s="65" t="s">
        <v>17</v>
      </c>
      <c r="Y123" s="105"/>
      <c r="Z123" s="181"/>
    </row>
    <row r="124" spans="1:29" s="2" customFormat="1" ht="14.1" customHeight="1" thickBot="1" x14ac:dyDescent="0.4">
      <c r="A124" s="247" t="s">
        <v>38</v>
      </c>
      <c r="B124" s="3" t="s">
        <v>135</v>
      </c>
      <c r="C124" s="4"/>
      <c r="D124" s="52">
        <v>9293102</v>
      </c>
      <c r="E124" s="98">
        <v>45198</v>
      </c>
      <c r="F124" s="44" t="s">
        <v>20</v>
      </c>
      <c r="G124" s="61">
        <v>45198</v>
      </c>
      <c r="H124" s="42"/>
      <c r="I124" s="28"/>
      <c r="J124" s="28"/>
      <c r="K124" s="28"/>
      <c r="L124" s="28"/>
      <c r="M124" s="42"/>
      <c r="N124" s="28"/>
      <c r="O124" s="42"/>
      <c r="P124" s="7"/>
      <c r="Q124" s="43"/>
      <c r="R124" s="42">
        <v>174</v>
      </c>
      <c r="S124" s="43">
        <v>50</v>
      </c>
      <c r="T124" s="32">
        <v>15.01</v>
      </c>
      <c r="U124" s="53">
        <f t="shared" si="7"/>
        <v>239.01</v>
      </c>
      <c r="V124" s="64" t="s">
        <v>65</v>
      </c>
      <c r="W124" s="2" t="s">
        <v>128</v>
      </c>
      <c r="X124" s="65" t="s">
        <v>17</v>
      </c>
      <c r="Y124" s="105"/>
      <c r="Z124" s="181"/>
    </row>
    <row r="125" spans="1:29" s="2" customFormat="1" ht="14.1" customHeight="1" thickBot="1" x14ac:dyDescent="0.25">
      <c r="A125" s="176"/>
      <c r="B125" s="177"/>
      <c r="C125" s="178"/>
      <c r="D125" s="178"/>
      <c r="E125" s="211"/>
      <c r="F125" s="212"/>
      <c r="G125" s="179"/>
      <c r="H125" s="213"/>
      <c r="I125" s="213"/>
      <c r="J125" s="214"/>
      <c r="K125" s="214"/>
      <c r="L125" s="214"/>
      <c r="M125" s="213"/>
      <c r="N125" s="213"/>
      <c r="O125" s="213"/>
      <c r="P125" s="50"/>
      <c r="Q125" s="222"/>
      <c r="R125" s="213"/>
      <c r="S125" s="222"/>
      <c r="T125" s="215"/>
      <c r="U125" s="216"/>
      <c r="V125" s="217"/>
      <c r="W125" s="84"/>
      <c r="X125" s="84"/>
      <c r="Y125" s="258">
        <f>SUM(U56:U124)</f>
        <v>71938.41</v>
      </c>
      <c r="Z125" s="237">
        <f>Y125/V127</f>
        <v>0.86161337736433907</v>
      </c>
      <c r="AA125" s="181"/>
    </row>
    <row r="126" spans="1:29" s="2" customFormat="1" ht="19.5" customHeight="1" thickBot="1" x14ac:dyDescent="0.5">
      <c r="A126" s="158"/>
      <c r="B126" s="159"/>
      <c r="C126" s="159"/>
      <c r="D126" s="41"/>
      <c r="E126" s="41"/>
      <c r="F126" s="167"/>
      <c r="G126" s="41"/>
      <c r="H126" s="160">
        <f t="shared" ref="H126:U126" si="8">SUM(H4:H124)</f>
        <v>47445.67</v>
      </c>
      <c r="I126" s="160">
        <f t="shared" si="8"/>
        <v>861</v>
      </c>
      <c r="J126" s="160">
        <f t="shared" si="8"/>
        <v>1440</v>
      </c>
      <c r="K126" s="160">
        <f t="shared" si="8"/>
        <v>0</v>
      </c>
      <c r="L126" s="160">
        <f t="shared" si="8"/>
        <v>0</v>
      </c>
      <c r="M126" s="160">
        <f t="shared" si="8"/>
        <v>1836</v>
      </c>
      <c r="N126" s="160">
        <f t="shared" si="8"/>
        <v>3248</v>
      </c>
      <c r="O126" s="160">
        <f t="shared" si="8"/>
        <v>419</v>
      </c>
      <c r="P126" s="160">
        <f t="shared" si="8"/>
        <v>540</v>
      </c>
      <c r="Q126" s="160">
        <f t="shared" si="8"/>
        <v>270</v>
      </c>
      <c r="R126" s="160">
        <f t="shared" si="8"/>
        <v>18015</v>
      </c>
      <c r="S126" s="160">
        <f t="shared" si="8"/>
        <v>3533.5</v>
      </c>
      <c r="T126" s="160">
        <f t="shared" si="8"/>
        <v>5884.510000000002</v>
      </c>
      <c r="U126" s="160">
        <f t="shared" si="8"/>
        <v>83492.680000000037</v>
      </c>
      <c r="V126" s="161"/>
      <c r="W126" s="26"/>
      <c r="X126" s="26"/>
      <c r="Y126" s="4"/>
      <c r="Z126" s="3"/>
      <c r="AA126" s="135"/>
      <c r="AB126" s="135"/>
      <c r="AC126" s="135"/>
    </row>
    <row r="127" spans="1:29" s="2" customFormat="1" ht="14.1" customHeight="1" thickBot="1" x14ac:dyDescent="0.3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238">
        <f>SUM(H126:T126)</f>
        <v>83492.679999999993</v>
      </c>
      <c r="Y127" s="169"/>
      <c r="Z127" s="182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35">
      <c r="A136" s="3"/>
      <c r="B136" s="3"/>
      <c r="C136" s="130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6"/>
      <c r="T136" s="6"/>
      <c r="V136" s="131"/>
      <c r="W136" s="129"/>
      <c r="X136" s="129"/>
      <c r="Y136" s="235"/>
      <c r="Z136" s="3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82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82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82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82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82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82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82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82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82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82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82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82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82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82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82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82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82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82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82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82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82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82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82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82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82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82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82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82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82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82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82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82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82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82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82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82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82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82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82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82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82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82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82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82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82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82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82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82"/>
    </row>
    <row r="323" spans="1:26" s="2" customFormat="1" ht="14.1" customHeight="1" x14ac:dyDescent="0.2">
      <c r="A323" s="3"/>
      <c r="B323" s="3"/>
      <c r="C323" s="4"/>
      <c r="D323" s="4"/>
      <c r="E323" s="5"/>
      <c r="F323" s="4"/>
      <c r="G323" s="6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6"/>
      <c r="U323" s="81"/>
      <c r="V323" s="3"/>
      <c r="Y323" s="169"/>
      <c r="Z323" s="182"/>
    </row>
    <row r="324" spans="1:26" s="2" customFormat="1" ht="14.1" customHeight="1" x14ac:dyDescent="0.2">
      <c r="A324" s="3"/>
      <c r="B324" s="3"/>
      <c r="C324" s="4"/>
      <c r="D324" s="4"/>
      <c r="E324" s="5"/>
      <c r="F324" s="4"/>
      <c r="G324" s="6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6"/>
      <c r="U324" s="81"/>
      <c r="V324" s="3"/>
      <c r="Y324" s="169"/>
      <c r="Z324" s="182"/>
    </row>
    <row r="325" spans="1:26" s="2" customFormat="1" ht="14.1" customHeight="1" x14ac:dyDescent="0.2">
      <c r="A325" s="3"/>
      <c r="B325" s="3"/>
      <c r="C325" s="4"/>
      <c r="D325" s="4"/>
      <c r="E325" s="5"/>
      <c r="F325" s="4"/>
      <c r="G325" s="6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6"/>
      <c r="U325" s="81"/>
      <c r="V325" s="3"/>
      <c r="Y325" s="169"/>
      <c r="Z325" s="182"/>
    </row>
    <row r="326" spans="1:26" s="2" customFormat="1" ht="14.1" customHeight="1" x14ac:dyDescent="0.35">
      <c r="A326" s="3"/>
      <c r="B326" s="3"/>
      <c r="C326" s="130"/>
      <c r="D326" s="4"/>
      <c r="E326" s="5"/>
      <c r="F326" s="4"/>
      <c r="G326" s="61"/>
      <c r="H326" s="7"/>
      <c r="I326" s="7"/>
      <c r="J326" s="7"/>
      <c r="K326" s="134"/>
      <c r="L326" s="7"/>
      <c r="M326" s="7"/>
      <c r="N326" s="7"/>
      <c r="O326" s="7"/>
      <c r="P326" s="7"/>
      <c r="Q326" s="7"/>
      <c r="R326" s="7"/>
      <c r="S326" s="6"/>
      <c r="T326" s="6"/>
      <c r="V326" s="131"/>
      <c r="W326" s="129"/>
      <c r="X326" s="129"/>
      <c r="Y326" s="235"/>
      <c r="Z326" s="3"/>
    </row>
    <row r="327" spans="1:26" s="135" customFormat="1" ht="26.25" customHeight="1" x14ac:dyDescent="0.45">
      <c r="A327" s="132"/>
      <c r="B327" s="133"/>
      <c r="C327" s="133"/>
      <c r="D327" s="2"/>
      <c r="E327" s="2"/>
      <c r="F327" s="169"/>
      <c r="G327" s="2"/>
      <c r="H327" s="134"/>
      <c r="I327" s="134"/>
      <c r="J327" s="134"/>
      <c r="K327" s="7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37"/>
      <c r="W327" s="26"/>
      <c r="X327" s="26"/>
      <c r="Y327" s="4"/>
      <c r="Z327" s="3"/>
    </row>
    <row r="328" spans="1:26" ht="15" customHeight="1" x14ac:dyDescent="0.35">
      <c r="V328" s="136"/>
      <c r="W328" s="3"/>
      <c r="X328" s="3"/>
    </row>
    <row r="336" spans="1:26" ht="9.75" customHeight="1" x14ac:dyDescent="0.2">
      <c r="D336" s="3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</row>
    <row r="337" spans="6:10" s="3" customFormat="1" ht="10.5" customHeight="1" x14ac:dyDescent="0.2">
      <c r="F337" s="168"/>
    </row>
    <row r="338" spans="6:10" s="3" customFormat="1" ht="9.75" customHeight="1" x14ac:dyDescent="0.2">
      <c r="F338" s="4"/>
    </row>
    <row r="351" spans="6:10" s="3" customFormat="1" ht="9.75" customHeight="1" x14ac:dyDescent="0.2">
      <c r="J351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50"/>
  <sheetViews>
    <sheetView zoomScale="120" zoomScaleNormal="120" workbookViewId="0">
      <pane ySplit="2" topLeftCell="A117" activePane="bottomLeft" state="frozen"/>
      <selection pane="bottomLeft" activeCell="D126" sqref="D126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45201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255" t="s">
        <v>38</v>
      </c>
      <c r="B4" s="208" t="s">
        <v>112</v>
      </c>
      <c r="C4" s="231"/>
      <c r="D4" s="228">
        <v>8233101</v>
      </c>
      <c r="E4" s="184">
        <v>45161</v>
      </c>
      <c r="F4" s="187" t="s">
        <v>20</v>
      </c>
      <c r="G4" s="209">
        <v>45162</v>
      </c>
      <c r="H4" s="192"/>
      <c r="I4" s="190"/>
      <c r="J4" s="190"/>
      <c r="K4" s="190"/>
      <c r="L4" s="190"/>
      <c r="M4" s="192"/>
      <c r="N4" s="190"/>
      <c r="O4" s="192"/>
      <c r="P4" s="210"/>
      <c r="Q4" s="196"/>
      <c r="R4" s="192">
        <v>39</v>
      </c>
      <c r="S4" s="196">
        <v>12.5</v>
      </c>
      <c r="T4" s="199">
        <v>4</v>
      </c>
      <c r="U4" s="202">
        <f t="shared" ref="U4:U35" si="0">SUM(H4:T4)</f>
        <v>55.5</v>
      </c>
      <c r="V4" s="206" t="s">
        <v>65</v>
      </c>
      <c r="W4" s="218" t="s">
        <v>58</v>
      </c>
      <c r="X4" s="65" t="s">
        <v>17</v>
      </c>
      <c r="Y4" s="105"/>
      <c r="Z4" s="181"/>
    </row>
    <row r="5" spans="1:26" s="2" customFormat="1" ht="14.1" customHeight="1" x14ac:dyDescent="0.35">
      <c r="A5" s="255" t="s">
        <v>8</v>
      </c>
      <c r="B5" s="208" t="s">
        <v>70</v>
      </c>
      <c r="C5" s="231"/>
      <c r="D5" s="228">
        <v>8013051</v>
      </c>
      <c r="E5" s="184">
        <v>45139</v>
      </c>
      <c r="F5" s="187" t="s">
        <v>96</v>
      </c>
      <c r="G5" s="209">
        <v>45142</v>
      </c>
      <c r="H5" s="192"/>
      <c r="I5" s="190"/>
      <c r="J5" s="190"/>
      <c r="K5" s="190"/>
      <c r="L5" s="190"/>
      <c r="M5" s="192">
        <v>49</v>
      </c>
      <c r="N5" s="190">
        <v>39</v>
      </c>
      <c r="O5" s="192"/>
      <c r="P5" s="210"/>
      <c r="Q5" s="196"/>
      <c r="R5" s="192"/>
      <c r="S5" s="196"/>
      <c r="T5" s="199"/>
      <c r="U5" s="202">
        <f t="shared" si="0"/>
        <v>88</v>
      </c>
      <c r="V5" s="206" t="s">
        <v>25</v>
      </c>
      <c r="W5" s="218" t="s">
        <v>8</v>
      </c>
      <c r="X5" s="65" t="s">
        <v>17</v>
      </c>
      <c r="Y5" s="105"/>
      <c r="Z5" s="181"/>
    </row>
    <row r="6" spans="1:26" s="2" customFormat="1" ht="14.1" customHeight="1" x14ac:dyDescent="0.35">
      <c r="A6" s="247" t="s">
        <v>8</v>
      </c>
      <c r="B6" s="3" t="s">
        <v>70</v>
      </c>
      <c r="C6" s="4"/>
      <c r="D6" s="52">
        <v>9013051</v>
      </c>
      <c r="E6" s="98">
        <v>45170</v>
      </c>
      <c r="F6" s="44" t="s">
        <v>74</v>
      </c>
      <c r="G6" s="61">
        <v>45174</v>
      </c>
      <c r="H6" s="42"/>
      <c r="I6" s="28"/>
      <c r="J6" s="28"/>
      <c r="K6" s="28"/>
      <c r="L6" s="28"/>
      <c r="M6" s="42">
        <v>49</v>
      </c>
      <c r="N6" s="28">
        <v>39</v>
      </c>
      <c r="O6" s="42"/>
      <c r="P6" s="7"/>
      <c r="Q6" s="43"/>
      <c r="R6" s="42"/>
      <c r="S6" s="43"/>
      <c r="T6" s="32"/>
      <c r="U6" s="53">
        <f t="shared" si="0"/>
        <v>88</v>
      </c>
      <c r="V6" s="64" t="s">
        <v>25</v>
      </c>
      <c r="W6" s="2" t="s">
        <v>8</v>
      </c>
      <c r="X6" s="65" t="s">
        <v>17</v>
      </c>
      <c r="Y6" s="105"/>
      <c r="Z6" s="181"/>
    </row>
    <row r="7" spans="1:26" s="2" customFormat="1" ht="13.2" customHeight="1" x14ac:dyDescent="0.35">
      <c r="A7" s="247" t="s">
        <v>8</v>
      </c>
      <c r="B7" s="3" t="s">
        <v>168</v>
      </c>
      <c r="C7" s="4"/>
      <c r="D7" s="52">
        <v>9193052</v>
      </c>
      <c r="E7" s="98">
        <v>45188</v>
      </c>
      <c r="F7" s="44" t="s">
        <v>39</v>
      </c>
      <c r="G7" s="61">
        <v>45188</v>
      </c>
      <c r="H7" s="42"/>
      <c r="I7" s="28"/>
      <c r="J7" s="28"/>
      <c r="K7" s="28"/>
      <c r="L7" s="28"/>
      <c r="M7" s="42">
        <v>390</v>
      </c>
      <c r="N7" s="28">
        <v>600</v>
      </c>
      <c r="O7" s="42"/>
      <c r="P7" s="7"/>
      <c r="Q7" s="43"/>
      <c r="R7" s="42"/>
      <c r="S7" s="43"/>
      <c r="T7" s="32"/>
      <c r="U7" s="53">
        <f t="shared" si="0"/>
        <v>990</v>
      </c>
      <c r="V7" s="64" t="s">
        <v>25</v>
      </c>
      <c r="W7" s="2" t="s">
        <v>8</v>
      </c>
      <c r="X7" s="65" t="s">
        <v>17</v>
      </c>
      <c r="Y7" s="105"/>
      <c r="Z7" s="181"/>
    </row>
    <row r="8" spans="1:26" s="2" customFormat="1" ht="14.1" customHeight="1" x14ac:dyDescent="0.35">
      <c r="A8" s="256" t="s">
        <v>38</v>
      </c>
      <c r="B8" s="219" t="s">
        <v>84</v>
      </c>
      <c r="C8" s="232"/>
      <c r="D8" s="230">
        <v>7203101</v>
      </c>
      <c r="E8" s="186">
        <v>45127</v>
      </c>
      <c r="F8" s="189" t="s">
        <v>20</v>
      </c>
      <c r="G8" s="220">
        <v>45127</v>
      </c>
      <c r="H8" s="195"/>
      <c r="I8" s="193"/>
      <c r="J8" s="193"/>
      <c r="K8" s="193"/>
      <c r="L8" s="193"/>
      <c r="M8" s="195"/>
      <c r="N8" s="193"/>
      <c r="O8" s="195"/>
      <c r="P8" s="221"/>
      <c r="Q8" s="198"/>
      <c r="R8" s="195">
        <v>240</v>
      </c>
      <c r="S8" s="198">
        <v>50</v>
      </c>
      <c r="T8" s="201">
        <v>18.600000000000001</v>
      </c>
      <c r="U8" s="204">
        <f t="shared" si="0"/>
        <v>308.60000000000002</v>
      </c>
      <c r="V8" s="207" t="s">
        <v>68</v>
      </c>
      <c r="W8" s="223" t="s">
        <v>85</v>
      </c>
      <c r="X8" s="65" t="s">
        <v>17</v>
      </c>
      <c r="Y8" s="105"/>
      <c r="Z8" s="181"/>
    </row>
    <row r="9" spans="1:26" s="2" customFormat="1" ht="14.1" customHeight="1" x14ac:dyDescent="0.35">
      <c r="A9" s="247" t="s">
        <v>131</v>
      </c>
      <c r="B9" s="3" t="s">
        <v>132</v>
      </c>
      <c r="C9" s="4"/>
      <c r="D9" s="52">
        <v>9053105</v>
      </c>
      <c r="E9" s="98">
        <v>45174</v>
      </c>
      <c r="F9" s="44" t="s">
        <v>20</v>
      </c>
      <c r="G9" s="61">
        <v>45174</v>
      </c>
      <c r="H9" s="42"/>
      <c r="I9" s="28"/>
      <c r="J9" s="28"/>
      <c r="K9" s="28"/>
      <c r="L9" s="28"/>
      <c r="M9" s="42"/>
      <c r="N9" s="28"/>
      <c r="O9" s="42"/>
      <c r="P9" s="7"/>
      <c r="Q9" s="43"/>
      <c r="R9" s="42">
        <v>286</v>
      </c>
      <c r="S9" s="43">
        <v>75</v>
      </c>
      <c r="T9" s="32">
        <v>24.67</v>
      </c>
      <c r="U9" s="53">
        <f t="shared" si="0"/>
        <v>385.67</v>
      </c>
      <c r="V9" s="64" t="s">
        <v>65</v>
      </c>
      <c r="W9" s="2" t="s">
        <v>128</v>
      </c>
      <c r="X9" s="65" t="s">
        <v>17</v>
      </c>
      <c r="Y9" s="105"/>
      <c r="Z9" s="181"/>
    </row>
    <row r="10" spans="1:26" s="2" customFormat="1" ht="14.1" customHeight="1" x14ac:dyDescent="0.35">
      <c r="A10" s="256" t="s">
        <v>38</v>
      </c>
      <c r="B10" s="219" t="s">
        <v>90</v>
      </c>
      <c r="C10" s="232"/>
      <c r="D10" s="230">
        <v>7243105</v>
      </c>
      <c r="E10" s="186">
        <v>45131</v>
      </c>
      <c r="F10" s="189" t="s">
        <v>20</v>
      </c>
      <c r="G10" s="220">
        <v>45132</v>
      </c>
      <c r="H10" s="195"/>
      <c r="I10" s="193"/>
      <c r="J10" s="193"/>
      <c r="K10" s="193"/>
      <c r="L10" s="193"/>
      <c r="M10" s="195"/>
      <c r="N10" s="193"/>
      <c r="O10" s="195"/>
      <c r="P10" s="221"/>
      <c r="Q10" s="198"/>
      <c r="R10" s="195">
        <v>188</v>
      </c>
      <c r="S10" s="198">
        <v>37.5</v>
      </c>
      <c r="T10" s="201">
        <v>16.22</v>
      </c>
      <c r="U10" s="204">
        <f t="shared" si="0"/>
        <v>241.72</v>
      </c>
      <c r="V10" s="207" t="s">
        <v>65</v>
      </c>
      <c r="W10" s="223" t="s">
        <v>38</v>
      </c>
      <c r="X10" s="65" t="s">
        <v>17</v>
      </c>
      <c r="Y10" s="105"/>
      <c r="Z10" s="181"/>
    </row>
    <row r="11" spans="1:26" s="2" customFormat="1" ht="14.1" customHeight="1" x14ac:dyDescent="0.35">
      <c r="A11" s="247" t="s">
        <v>38</v>
      </c>
      <c r="B11" s="3" t="s">
        <v>181</v>
      </c>
      <c r="C11" s="4"/>
      <c r="D11" s="52">
        <v>9213102</v>
      </c>
      <c r="E11" s="98">
        <v>45190</v>
      </c>
      <c r="F11" s="44" t="s">
        <v>20</v>
      </c>
      <c r="G11" s="61">
        <v>45191</v>
      </c>
      <c r="H11" s="42"/>
      <c r="I11" s="28"/>
      <c r="J11" s="28"/>
      <c r="K11" s="28"/>
      <c r="L11" s="28"/>
      <c r="M11" s="42"/>
      <c r="N11" s="28"/>
      <c r="O11" s="42"/>
      <c r="P11" s="7"/>
      <c r="Q11" s="43"/>
      <c r="R11" s="42">
        <v>318</v>
      </c>
      <c r="S11" s="43">
        <v>62.5</v>
      </c>
      <c r="T11" s="32">
        <v>29.42</v>
      </c>
      <c r="U11" s="53">
        <f t="shared" si="0"/>
        <v>409.92</v>
      </c>
      <c r="V11" s="64" t="s">
        <v>65</v>
      </c>
      <c r="W11" s="2" t="s">
        <v>5</v>
      </c>
      <c r="X11" s="65" t="s">
        <v>17</v>
      </c>
      <c r="Y11" s="105"/>
      <c r="Z11" s="181"/>
    </row>
    <row r="12" spans="1:26" s="2" customFormat="1" ht="14.1" customHeight="1" x14ac:dyDescent="0.35">
      <c r="A12" s="255" t="s">
        <v>38</v>
      </c>
      <c r="B12" s="208" t="s">
        <v>122</v>
      </c>
      <c r="C12" s="231"/>
      <c r="D12" s="228">
        <v>8313101</v>
      </c>
      <c r="E12" s="184">
        <v>45169</v>
      </c>
      <c r="F12" s="187" t="s">
        <v>20</v>
      </c>
      <c r="G12" s="209">
        <v>45169</v>
      </c>
      <c r="H12" s="192"/>
      <c r="I12" s="190"/>
      <c r="J12" s="190"/>
      <c r="K12" s="190"/>
      <c r="L12" s="190"/>
      <c r="M12" s="192"/>
      <c r="N12" s="190"/>
      <c r="O12" s="192"/>
      <c r="P12" s="210"/>
      <c r="Q12" s="196"/>
      <c r="R12" s="192">
        <v>100</v>
      </c>
      <c r="S12" s="196">
        <v>25</v>
      </c>
      <c r="T12" s="199">
        <v>10.25</v>
      </c>
      <c r="U12" s="202">
        <f t="shared" si="0"/>
        <v>135.25</v>
      </c>
      <c r="V12" s="206" t="s">
        <v>65</v>
      </c>
      <c r="W12" s="218" t="s">
        <v>5</v>
      </c>
      <c r="X12" s="65" t="s">
        <v>17</v>
      </c>
      <c r="Y12" s="105"/>
      <c r="Z12" s="181"/>
    </row>
    <row r="13" spans="1:26" s="2" customFormat="1" ht="14.1" customHeight="1" thickBot="1" x14ac:dyDescent="0.4">
      <c r="A13" s="257" t="s">
        <v>38</v>
      </c>
      <c r="B13" s="224" t="s">
        <v>75</v>
      </c>
      <c r="C13" s="239"/>
      <c r="D13" s="229">
        <v>5303104</v>
      </c>
      <c r="E13" s="185">
        <v>45076</v>
      </c>
      <c r="F13" s="188" t="s">
        <v>20</v>
      </c>
      <c r="G13" s="225">
        <v>45076</v>
      </c>
      <c r="H13" s="194"/>
      <c r="I13" s="191"/>
      <c r="J13" s="191"/>
      <c r="K13" s="191"/>
      <c r="L13" s="191"/>
      <c r="M13" s="194"/>
      <c r="N13" s="191"/>
      <c r="O13" s="194"/>
      <c r="P13" s="226"/>
      <c r="Q13" s="197"/>
      <c r="R13" s="194">
        <v>29</v>
      </c>
      <c r="S13" s="197">
        <v>12.5</v>
      </c>
      <c r="T13" s="200">
        <v>2.5</v>
      </c>
      <c r="U13" s="203">
        <f t="shared" si="0"/>
        <v>44</v>
      </c>
      <c r="V13" s="205" t="s">
        <v>65</v>
      </c>
      <c r="W13" s="227" t="s">
        <v>38</v>
      </c>
      <c r="X13" s="65" t="s">
        <v>17</v>
      </c>
      <c r="Y13" s="105"/>
      <c r="Z13" s="181"/>
    </row>
    <row r="14" spans="1:26" s="2" customFormat="1" ht="14.1" customHeight="1" thickBot="1" x14ac:dyDescent="0.4">
      <c r="A14" s="248" t="s">
        <v>38</v>
      </c>
      <c r="B14" s="177" t="s">
        <v>79</v>
      </c>
      <c r="C14" s="178"/>
      <c r="D14" s="178">
        <v>9053103</v>
      </c>
      <c r="E14" s="211">
        <v>45174</v>
      </c>
      <c r="F14" s="212" t="s">
        <v>20</v>
      </c>
      <c r="G14" s="179">
        <v>45174</v>
      </c>
      <c r="H14" s="213"/>
      <c r="I14" s="213"/>
      <c r="J14" s="214"/>
      <c r="K14" s="214"/>
      <c r="L14" s="214"/>
      <c r="M14" s="213"/>
      <c r="N14" s="213"/>
      <c r="O14" s="213"/>
      <c r="P14" s="50"/>
      <c r="Q14" s="222"/>
      <c r="R14" s="213">
        <v>149</v>
      </c>
      <c r="S14" s="222">
        <v>37.5</v>
      </c>
      <c r="T14" s="215">
        <v>13.41</v>
      </c>
      <c r="U14" s="216">
        <f t="shared" si="0"/>
        <v>199.91</v>
      </c>
      <c r="V14" s="217" t="s">
        <v>65</v>
      </c>
      <c r="W14" s="84" t="s">
        <v>128</v>
      </c>
      <c r="X14" s="84" t="s">
        <v>17</v>
      </c>
      <c r="Y14" s="262"/>
      <c r="Z14" s="181"/>
    </row>
    <row r="15" spans="1:26" s="2" customFormat="1" ht="14.1" customHeight="1" x14ac:dyDescent="0.35">
      <c r="A15" s="247" t="s">
        <v>38</v>
      </c>
      <c r="B15" s="3" t="s">
        <v>134</v>
      </c>
      <c r="C15" s="4"/>
      <c r="D15" s="52">
        <v>9073101</v>
      </c>
      <c r="E15" s="98">
        <v>45176</v>
      </c>
      <c r="F15" s="44" t="s">
        <v>20</v>
      </c>
      <c r="G15" s="61">
        <v>45176</v>
      </c>
      <c r="H15" s="42"/>
      <c r="I15" s="28"/>
      <c r="J15" s="28"/>
      <c r="K15" s="28"/>
      <c r="L15" s="28"/>
      <c r="M15" s="42"/>
      <c r="N15" s="28"/>
      <c r="O15" s="42"/>
      <c r="P15" s="7"/>
      <c r="Q15" s="43"/>
      <c r="R15" s="42">
        <v>65</v>
      </c>
      <c r="S15" s="43">
        <v>25</v>
      </c>
      <c r="T15" s="32">
        <v>5.61</v>
      </c>
      <c r="U15" s="53">
        <f t="shared" si="0"/>
        <v>95.61</v>
      </c>
      <c r="V15" s="64" t="s">
        <v>65</v>
      </c>
      <c r="W15" s="2" t="s">
        <v>58</v>
      </c>
      <c r="X15" s="65" t="s">
        <v>17</v>
      </c>
      <c r="Y15" s="105"/>
      <c r="Z15" s="181"/>
    </row>
    <row r="16" spans="1:26" s="2" customFormat="1" ht="14.1" customHeight="1" x14ac:dyDescent="0.35">
      <c r="A16" s="247" t="s">
        <v>38</v>
      </c>
      <c r="B16" s="3" t="s">
        <v>73</v>
      </c>
      <c r="C16" s="4"/>
      <c r="D16" s="52">
        <v>9143063</v>
      </c>
      <c r="E16" s="98">
        <v>45183</v>
      </c>
      <c r="F16" s="44" t="s">
        <v>20</v>
      </c>
      <c r="G16" s="61">
        <v>45183</v>
      </c>
      <c r="H16" s="42"/>
      <c r="I16" s="28"/>
      <c r="J16" s="28"/>
      <c r="K16" s="28"/>
      <c r="L16" s="28"/>
      <c r="M16" s="42"/>
      <c r="N16" s="28"/>
      <c r="O16" s="42"/>
      <c r="P16" s="7"/>
      <c r="Q16" s="43"/>
      <c r="R16" s="42">
        <v>120</v>
      </c>
      <c r="S16" s="43">
        <v>25</v>
      </c>
      <c r="T16" s="32">
        <v>9.3000000000000007</v>
      </c>
      <c r="U16" s="53">
        <f t="shared" si="0"/>
        <v>154.30000000000001</v>
      </c>
      <c r="V16" s="64" t="s">
        <v>65</v>
      </c>
      <c r="W16" s="2" t="s">
        <v>128</v>
      </c>
      <c r="X16" s="65" t="s">
        <v>17</v>
      </c>
      <c r="Y16" s="105"/>
      <c r="Z16" s="181"/>
    </row>
    <row r="17" spans="1:26" s="2" customFormat="1" ht="14.1" customHeight="1" x14ac:dyDescent="0.35">
      <c r="A17" s="255" t="s">
        <v>37</v>
      </c>
      <c r="B17" s="208" t="s">
        <v>103</v>
      </c>
      <c r="C17" s="231"/>
      <c r="D17" s="228">
        <v>8143062</v>
      </c>
      <c r="E17" s="184">
        <v>45152</v>
      </c>
      <c r="F17" s="187" t="s">
        <v>20</v>
      </c>
      <c r="G17" s="209">
        <v>45152</v>
      </c>
      <c r="H17" s="192"/>
      <c r="I17" s="190"/>
      <c r="J17" s="190"/>
      <c r="K17" s="190"/>
      <c r="L17" s="190"/>
      <c r="M17" s="192"/>
      <c r="N17" s="190"/>
      <c r="O17" s="192"/>
      <c r="P17" s="210"/>
      <c r="Q17" s="196"/>
      <c r="R17" s="192">
        <v>855</v>
      </c>
      <c r="S17" s="196"/>
      <c r="T17" s="199"/>
      <c r="U17" s="202">
        <f t="shared" si="0"/>
        <v>855</v>
      </c>
      <c r="V17" s="206" t="s">
        <v>33</v>
      </c>
      <c r="W17" s="218" t="s">
        <v>106</v>
      </c>
      <c r="X17" s="65" t="s">
        <v>17</v>
      </c>
      <c r="Y17" s="105"/>
      <c r="Z17" s="181"/>
    </row>
    <row r="18" spans="1:26" s="2" customFormat="1" ht="14.1" customHeight="1" x14ac:dyDescent="0.35">
      <c r="A18" s="247" t="s">
        <v>38</v>
      </c>
      <c r="B18" s="3" t="s">
        <v>189</v>
      </c>
      <c r="C18" s="4" t="s">
        <v>190</v>
      </c>
      <c r="D18" s="52">
        <v>9253108</v>
      </c>
      <c r="E18" s="98">
        <v>45194</v>
      </c>
      <c r="F18" s="44" t="s">
        <v>20</v>
      </c>
      <c r="G18" s="61">
        <v>45194</v>
      </c>
      <c r="H18" s="42"/>
      <c r="I18" s="28"/>
      <c r="J18" s="28"/>
      <c r="K18" s="28"/>
      <c r="L18" s="28"/>
      <c r="M18" s="42"/>
      <c r="N18" s="28"/>
      <c r="O18" s="42"/>
      <c r="P18" s="7"/>
      <c r="Q18" s="43"/>
      <c r="R18" s="42">
        <v>180</v>
      </c>
      <c r="S18" s="43">
        <v>50</v>
      </c>
      <c r="T18" s="32">
        <v>15.08</v>
      </c>
      <c r="U18" s="53">
        <f t="shared" si="0"/>
        <v>245.08</v>
      </c>
      <c r="V18" s="64" t="s">
        <v>65</v>
      </c>
      <c r="W18" s="2" t="s">
        <v>38</v>
      </c>
      <c r="X18" s="65" t="s">
        <v>17</v>
      </c>
      <c r="Y18" s="105"/>
      <c r="Z18" s="181"/>
    </row>
    <row r="19" spans="1:26" s="2" customFormat="1" ht="14.1" customHeight="1" x14ac:dyDescent="0.35">
      <c r="A19" s="247" t="s">
        <v>38</v>
      </c>
      <c r="B19" s="3" t="s">
        <v>200</v>
      </c>
      <c r="C19" s="4"/>
      <c r="D19" s="52">
        <v>9293101</v>
      </c>
      <c r="E19" s="98">
        <v>45198</v>
      </c>
      <c r="F19" s="44" t="s">
        <v>20</v>
      </c>
      <c r="G19" s="61">
        <v>45198</v>
      </c>
      <c r="H19" s="42"/>
      <c r="I19" s="28"/>
      <c r="J19" s="28"/>
      <c r="K19" s="28"/>
      <c r="L19" s="28"/>
      <c r="M19" s="42"/>
      <c r="N19" s="28"/>
      <c r="O19" s="42"/>
      <c r="P19" s="7"/>
      <c r="Q19" s="43"/>
      <c r="R19" s="42">
        <v>195</v>
      </c>
      <c r="S19" s="43">
        <v>37.5</v>
      </c>
      <c r="T19" s="32">
        <v>20.96</v>
      </c>
      <c r="U19" s="53">
        <f t="shared" si="0"/>
        <v>253.46</v>
      </c>
      <c r="V19" s="64" t="s">
        <v>65</v>
      </c>
      <c r="W19" s="2" t="s">
        <v>5</v>
      </c>
      <c r="X19" s="65" t="s">
        <v>17</v>
      </c>
      <c r="Y19" s="105"/>
      <c r="Z19" s="181"/>
    </row>
    <row r="20" spans="1:26" s="2" customFormat="1" ht="14.1" customHeight="1" x14ac:dyDescent="0.35">
      <c r="A20" s="255" t="s">
        <v>37</v>
      </c>
      <c r="B20" s="208" t="s">
        <v>101</v>
      </c>
      <c r="C20" s="231"/>
      <c r="D20" s="228">
        <v>8113251</v>
      </c>
      <c r="E20" s="184">
        <v>45149</v>
      </c>
      <c r="F20" s="187" t="s">
        <v>102</v>
      </c>
      <c r="G20" s="209">
        <v>45152</v>
      </c>
      <c r="H20" s="192"/>
      <c r="I20" s="190"/>
      <c r="J20" s="190"/>
      <c r="K20" s="190"/>
      <c r="L20" s="190"/>
      <c r="M20" s="192"/>
      <c r="N20" s="190"/>
      <c r="O20" s="192"/>
      <c r="P20" s="210">
        <v>180</v>
      </c>
      <c r="Q20" s="196">
        <v>90</v>
      </c>
      <c r="R20" s="192"/>
      <c r="S20" s="196"/>
      <c r="T20" s="199"/>
      <c r="U20" s="202">
        <f t="shared" si="0"/>
        <v>270</v>
      </c>
      <c r="V20" s="206" t="s">
        <v>7</v>
      </c>
      <c r="W20" s="218" t="s">
        <v>37</v>
      </c>
      <c r="X20" s="65" t="s">
        <v>17</v>
      </c>
      <c r="Y20" s="105"/>
      <c r="Z20" s="181"/>
    </row>
    <row r="21" spans="1:26" s="2" customFormat="1" ht="14.1" customHeight="1" x14ac:dyDescent="0.35">
      <c r="A21" s="247" t="s">
        <v>38</v>
      </c>
      <c r="B21" s="3" t="s">
        <v>97</v>
      </c>
      <c r="C21" s="4"/>
      <c r="D21" s="52">
        <v>9013052</v>
      </c>
      <c r="E21" s="98">
        <v>45170</v>
      </c>
      <c r="F21" s="44" t="s">
        <v>74</v>
      </c>
      <c r="G21" s="61">
        <v>45174</v>
      </c>
      <c r="H21" s="42"/>
      <c r="I21" s="28"/>
      <c r="J21" s="28"/>
      <c r="K21" s="28"/>
      <c r="L21" s="28"/>
      <c r="M21" s="42">
        <v>49</v>
      </c>
      <c r="N21" s="28"/>
      <c r="O21" s="42"/>
      <c r="P21" s="7"/>
      <c r="Q21" s="43"/>
      <c r="R21" s="42"/>
      <c r="S21" s="43"/>
      <c r="T21" s="32"/>
      <c r="U21" s="53">
        <f t="shared" si="0"/>
        <v>49</v>
      </c>
      <c r="V21" s="64" t="s">
        <v>25</v>
      </c>
      <c r="W21" s="2" t="s">
        <v>6</v>
      </c>
      <c r="X21" s="65" t="s">
        <v>17</v>
      </c>
      <c r="Y21" s="105"/>
      <c r="Z21" s="181"/>
    </row>
    <row r="22" spans="1:26" s="2" customFormat="1" ht="14.1" customHeight="1" x14ac:dyDescent="0.35">
      <c r="A22" s="255" t="s">
        <v>5</v>
      </c>
      <c r="B22" s="208" t="s">
        <v>34</v>
      </c>
      <c r="C22" s="231"/>
      <c r="D22" s="228">
        <v>8093064</v>
      </c>
      <c r="E22" s="184">
        <v>45147</v>
      </c>
      <c r="F22" s="187" t="s">
        <v>20</v>
      </c>
      <c r="G22" s="209">
        <v>45147</v>
      </c>
      <c r="H22" s="192"/>
      <c r="I22" s="190"/>
      <c r="J22" s="190"/>
      <c r="K22" s="190"/>
      <c r="L22" s="190"/>
      <c r="M22" s="192"/>
      <c r="N22" s="190"/>
      <c r="O22" s="192"/>
      <c r="P22" s="210"/>
      <c r="Q22" s="196"/>
      <c r="R22" s="192">
        <v>256</v>
      </c>
      <c r="S22" s="196"/>
      <c r="T22" s="199"/>
      <c r="U22" s="202">
        <f t="shared" si="0"/>
        <v>256</v>
      </c>
      <c r="V22" s="206" t="s">
        <v>65</v>
      </c>
      <c r="W22" s="218" t="s">
        <v>58</v>
      </c>
      <c r="X22" s="65" t="s">
        <v>17</v>
      </c>
      <c r="Y22" s="105"/>
      <c r="Z22" s="181"/>
    </row>
    <row r="23" spans="1:26" s="2" customFormat="1" ht="14.1" customHeight="1" x14ac:dyDescent="0.35">
      <c r="A23" s="255" t="s">
        <v>5</v>
      </c>
      <c r="B23" s="208" t="s">
        <v>34</v>
      </c>
      <c r="C23" s="231"/>
      <c r="D23" s="228">
        <v>8113064</v>
      </c>
      <c r="E23" s="184">
        <v>45149</v>
      </c>
      <c r="F23" s="187" t="s">
        <v>20</v>
      </c>
      <c r="G23" s="209">
        <v>45149</v>
      </c>
      <c r="H23" s="192"/>
      <c r="I23" s="190"/>
      <c r="J23" s="190"/>
      <c r="K23" s="190"/>
      <c r="L23" s="190"/>
      <c r="M23" s="192"/>
      <c r="N23" s="190"/>
      <c r="O23" s="192"/>
      <c r="P23" s="210"/>
      <c r="Q23" s="196"/>
      <c r="R23" s="192">
        <v>690</v>
      </c>
      <c r="S23" s="196"/>
      <c r="T23" s="199"/>
      <c r="U23" s="202">
        <f t="shared" si="0"/>
        <v>690</v>
      </c>
      <c r="V23" s="206" t="s">
        <v>65</v>
      </c>
      <c r="W23" s="218" t="s">
        <v>5</v>
      </c>
      <c r="X23" s="65" t="s">
        <v>17</v>
      </c>
      <c r="Y23" s="105"/>
      <c r="Z23" s="181"/>
    </row>
    <row r="24" spans="1:26" s="2" customFormat="1" ht="14.1" customHeight="1" x14ac:dyDescent="0.35">
      <c r="A24" s="247" t="s">
        <v>5</v>
      </c>
      <c r="B24" s="3" t="s">
        <v>34</v>
      </c>
      <c r="C24" s="4"/>
      <c r="D24" s="52">
        <v>9063062</v>
      </c>
      <c r="E24" s="98">
        <v>45175</v>
      </c>
      <c r="F24" s="44" t="s">
        <v>20</v>
      </c>
      <c r="G24" s="61">
        <v>45175</v>
      </c>
      <c r="H24" s="42"/>
      <c r="I24" s="28"/>
      <c r="J24" s="28"/>
      <c r="K24" s="28"/>
      <c r="L24" s="28"/>
      <c r="M24" s="42"/>
      <c r="N24" s="28"/>
      <c r="O24" s="42"/>
      <c r="P24" s="7"/>
      <c r="Q24" s="43"/>
      <c r="R24" s="42">
        <v>463</v>
      </c>
      <c r="S24" s="43"/>
      <c r="T24" s="32"/>
      <c r="U24" s="53">
        <f t="shared" si="0"/>
        <v>463</v>
      </c>
      <c r="V24" s="64" t="s">
        <v>65</v>
      </c>
      <c r="W24" s="2" t="s">
        <v>58</v>
      </c>
      <c r="X24" s="65" t="s">
        <v>17</v>
      </c>
      <c r="Y24" s="105"/>
      <c r="Z24" s="181"/>
    </row>
    <row r="25" spans="1:26" s="2" customFormat="1" ht="14.1" customHeight="1" x14ac:dyDescent="0.35">
      <c r="A25" s="247" t="s">
        <v>38</v>
      </c>
      <c r="B25" s="3" t="s">
        <v>34</v>
      </c>
      <c r="C25" s="4"/>
      <c r="D25" s="52">
        <v>9093062</v>
      </c>
      <c r="E25" s="98">
        <v>45178</v>
      </c>
      <c r="F25" s="44" t="s">
        <v>20</v>
      </c>
      <c r="G25" s="61">
        <v>45180</v>
      </c>
      <c r="H25" s="42"/>
      <c r="I25" s="28"/>
      <c r="J25" s="28"/>
      <c r="K25" s="28"/>
      <c r="L25" s="28"/>
      <c r="M25" s="42"/>
      <c r="N25" s="28"/>
      <c r="O25" s="42"/>
      <c r="P25" s="7"/>
      <c r="Q25" s="43"/>
      <c r="R25" s="42">
        <v>345</v>
      </c>
      <c r="S25" s="43"/>
      <c r="T25" s="32"/>
      <c r="U25" s="53">
        <f t="shared" si="0"/>
        <v>345</v>
      </c>
      <c r="V25" s="64" t="s">
        <v>65</v>
      </c>
      <c r="W25" s="2" t="s">
        <v>5</v>
      </c>
      <c r="X25" s="65" t="s">
        <v>17</v>
      </c>
      <c r="Y25" s="105"/>
      <c r="Z25" s="181"/>
    </row>
    <row r="26" spans="1:26" s="2" customFormat="1" ht="14.1" customHeight="1" x14ac:dyDescent="0.35">
      <c r="A26" s="247" t="s">
        <v>5</v>
      </c>
      <c r="B26" s="3" t="s">
        <v>34</v>
      </c>
      <c r="C26" s="4"/>
      <c r="D26" s="52">
        <v>9213062</v>
      </c>
      <c r="E26" s="98">
        <v>45190</v>
      </c>
      <c r="F26" s="44" t="s">
        <v>20</v>
      </c>
      <c r="G26" s="61">
        <v>45191</v>
      </c>
      <c r="H26" s="42"/>
      <c r="I26" s="28"/>
      <c r="J26" s="28"/>
      <c r="K26" s="28"/>
      <c r="L26" s="28"/>
      <c r="M26" s="42"/>
      <c r="N26" s="28"/>
      <c r="O26" s="42"/>
      <c r="P26" s="7"/>
      <c r="Q26" s="43"/>
      <c r="R26" s="42">
        <v>651</v>
      </c>
      <c r="S26" s="43"/>
      <c r="T26" s="32"/>
      <c r="U26" s="53">
        <f t="shared" si="0"/>
        <v>651</v>
      </c>
      <c r="V26" s="64" t="s">
        <v>65</v>
      </c>
      <c r="W26" s="2" t="s">
        <v>58</v>
      </c>
      <c r="X26" s="65" t="s">
        <v>17</v>
      </c>
      <c r="Y26" s="105"/>
      <c r="Z26" s="181"/>
    </row>
    <row r="27" spans="1:26" s="2" customFormat="1" ht="14.1" customHeight="1" x14ac:dyDescent="0.35">
      <c r="A27" s="247" t="s">
        <v>8</v>
      </c>
      <c r="B27" s="3" t="s">
        <v>161</v>
      </c>
      <c r="C27" s="4" t="s">
        <v>162</v>
      </c>
      <c r="D27" s="52">
        <v>9153053</v>
      </c>
      <c r="E27" s="98">
        <v>45184</v>
      </c>
      <c r="F27" s="44" t="s">
        <v>39</v>
      </c>
      <c r="G27" s="61">
        <v>45188</v>
      </c>
      <c r="H27" s="42"/>
      <c r="I27" s="28"/>
      <c r="J27" s="28"/>
      <c r="K27" s="28"/>
      <c r="L27" s="28"/>
      <c r="M27" s="42">
        <v>69</v>
      </c>
      <c r="N27" s="28">
        <v>39</v>
      </c>
      <c r="O27" s="42"/>
      <c r="P27" s="7"/>
      <c r="Q27" s="43"/>
      <c r="R27" s="42"/>
      <c r="S27" s="43"/>
      <c r="T27" s="32"/>
      <c r="U27" s="53">
        <f t="shared" si="0"/>
        <v>108</v>
      </c>
      <c r="V27" s="64" t="s">
        <v>25</v>
      </c>
      <c r="W27" s="2" t="s">
        <v>8</v>
      </c>
      <c r="X27" s="65" t="s">
        <v>17</v>
      </c>
      <c r="Y27" s="105"/>
      <c r="Z27" s="181"/>
    </row>
    <row r="28" spans="1:26" s="2" customFormat="1" ht="14.1" customHeight="1" x14ac:dyDescent="0.35">
      <c r="A28" s="247" t="s">
        <v>8</v>
      </c>
      <c r="B28" s="3" t="s">
        <v>161</v>
      </c>
      <c r="C28" s="4" t="s">
        <v>163</v>
      </c>
      <c r="D28" s="52">
        <v>9153054</v>
      </c>
      <c r="E28" s="98">
        <v>45184</v>
      </c>
      <c r="F28" s="44" t="s">
        <v>39</v>
      </c>
      <c r="G28" s="61">
        <v>45188</v>
      </c>
      <c r="H28" s="42"/>
      <c r="I28" s="28"/>
      <c r="J28" s="28"/>
      <c r="K28" s="28"/>
      <c r="L28" s="28"/>
      <c r="M28" s="42">
        <v>69</v>
      </c>
      <c r="N28" s="28">
        <v>39</v>
      </c>
      <c r="O28" s="42"/>
      <c r="P28" s="7"/>
      <c r="Q28" s="43"/>
      <c r="R28" s="42"/>
      <c r="S28" s="43"/>
      <c r="T28" s="32"/>
      <c r="U28" s="53">
        <f t="shared" si="0"/>
        <v>108</v>
      </c>
      <c r="V28" s="64" t="s">
        <v>25</v>
      </c>
      <c r="W28" s="2" t="s">
        <v>8</v>
      </c>
      <c r="X28" s="65" t="s">
        <v>17</v>
      </c>
      <c r="Y28" s="105"/>
      <c r="Z28" s="181"/>
    </row>
    <row r="29" spans="1:26" s="2" customFormat="1" ht="14.1" customHeight="1" x14ac:dyDescent="0.35">
      <c r="A29" s="247" t="s">
        <v>38</v>
      </c>
      <c r="B29" s="3" t="s">
        <v>182</v>
      </c>
      <c r="C29" s="4"/>
      <c r="D29" s="52">
        <v>9213103</v>
      </c>
      <c r="E29" s="98">
        <v>45190</v>
      </c>
      <c r="F29" s="44" t="s">
        <v>20</v>
      </c>
      <c r="G29" s="61">
        <v>45191</v>
      </c>
      <c r="H29" s="42"/>
      <c r="I29" s="28"/>
      <c r="J29" s="28"/>
      <c r="K29" s="28"/>
      <c r="L29" s="28"/>
      <c r="M29" s="42"/>
      <c r="N29" s="28"/>
      <c r="O29" s="42"/>
      <c r="P29" s="7"/>
      <c r="Q29" s="43"/>
      <c r="R29" s="42">
        <v>120</v>
      </c>
      <c r="S29" s="43">
        <v>25</v>
      </c>
      <c r="T29" s="32">
        <v>10.35</v>
      </c>
      <c r="U29" s="53">
        <f t="shared" si="0"/>
        <v>155.35</v>
      </c>
      <c r="V29" s="64" t="s">
        <v>65</v>
      </c>
      <c r="W29" s="2" t="s">
        <v>58</v>
      </c>
      <c r="X29" s="65" t="s">
        <v>17</v>
      </c>
      <c r="Y29" s="105"/>
      <c r="Z29" s="181"/>
    </row>
    <row r="30" spans="1:26" s="2" customFormat="1" ht="14.1" customHeight="1" x14ac:dyDescent="0.35">
      <c r="A30" s="256" t="s">
        <v>38</v>
      </c>
      <c r="B30" s="219" t="s">
        <v>78</v>
      </c>
      <c r="C30" s="232"/>
      <c r="D30" s="230">
        <v>7273105</v>
      </c>
      <c r="E30" s="186">
        <v>45134</v>
      </c>
      <c r="F30" s="189" t="s">
        <v>20</v>
      </c>
      <c r="G30" s="220">
        <v>45135</v>
      </c>
      <c r="H30" s="195"/>
      <c r="I30" s="193"/>
      <c r="J30" s="193"/>
      <c r="K30" s="193"/>
      <c r="L30" s="193"/>
      <c r="M30" s="195"/>
      <c r="N30" s="193"/>
      <c r="O30" s="195"/>
      <c r="P30" s="221"/>
      <c r="Q30" s="198"/>
      <c r="R30" s="195">
        <v>195</v>
      </c>
      <c r="S30" s="198">
        <v>37.5</v>
      </c>
      <c r="T30" s="201">
        <v>16.82</v>
      </c>
      <c r="U30" s="204">
        <f t="shared" si="0"/>
        <v>249.32</v>
      </c>
      <c r="V30" s="207" t="s">
        <v>65</v>
      </c>
      <c r="W30" s="223" t="s">
        <v>58</v>
      </c>
      <c r="X30" s="65" t="s">
        <v>17</v>
      </c>
      <c r="Y30" s="105"/>
      <c r="Z30" s="181"/>
    </row>
    <row r="31" spans="1:26" s="2" customFormat="1" ht="14.1" customHeight="1" x14ac:dyDescent="0.35">
      <c r="A31" s="247" t="s">
        <v>38</v>
      </c>
      <c r="B31" s="3" t="s">
        <v>113</v>
      </c>
      <c r="C31" s="4"/>
      <c r="D31" s="52">
        <v>9083103</v>
      </c>
      <c r="E31" s="98">
        <v>45177</v>
      </c>
      <c r="F31" s="44" t="s">
        <v>20</v>
      </c>
      <c r="G31" s="61">
        <v>45180</v>
      </c>
      <c r="H31" s="42"/>
      <c r="I31" s="28"/>
      <c r="J31" s="28"/>
      <c r="K31" s="28"/>
      <c r="L31" s="28"/>
      <c r="M31" s="42"/>
      <c r="N31" s="28"/>
      <c r="O31" s="42"/>
      <c r="P31" s="7"/>
      <c r="Q31" s="43"/>
      <c r="R31" s="42">
        <v>185</v>
      </c>
      <c r="S31" s="43">
        <v>37.5</v>
      </c>
      <c r="T31" s="32">
        <v>15.96</v>
      </c>
      <c r="U31" s="53">
        <f t="shared" si="0"/>
        <v>238.46</v>
      </c>
      <c r="V31" s="64" t="s">
        <v>65</v>
      </c>
      <c r="W31" s="2" t="s">
        <v>5</v>
      </c>
      <c r="X31" s="65" t="s">
        <v>17</v>
      </c>
      <c r="Y31" s="105"/>
      <c r="Z31" s="181"/>
    </row>
    <row r="32" spans="1:26" s="2" customFormat="1" ht="14.1" customHeight="1" thickBot="1" x14ac:dyDescent="0.4">
      <c r="A32" s="256" t="s">
        <v>38</v>
      </c>
      <c r="B32" s="219" t="s">
        <v>92</v>
      </c>
      <c r="C32" s="232"/>
      <c r="D32" s="230">
        <v>7273104</v>
      </c>
      <c r="E32" s="186">
        <v>45134</v>
      </c>
      <c r="F32" s="189" t="s">
        <v>20</v>
      </c>
      <c r="G32" s="220">
        <v>45135</v>
      </c>
      <c r="H32" s="195"/>
      <c r="I32" s="193"/>
      <c r="J32" s="193"/>
      <c r="K32" s="193"/>
      <c r="L32" s="193"/>
      <c r="M32" s="195"/>
      <c r="N32" s="193"/>
      <c r="O32" s="195"/>
      <c r="P32" s="221"/>
      <c r="Q32" s="198"/>
      <c r="R32" s="195">
        <v>260</v>
      </c>
      <c r="S32" s="198">
        <v>50</v>
      </c>
      <c r="T32" s="201">
        <v>23.73</v>
      </c>
      <c r="U32" s="204">
        <f t="shared" si="0"/>
        <v>333.73</v>
      </c>
      <c r="V32" s="207" t="s">
        <v>65</v>
      </c>
      <c r="W32" s="223" t="s">
        <v>58</v>
      </c>
      <c r="X32" s="65" t="s">
        <v>17</v>
      </c>
      <c r="Y32" s="105"/>
      <c r="Z32" s="181"/>
    </row>
    <row r="33" spans="1:26" s="2" customFormat="1" ht="14.1" customHeight="1" thickBot="1" x14ac:dyDescent="0.4">
      <c r="A33" s="248" t="s">
        <v>8</v>
      </c>
      <c r="B33" s="177" t="s">
        <v>175</v>
      </c>
      <c r="C33" s="178"/>
      <c r="D33" s="178">
        <v>9153057</v>
      </c>
      <c r="E33" s="211">
        <v>45184</v>
      </c>
      <c r="F33" s="212" t="s">
        <v>39</v>
      </c>
      <c r="G33" s="179">
        <v>45188</v>
      </c>
      <c r="H33" s="213"/>
      <c r="I33" s="213"/>
      <c r="J33" s="214"/>
      <c r="K33" s="214"/>
      <c r="L33" s="214"/>
      <c r="M33" s="213">
        <v>500</v>
      </c>
      <c r="N33" s="213">
        <v>2492</v>
      </c>
      <c r="O33" s="213"/>
      <c r="P33" s="50"/>
      <c r="Q33" s="222"/>
      <c r="R33" s="213"/>
      <c r="S33" s="222"/>
      <c r="T33" s="215"/>
      <c r="U33" s="216">
        <f t="shared" si="0"/>
        <v>2992</v>
      </c>
      <c r="V33" s="217" t="s">
        <v>25</v>
      </c>
      <c r="W33" s="84" t="s">
        <v>8</v>
      </c>
      <c r="X33" s="84" t="s">
        <v>17</v>
      </c>
      <c r="Y33" s="262"/>
      <c r="Z33" s="181"/>
    </row>
    <row r="34" spans="1:26" s="2" customFormat="1" ht="14.1" customHeight="1" x14ac:dyDescent="0.35">
      <c r="A34" s="247" t="s">
        <v>38</v>
      </c>
      <c r="B34" s="3" t="s">
        <v>158</v>
      </c>
      <c r="C34" s="4" t="s">
        <v>127</v>
      </c>
      <c r="D34" s="52">
        <v>9153107</v>
      </c>
      <c r="E34" s="98">
        <v>45184</v>
      </c>
      <c r="F34" s="44" t="s">
        <v>20</v>
      </c>
      <c r="G34" s="61">
        <v>45187</v>
      </c>
      <c r="H34" s="42"/>
      <c r="I34" s="28"/>
      <c r="J34" s="28"/>
      <c r="K34" s="28"/>
      <c r="L34" s="28"/>
      <c r="M34" s="42"/>
      <c r="N34" s="28"/>
      <c r="O34" s="42"/>
      <c r="P34" s="7"/>
      <c r="Q34" s="43"/>
      <c r="R34" s="42">
        <v>104</v>
      </c>
      <c r="S34" s="43">
        <v>25</v>
      </c>
      <c r="T34" s="32">
        <v>8.9700000000000006</v>
      </c>
      <c r="U34" s="53">
        <f t="shared" si="0"/>
        <v>137.97</v>
      </c>
      <c r="V34" s="64" t="s">
        <v>65</v>
      </c>
      <c r="W34" s="2" t="s">
        <v>128</v>
      </c>
      <c r="X34" s="65" t="s">
        <v>17</v>
      </c>
      <c r="Y34" s="105"/>
      <c r="Z34" s="181"/>
    </row>
    <row r="35" spans="1:26" s="2" customFormat="1" ht="14.1" customHeight="1" x14ac:dyDescent="0.35">
      <c r="A35" s="256" t="s">
        <v>38</v>
      </c>
      <c r="B35" s="219" t="s">
        <v>82</v>
      </c>
      <c r="C35" s="232"/>
      <c r="D35" s="230">
        <v>7103107</v>
      </c>
      <c r="E35" s="186">
        <v>45117</v>
      </c>
      <c r="F35" s="189" t="s">
        <v>20</v>
      </c>
      <c r="G35" s="220">
        <v>45118</v>
      </c>
      <c r="H35" s="195"/>
      <c r="I35" s="193"/>
      <c r="J35" s="193"/>
      <c r="K35" s="193"/>
      <c r="L35" s="193"/>
      <c r="M35" s="195"/>
      <c r="N35" s="193"/>
      <c r="O35" s="195"/>
      <c r="P35" s="221"/>
      <c r="Q35" s="198"/>
      <c r="R35" s="195">
        <v>65</v>
      </c>
      <c r="S35" s="198">
        <v>12.5</v>
      </c>
      <c r="T35" s="201">
        <v>6.01</v>
      </c>
      <c r="U35" s="204">
        <f t="shared" si="0"/>
        <v>83.51</v>
      </c>
      <c r="V35" s="207" t="s">
        <v>65</v>
      </c>
      <c r="W35" s="223" t="s">
        <v>38</v>
      </c>
      <c r="X35" s="65" t="s">
        <v>17</v>
      </c>
      <c r="Y35" s="105"/>
      <c r="Z35" s="181"/>
    </row>
    <row r="36" spans="1:26" s="2" customFormat="1" ht="14.1" customHeight="1" x14ac:dyDescent="0.35">
      <c r="A36" s="247" t="s">
        <v>38</v>
      </c>
      <c r="B36" s="3" t="s">
        <v>184</v>
      </c>
      <c r="C36" s="4"/>
      <c r="D36" s="52">
        <v>9223102</v>
      </c>
      <c r="E36" s="98">
        <v>45191</v>
      </c>
      <c r="F36" s="44" t="s">
        <v>20</v>
      </c>
      <c r="G36" s="61">
        <v>45194</v>
      </c>
      <c r="H36" s="42"/>
      <c r="I36" s="28"/>
      <c r="J36" s="28"/>
      <c r="K36" s="28"/>
      <c r="L36" s="28"/>
      <c r="M36" s="42"/>
      <c r="N36" s="28"/>
      <c r="O36" s="42"/>
      <c r="P36" s="7"/>
      <c r="Q36" s="43"/>
      <c r="R36" s="42">
        <v>130</v>
      </c>
      <c r="S36" s="43">
        <v>25</v>
      </c>
      <c r="T36" s="32">
        <v>12.84</v>
      </c>
      <c r="U36" s="53">
        <f t="shared" ref="U36:U67" si="1">SUM(H36:T36)</f>
        <v>167.84</v>
      </c>
      <c r="V36" s="64" t="s">
        <v>65</v>
      </c>
      <c r="W36" s="2" t="s">
        <v>5</v>
      </c>
      <c r="X36" s="65" t="s">
        <v>17</v>
      </c>
      <c r="Y36" s="105"/>
      <c r="Z36" s="181"/>
    </row>
    <row r="37" spans="1:26" s="2" customFormat="1" ht="14.1" customHeight="1" x14ac:dyDescent="0.35">
      <c r="A37" s="247" t="s">
        <v>38</v>
      </c>
      <c r="B37" s="3" t="s">
        <v>165</v>
      </c>
      <c r="C37" s="4"/>
      <c r="D37" s="52">
        <v>9183101</v>
      </c>
      <c r="E37" s="98">
        <v>45187</v>
      </c>
      <c r="F37" s="44" t="s">
        <v>20</v>
      </c>
      <c r="G37" s="61">
        <v>45188</v>
      </c>
      <c r="H37" s="42"/>
      <c r="I37" s="28"/>
      <c r="J37" s="28"/>
      <c r="K37" s="28"/>
      <c r="L37" s="28"/>
      <c r="M37" s="42"/>
      <c r="N37" s="28"/>
      <c r="O37" s="42"/>
      <c r="P37" s="7"/>
      <c r="Q37" s="43"/>
      <c r="R37" s="42">
        <v>130</v>
      </c>
      <c r="S37" s="43">
        <v>25</v>
      </c>
      <c r="T37" s="32">
        <v>11.21</v>
      </c>
      <c r="U37" s="53">
        <f t="shared" si="1"/>
        <v>166.21</v>
      </c>
      <c r="V37" s="64" t="s">
        <v>65</v>
      </c>
      <c r="W37" s="2" t="s">
        <v>128</v>
      </c>
      <c r="X37" s="65" t="s">
        <v>17</v>
      </c>
      <c r="Y37" s="105"/>
      <c r="Z37" s="181"/>
    </row>
    <row r="38" spans="1:26" s="2" customFormat="1" ht="14.1" customHeight="1" x14ac:dyDescent="0.35">
      <c r="A38" s="257" t="s">
        <v>38</v>
      </c>
      <c r="B38" s="224" t="s">
        <v>62</v>
      </c>
      <c r="C38" s="239"/>
      <c r="D38" s="229">
        <v>3133101</v>
      </c>
      <c r="E38" s="185">
        <v>44998</v>
      </c>
      <c r="F38" s="188" t="s">
        <v>20</v>
      </c>
      <c r="G38" s="225">
        <v>44998</v>
      </c>
      <c r="H38" s="194"/>
      <c r="I38" s="191"/>
      <c r="J38" s="191"/>
      <c r="K38" s="191"/>
      <c r="L38" s="191"/>
      <c r="M38" s="194"/>
      <c r="N38" s="191"/>
      <c r="O38" s="194"/>
      <c r="P38" s="226"/>
      <c r="Q38" s="197"/>
      <c r="R38" s="194">
        <v>298</v>
      </c>
      <c r="S38" s="197">
        <v>62.5</v>
      </c>
      <c r="T38" s="200">
        <v>24.59</v>
      </c>
      <c r="U38" s="203">
        <f t="shared" si="1"/>
        <v>385.09</v>
      </c>
      <c r="V38" s="205" t="s">
        <v>65</v>
      </c>
      <c r="W38" s="227" t="s">
        <v>61</v>
      </c>
      <c r="X38" s="65" t="s">
        <v>17</v>
      </c>
      <c r="Y38" s="105"/>
      <c r="Z38" s="181"/>
    </row>
    <row r="39" spans="1:26" s="2" customFormat="1" ht="14.1" customHeight="1" x14ac:dyDescent="0.35">
      <c r="A39" s="257" t="s">
        <v>38</v>
      </c>
      <c r="B39" s="224" t="s">
        <v>62</v>
      </c>
      <c r="C39" s="239"/>
      <c r="D39" s="229">
        <v>4103101</v>
      </c>
      <c r="E39" s="185">
        <v>45026</v>
      </c>
      <c r="F39" s="188" t="s">
        <v>20</v>
      </c>
      <c r="G39" s="225">
        <v>45026</v>
      </c>
      <c r="H39" s="194"/>
      <c r="I39" s="191"/>
      <c r="J39" s="191"/>
      <c r="K39" s="191"/>
      <c r="L39" s="191"/>
      <c r="M39" s="194"/>
      <c r="N39" s="191"/>
      <c r="O39" s="194"/>
      <c r="P39" s="226"/>
      <c r="Q39" s="197"/>
      <c r="R39" s="194">
        <v>415</v>
      </c>
      <c r="S39" s="197">
        <v>62.5</v>
      </c>
      <c r="T39" s="200">
        <v>34.24</v>
      </c>
      <c r="U39" s="203">
        <f t="shared" si="1"/>
        <v>511.74</v>
      </c>
      <c r="V39" s="205" t="s">
        <v>65</v>
      </c>
      <c r="W39" s="227" t="s">
        <v>58</v>
      </c>
      <c r="X39" s="65" t="s">
        <v>17</v>
      </c>
      <c r="Y39" s="105"/>
      <c r="Z39" s="181"/>
    </row>
    <row r="40" spans="1:26" s="2" customFormat="1" ht="14.1" customHeight="1" x14ac:dyDescent="0.35">
      <c r="A40" s="257" t="s">
        <v>38</v>
      </c>
      <c r="B40" s="224" t="s">
        <v>62</v>
      </c>
      <c r="C40" s="239"/>
      <c r="D40" s="229">
        <v>6063102</v>
      </c>
      <c r="E40" s="185">
        <v>45083</v>
      </c>
      <c r="F40" s="188" t="s">
        <v>20</v>
      </c>
      <c r="G40" s="225">
        <v>45083</v>
      </c>
      <c r="H40" s="194"/>
      <c r="I40" s="191"/>
      <c r="J40" s="191"/>
      <c r="K40" s="191"/>
      <c r="L40" s="191"/>
      <c r="M40" s="194"/>
      <c r="N40" s="191"/>
      <c r="O40" s="194"/>
      <c r="P40" s="226"/>
      <c r="Q40" s="197"/>
      <c r="R40" s="194">
        <v>415</v>
      </c>
      <c r="S40" s="197">
        <v>62.5</v>
      </c>
      <c r="T40" s="200">
        <v>34.24</v>
      </c>
      <c r="U40" s="203">
        <f t="shared" si="1"/>
        <v>511.74</v>
      </c>
      <c r="V40" s="205" t="s">
        <v>65</v>
      </c>
      <c r="W40" s="227" t="s">
        <v>58</v>
      </c>
      <c r="X40" s="65" t="s">
        <v>17</v>
      </c>
      <c r="Y40" s="105"/>
      <c r="Z40" s="181"/>
    </row>
    <row r="41" spans="1:26" s="2" customFormat="1" ht="14.1" customHeight="1" x14ac:dyDescent="0.35">
      <c r="A41" s="256" t="s">
        <v>38</v>
      </c>
      <c r="B41" s="219" t="s">
        <v>62</v>
      </c>
      <c r="C41" s="232"/>
      <c r="D41" s="230">
        <v>7103102</v>
      </c>
      <c r="E41" s="186">
        <v>45117</v>
      </c>
      <c r="F41" s="189" t="s">
        <v>20</v>
      </c>
      <c r="G41" s="220">
        <v>45117</v>
      </c>
      <c r="H41" s="195"/>
      <c r="I41" s="193"/>
      <c r="J41" s="193"/>
      <c r="K41" s="193"/>
      <c r="L41" s="193"/>
      <c r="M41" s="195"/>
      <c r="N41" s="193"/>
      <c r="O41" s="195"/>
      <c r="P41" s="221"/>
      <c r="Q41" s="198"/>
      <c r="R41" s="195">
        <v>220</v>
      </c>
      <c r="S41" s="198">
        <v>50</v>
      </c>
      <c r="T41" s="201">
        <v>18.149999999999999</v>
      </c>
      <c r="U41" s="204">
        <f t="shared" si="1"/>
        <v>288.14999999999998</v>
      </c>
      <c r="V41" s="207" t="s">
        <v>65</v>
      </c>
      <c r="W41" s="223" t="s">
        <v>5</v>
      </c>
      <c r="X41" s="65" t="s">
        <v>17</v>
      </c>
      <c r="Y41" s="105"/>
      <c r="Z41" s="181"/>
    </row>
    <row r="42" spans="1:26" s="2" customFormat="1" ht="14.1" customHeight="1" x14ac:dyDescent="0.35">
      <c r="A42" s="255" t="s">
        <v>38</v>
      </c>
      <c r="B42" s="208" t="s">
        <v>62</v>
      </c>
      <c r="C42" s="231"/>
      <c r="D42" s="228">
        <v>8153102</v>
      </c>
      <c r="E42" s="184">
        <v>45153</v>
      </c>
      <c r="F42" s="187" t="s">
        <v>20</v>
      </c>
      <c r="G42" s="209">
        <v>45153</v>
      </c>
      <c r="H42" s="192"/>
      <c r="I42" s="190"/>
      <c r="J42" s="190"/>
      <c r="K42" s="190"/>
      <c r="L42" s="190"/>
      <c r="M42" s="192"/>
      <c r="N42" s="190"/>
      <c r="O42" s="192"/>
      <c r="P42" s="210"/>
      <c r="Q42" s="196"/>
      <c r="R42" s="192">
        <v>220</v>
      </c>
      <c r="S42" s="196">
        <v>50</v>
      </c>
      <c r="T42" s="199">
        <v>18.149999999999999</v>
      </c>
      <c r="U42" s="202">
        <f t="shared" si="1"/>
        <v>288.14999999999998</v>
      </c>
      <c r="V42" s="206" t="s">
        <v>65</v>
      </c>
      <c r="W42" s="218" t="s">
        <v>38</v>
      </c>
      <c r="X42" s="65" t="s">
        <v>17</v>
      </c>
      <c r="Y42" s="105"/>
      <c r="Z42" s="181"/>
    </row>
    <row r="43" spans="1:26" s="2" customFormat="1" ht="14.1" customHeight="1" x14ac:dyDescent="0.35">
      <c r="A43" s="183" t="s">
        <v>38</v>
      </c>
      <c r="B43" s="224" t="s">
        <v>63</v>
      </c>
      <c r="C43" s="239"/>
      <c r="D43" s="229">
        <v>2143103</v>
      </c>
      <c r="E43" s="185">
        <v>44971</v>
      </c>
      <c r="F43" s="188" t="s">
        <v>20</v>
      </c>
      <c r="G43" s="225">
        <v>44971</v>
      </c>
      <c r="H43" s="194"/>
      <c r="I43" s="191"/>
      <c r="J43" s="191"/>
      <c r="K43" s="191"/>
      <c r="L43" s="191"/>
      <c r="M43" s="194"/>
      <c r="N43" s="191"/>
      <c r="O43" s="194"/>
      <c r="P43" s="226"/>
      <c r="Q43" s="197"/>
      <c r="R43" s="194">
        <v>90</v>
      </c>
      <c r="S43" s="197">
        <v>10</v>
      </c>
      <c r="T43" s="200">
        <v>8.44</v>
      </c>
      <c r="U43" s="203">
        <f t="shared" si="1"/>
        <v>108.44</v>
      </c>
      <c r="V43" s="205" t="s">
        <v>30</v>
      </c>
      <c r="W43" s="227" t="s">
        <v>38</v>
      </c>
      <c r="X43" s="65" t="s">
        <v>17</v>
      </c>
      <c r="Y43" s="105"/>
      <c r="Z43" s="181"/>
    </row>
    <row r="44" spans="1:26" s="2" customFormat="1" ht="14.1" customHeight="1" x14ac:dyDescent="0.35">
      <c r="A44" s="256" t="s">
        <v>38</v>
      </c>
      <c r="B44" s="219" t="s">
        <v>63</v>
      </c>
      <c r="C44" s="232"/>
      <c r="D44" s="230">
        <v>7313111</v>
      </c>
      <c r="E44" s="186">
        <v>45138</v>
      </c>
      <c r="F44" s="189" t="s">
        <v>20</v>
      </c>
      <c r="G44" s="220">
        <v>45138</v>
      </c>
      <c r="H44" s="195"/>
      <c r="I44" s="193"/>
      <c r="J44" s="193"/>
      <c r="K44" s="193"/>
      <c r="L44" s="193"/>
      <c r="M44" s="195"/>
      <c r="N44" s="193"/>
      <c r="O44" s="195"/>
      <c r="P44" s="221"/>
      <c r="Q44" s="198"/>
      <c r="R44" s="195">
        <v>240</v>
      </c>
      <c r="S44" s="198">
        <v>50</v>
      </c>
      <c r="T44" s="201">
        <v>22.5</v>
      </c>
      <c r="U44" s="204">
        <f t="shared" si="1"/>
        <v>312.5</v>
      </c>
      <c r="V44" s="207" t="s">
        <v>65</v>
      </c>
      <c r="W44" s="223" t="s">
        <v>5</v>
      </c>
      <c r="X44" s="65" t="s">
        <v>17</v>
      </c>
      <c r="Y44" s="105"/>
      <c r="Z44" s="181"/>
    </row>
    <row r="45" spans="1:26" s="2" customFormat="1" ht="14.1" customHeight="1" x14ac:dyDescent="0.35">
      <c r="A45" s="247" t="s">
        <v>38</v>
      </c>
      <c r="B45" s="3" t="s">
        <v>178</v>
      </c>
      <c r="C45" s="4" t="s">
        <v>179</v>
      </c>
      <c r="D45" s="52">
        <v>9213101</v>
      </c>
      <c r="E45" s="98">
        <v>45190</v>
      </c>
      <c r="F45" s="44" t="s">
        <v>20</v>
      </c>
      <c r="G45" s="61">
        <v>45191</v>
      </c>
      <c r="H45" s="42"/>
      <c r="I45" s="28"/>
      <c r="J45" s="28"/>
      <c r="K45" s="28"/>
      <c r="L45" s="28"/>
      <c r="M45" s="42"/>
      <c r="N45" s="28"/>
      <c r="O45" s="42"/>
      <c r="P45" s="7"/>
      <c r="Q45" s="43"/>
      <c r="R45" s="42">
        <v>159</v>
      </c>
      <c r="S45" s="43"/>
      <c r="T45" s="32">
        <v>13.71</v>
      </c>
      <c r="U45" s="53">
        <f t="shared" si="1"/>
        <v>172.71</v>
      </c>
      <c r="V45" s="64" t="s">
        <v>33</v>
      </c>
      <c r="W45" s="2" t="s">
        <v>180</v>
      </c>
      <c r="X45" s="65" t="s">
        <v>17</v>
      </c>
      <c r="Y45" s="105"/>
      <c r="Z45" s="181"/>
    </row>
    <row r="46" spans="1:26" s="2" customFormat="1" ht="14.1" customHeight="1" x14ac:dyDescent="0.35">
      <c r="A46" s="247" t="s">
        <v>38</v>
      </c>
      <c r="B46" s="3" t="s">
        <v>178</v>
      </c>
      <c r="C46" s="4" t="s">
        <v>179</v>
      </c>
      <c r="D46" s="52">
        <v>9263102</v>
      </c>
      <c r="E46" s="98">
        <v>45195</v>
      </c>
      <c r="F46" s="44" t="s">
        <v>20</v>
      </c>
      <c r="G46" s="61">
        <v>45195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45</v>
      </c>
      <c r="S46" s="43"/>
      <c r="T46" s="32">
        <v>3.88</v>
      </c>
      <c r="U46" s="53">
        <f t="shared" si="1"/>
        <v>48.88</v>
      </c>
      <c r="V46" s="64" t="s">
        <v>33</v>
      </c>
      <c r="W46" s="2" t="s">
        <v>180</v>
      </c>
      <c r="X46" s="65" t="s">
        <v>17</v>
      </c>
      <c r="Y46" s="105"/>
      <c r="Z46" s="181"/>
    </row>
    <row r="47" spans="1:26" s="2" customFormat="1" ht="14.1" customHeight="1" x14ac:dyDescent="0.35">
      <c r="A47" s="247" t="s">
        <v>38</v>
      </c>
      <c r="B47" s="3" t="s">
        <v>154</v>
      </c>
      <c r="C47" s="4"/>
      <c r="D47" s="52">
        <v>9143102</v>
      </c>
      <c r="E47" s="98">
        <v>45183</v>
      </c>
      <c r="F47" s="44" t="s">
        <v>20</v>
      </c>
      <c r="G47" s="61">
        <v>45183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155</v>
      </c>
      <c r="S47" s="43">
        <v>37.5</v>
      </c>
      <c r="T47" s="32">
        <v>13.18</v>
      </c>
      <c r="U47" s="53">
        <f t="shared" si="1"/>
        <v>205.68</v>
      </c>
      <c r="V47" s="64" t="s">
        <v>65</v>
      </c>
      <c r="W47" s="2" t="s">
        <v>128</v>
      </c>
      <c r="X47" s="65" t="s">
        <v>17</v>
      </c>
      <c r="Y47" s="105"/>
      <c r="Z47" s="181"/>
    </row>
    <row r="48" spans="1:26" s="2" customFormat="1" ht="14.1" customHeight="1" x14ac:dyDescent="0.35">
      <c r="A48" s="247" t="s">
        <v>38</v>
      </c>
      <c r="B48" s="3" t="s">
        <v>188</v>
      </c>
      <c r="C48" s="4"/>
      <c r="D48" s="52">
        <v>9253107</v>
      </c>
      <c r="E48" s="98">
        <v>45194</v>
      </c>
      <c r="F48" s="44" t="s">
        <v>20</v>
      </c>
      <c r="G48" s="61">
        <v>45194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220</v>
      </c>
      <c r="S48" s="43">
        <v>50</v>
      </c>
      <c r="T48" s="32">
        <v>20.239999999999998</v>
      </c>
      <c r="U48" s="53">
        <f t="shared" si="1"/>
        <v>290.24</v>
      </c>
      <c r="V48" s="64" t="s">
        <v>65</v>
      </c>
      <c r="W48" s="2" t="s">
        <v>38</v>
      </c>
      <c r="X48" s="65" t="s">
        <v>17</v>
      </c>
      <c r="Y48" s="105"/>
      <c r="Z48" s="181"/>
    </row>
    <row r="49" spans="1:26" s="2" customFormat="1" ht="14.1" customHeight="1" x14ac:dyDescent="0.35">
      <c r="A49" s="255" t="s">
        <v>38</v>
      </c>
      <c r="B49" s="208" t="s">
        <v>107</v>
      </c>
      <c r="C49" s="231"/>
      <c r="D49" s="228">
        <v>8243101</v>
      </c>
      <c r="E49" s="184">
        <v>45162</v>
      </c>
      <c r="F49" s="187" t="s">
        <v>20</v>
      </c>
      <c r="G49" s="209">
        <v>45162</v>
      </c>
      <c r="H49" s="192"/>
      <c r="I49" s="190"/>
      <c r="J49" s="190"/>
      <c r="K49" s="190"/>
      <c r="L49" s="190"/>
      <c r="M49" s="192"/>
      <c r="N49" s="190"/>
      <c r="O49" s="192"/>
      <c r="P49" s="210"/>
      <c r="Q49" s="196"/>
      <c r="R49" s="192">
        <v>220</v>
      </c>
      <c r="S49" s="196">
        <v>50</v>
      </c>
      <c r="T49" s="199">
        <v>18.149999999999999</v>
      </c>
      <c r="U49" s="202">
        <f t="shared" si="1"/>
        <v>288.14999999999998</v>
      </c>
      <c r="V49" s="206" t="s">
        <v>65</v>
      </c>
      <c r="W49" s="218" t="s">
        <v>58</v>
      </c>
      <c r="X49" s="65" t="s">
        <v>17</v>
      </c>
      <c r="Y49" s="105"/>
      <c r="Z49" s="181"/>
    </row>
    <row r="50" spans="1:26" s="2" customFormat="1" ht="14.1" customHeight="1" x14ac:dyDescent="0.35">
      <c r="A50" s="255" t="s">
        <v>38</v>
      </c>
      <c r="B50" s="208" t="s">
        <v>114</v>
      </c>
      <c r="C50" s="231" t="s">
        <v>115</v>
      </c>
      <c r="D50" s="228">
        <v>8233102</v>
      </c>
      <c r="E50" s="184">
        <v>45161</v>
      </c>
      <c r="F50" s="187" t="s">
        <v>20</v>
      </c>
      <c r="G50" s="209">
        <v>45162</v>
      </c>
      <c r="H50" s="192"/>
      <c r="I50" s="190"/>
      <c r="J50" s="190"/>
      <c r="K50" s="190"/>
      <c r="L50" s="190"/>
      <c r="M50" s="192"/>
      <c r="N50" s="190"/>
      <c r="O50" s="192"/>
      <c r="P50" s="210"/>
      <c r="Q50" s="196"/>
      <c r="R50" s="192">
        <v>130</v>
      </c>
      <c r="S50" s="196">
        <v>25</v>
      </c>
      <c r="T50" s="199">
        <v>11.21</v>
      </c>
      <c r="U50" s="202">
        <f t="shared" si="1"/>
        <v>166.21</v>
      </c>
      <c r="V50" s="206" t="s">
        <v>65</v>
      </c>
      <c r="W50" s="218" t="s">
        <v>58</v>
      </c>
      <c r="X50" s="65" t="s">
        <v>17</v>
      </c>
      <c r="Y50" s="105"/>
      <c r="Z50" s="181"/>
    </row>
    <row r="51" spans="1:26" s="2" customFormat="1" ht="14.1" customHeight="1" x14ac:dyDescent="0.35">
      <c r="A51" s="256" t="s">
        <v>38</v>
      </c>
      <c r="B51" s="219" t="s">
        <v>88</v>
      </c>
      <c r="C51" s="232"/>
      <c r="D51" s="230">
        <v>7203105</v>
      </c>
      <c r="E51" s="186">
        <v>45127</v>
      </c>
      <c r="F51" s="189" t="s">
        <v>20</v>
      </c>
      <c r="G51" s="220">
        <v>45127</v>
      </c>
      <c r="H51" s="195"/>
      <c r="I51" s="193"/>
      <c r="J51" s="193"/>
      <c r="K51" s="193"/>
      <c r="L51" s="193"/>
      <c r="M51" s="195"/>
      <c r="N51" s="193"/>
      <c r="O51" s="195"/>
      <c r="P51" s="221"/>
      <c r="Q51" s="198"/>
      <c r="R51" s="195">
        <v>135</v>
      </c>
      <c r="S51" s="198">
        <v>12.5</v>
      </c>
      <c r="T51" s="201">
        <v>11.64</v>
      </c>
      <c r="U51" s="204">
        <f t="shared" si="1"/>
        <v>159.13999999999999</v>
      </c>
      <c r="V51" s="207" t="s">
        <v>7</v>
      </c>
      <c r="W51" s="223" t="s">
        <v>8</v>
      </c>
      <c r="X51" s="65" t="s">
        <v>17</v>
      </c>
      <c r="Y51" s="105"/>
      <c r="Z51" s="181"/>
    </row>
    <row r="52" spans="1:26" s="2" customFormat="1" ht="14.1" customHeight="1" x14ac:dyDescent="0.35">
      <c r="A52" s="247" t="s">
        <v>8</v>
      </c>
      <c r="B52" s="3" t="s">
        <v>88</v>
      </c>
      <c r="C52" s="4"/>
      <c r="D52" s="52">
        <v>9113067</v>
      </c>
      <c r="E52" s="98">
        <v>45180</v>
      </c>
      <c r="F52" s="44" t="s">
        <v>141</v>
      </c>
      <c r="G52" s="61">
        <v>45180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196</v>
      </c>
      <c r="S52" s="43">
        <v>20</v>
      </c>
      <c r="T52" s="32">
        <v>16.91</v>
      </c>
      <c r="U52" s="53">
        <f t="shared" si="1"/>
        <v>232.91</v>
      </c>
      <c r="V52" s="64" t="s">
        <v>68</v>
      </c>
      <c r="W52" s="2" t="s">
        <v>136</v>
      </c>
      <c r="X52" s="65" t="s">
        <v>17</v>
      </c>
      <c r="Y52" s="105"/>
      <c r="Z52" s="181"/>
    </row>
    <row r="53" spans="1:26" s="2" customFormat="1" ht="14.1" customHeight="1" x14ac:dyDescent="0.35">
      <c r="A53" s="247" t="s">
        <v>38</v>
      </c>
      <c r="B53" s="3" t="s">
        <v>148</v>
      </c>
      <c r="C53" s="4"/>
      <c r="D53" s="52">
        <v>9123105</v>
      </c>
      <c r="E53" s="98">
        <v>45181</v>
      </c>
      <c r="F53" s="44" t="s">
        <v>20</v>
      </c>
      <c r="G53" s="61">
        <v>45181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188</v>
      </c>
      <c r="S53" s="43">
        <v>37.5</v>
      </c>
      <c r="T53" s="32">
        <v>17.39</v>
      </c>
      <c r="U53" s="53">
        <f t="shared" si="1"/>
        <v>242.89</v>
      </c>
      <c r="V53" s="64" t="s">
        <v>7</v>
      </c>
      <c r="W53" s="2" t="s">
        <v>6</v>
      </c>
      <c r="X53" s="65" t="s">
        <v>17</v>
      </c>
      <c r="Y53" s="105"/>
      <c r="Z53" s="181"/>
    </row>
    <row r="54" spans="1:26" s="2" customFormat="1" ht="14.1" customHeight="1" x14ac:dyDescent="0.35">
      <c r="A54" s="247" t="s">
        <v>38</v>
      </c>
      <c r="B54" s="3" t="s">
        <v>149</v>
      </c>
      <c r="C54" s="4"/>
      <c r="D54" s="52">
        <v>9123111</v>
      </c>
      <c r="E54" s="98">
        <v>45181</v>
      </c>
      <c r="F54" s="44" t="s">
        <v>20</v>
      </c>
      <c r="G54" s="61">
        <v>45181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39</v>
      </c>
      <c r="S54" s="43">
        <v>12.5</v>
      </c>
      <c r="T54" s="32">
        <v>3.36</v>
      </c>
      <c r="U54" s="53">
        <f t="shared" si="1"/>
        <v>54.86</v>
      </c>
      <c r="V54" s="64" t="s">
        <v>65</v>
      </c>
      <c r="W54" s="2" t="s">
        <v>124</v>
      </c>
      <c r="X54" s="65" t="s">
        <v>17</v>
      </c>
      <c r="Y54" s="105"/>
      <c r="Z54" s="181"/>
    </row>
    <row r="55" spans="1:26" s="2" customFormat="1" ht="14.1" customHeight="1" thickBot="1" x14ac:dyDescent="0.4">
      <c r="A55" s="257" t="s">
        <v>38</v>
      </c>
      <c r="B55" s="224" t="s">
        <v>66</v>
      </c>
      <c r="C55" s="239"/>
      <c r="D55" s="229">
        <v>3093104</v>
      </c>
      <c r="E55" s="185">
        <v>44994</v>
      </c>
      <c r="F55" s="188" t="s">
        <v>20</v>
      </c>
      <c r="G55" s="225">
        <v>44995</v>
      </c>
      <c r="H55" s="194"/>
      <c r="I55" s="191"/>
      <c r="J55" s="191"/>
      <c r="K55" s="191"/>
      <c r="L55" s="191"/>
      <c r="M55" s="194"/>
      <c r="N55" s="191"/>
      <c r="O55" s="194"/>
      <c r="P55" s="226"/>
      <c r="Q55" s="197"/>
      <c r="R55" s="194">
        <v>39</v>
      </c>
      <c r="S55" s="197">
        <v>12.5</v>
      </c>
      <c r="T55" s="200">
        <v>4</v>
      </c>
      <c r="U55" s="203">
        <f t="shared" si="1"/>
        <v>55.5</v>
      </c>
      <c r="V55" s="205" t="s">
        <v>65</v>
      </c>
      <c r="W55" s="227" t="s">
        <v>58</v>
      </c>
      <c r="X55" s="65" t="s">
        <v>17</v>
      </c>
      <c r="Y55" s="105"/>
      <c r="Z55" s="181"/>
    </row>
    <row r="56" spans="1:26" s="2" customFormat="1" ht="14.1" customHeight="1" thickBot="1" x14ac:dyDescent="0.4">
      <c r="A56" s="263" t="s">
        <v>38</v>
      </c>
      <c r="B56" s="264" t="s">
        <v>91</v>
      </c>
      <c r="C56" s="265"/>
      <c r="D56" s="265">
        <v>7273103</v>
      </c>
      <c r="E56" s="266">
        <v>45134</v>
      </c>
      <c r="F56" s="267" t="s">
        <v>20</v>
      </c>
      <c r="G56" s="268">
        <v>45135</v>
      </c>
      <c r="H56" s="269"/>
      <c r="I56" s="269"/>
      <c r="J56" s="270"/>
      <c r="K56" s="270"/>
      <c r="L56" s="270"/>
      <c r="M56" s="269"/>
      <c r="N56" s="269"/>
      <c r="O56" s="269"/>
      <c r="P56" s="271"/>
      <c r="Q56" s="272"/>
      <c r="R56" s="269">
        <v>39</v>
      </c>
      <c r="S56" s="272">
        <v>12.5</v>
      </c>
      <c r="T56" s="273">
        <v>3.36</v>
      </c>
      <c r="U56" s="274">
        <f t="shared" si="1"/>
        <v>54.86</v>
      </c>
      <c r="V56" s="275" t="s">
        <v>65</v>
      </c>
      <c r="W56" s="276" t="s">
        <v>58</v>
      </c>
      <c r="X56" s="84" t="s">
        <v>17</v>
      </c>
      <c r="Y56" s="262"/>
      <c r="Z56" s="181"/>
    </row>
    <row r="57" spans="1:26" s="2" customFormat="1" ht="14.1" customHeight="1" x14ac:dyDescent="0.35">
      <c r="A57" s="247" t="s">
        <v>6</v>
      </c>
      <c r="B57" s="3" t="s">
        <v>164</v>
      </c>
      <c r="C57" s="4"/>
      <c r="D57" s="52">
        <v>9183062</v>
      </c>
      <c r="E57" s="98">
        <v>45187</v>
      </c>
      <c r="F57" s="44" t="s">
        <v>20</v>
      </c>
      <c r="G57" s="61">
        <v>45188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94</v>
      </c>
      <c r="S57" s="43"/>
      <c r="T57" s="32">
        <v>8.6999999999999993</v>
      </c>
      <c r="U57" s="53">
        <f t="shared" si="1"/>
        <v>102.7</v>
      </c>
      <c r="V57" s="64" t="s">
        <v>7</v>
      </c>
      <c r="W57" s="2" t="s">
        <v>6</v>
      </c>
      <c r="X57" s="65" t="s">
        <v>17</v>
      </c>
      <c r="Y57" s="105"/>
      <c r="Z57" s="181"/>
    </row>
    <row r="58" spans="1:26" s="2" customFormat="1" ht="14.1" customHeight="1" x14ac:dyDescent="0.35">
      <c r="A58" s="247" t="s">
        <v>38</v>
      </c>
      <c r="B58" s="3" t="s">
        <v>144</v>
      </c>
      <c r="C58" s="4" t="s">
        <v>145</v>
      </c>
      <c r="D58" s="52">
        <v>9123101</v>
      </c>
      <c r="E58" s="98">
        <v>45181</v>
      </c>
      <c r="F58" s="44" t="s">
        <v>20</v>
      </c>
      <c r="G58" s="61">
        <v>45181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130</v>
      </c>
      <c r="S58" s="43">
        <v>25</v>
      </c>
      <c r="T58" s="32">
        <v>10.89</v>
      </c>
      <c r="U58" s="53">
        <f t="shared" si="1"/>
        <v>165.89</v>
      </c>
      <c r="V58" s="64" t="s">
        <v>65</v>
      </c>
      <c r="W58" s="2" t="s">
        <v>5</v>
      </c>
      <c r="X58" s="65" t="s">
        <v>17</v>
      </c>
      <c r="Y58" s="105"/>
      <c r="Z58" s="181"/>
    </row>
    <row r="59" spans="1:26" s="2" customFormat="1" ht="14.1" customHeight="1" x14ac:dyDescent="0.35">
      <c r="A59" s="255" t="s">
        <v>38</v>
      </c>
      <c r="B59" s="208" t="s">
        <v>105</v>
      </c>
      <c r="C59" s="231"/>
      <c r="D59" s="228">
        <v>8143104</v>
      </c>
      <c r="E59" s="184">
        <v>45152</v>
      </c>
      <c r="F59" s="187" t="s">
        <v>20</v>
      </c>
      <c r="G59" s="209">
        <v>45152</v>
      </c>
      <c r="H59" s="192"/>
      <c r="I59" s="190"/>
      <c r="J59" s="190"/>
      <c r="K59" s="190"/>
      <c r="L59" s="190"/>
      <c r="M59" s="192"/>
      <c r="N59" s="190"/>
      <c r="O59" s="192"/>
      <c r="P59" s="210"/>
      <c r="Q59" s="196"/>
      <c r="R59" s="192">
        <v>220</v>
      </c>
      <c r="S59" s="196">
        <v>50</v>
      </c>
      <c r="T59" s="199">
        <v>17.05</v>
      </c>
      <c r="U59" s="202">
        <f t="shared" si="1"/>
        <v>287.05</v>
      </c>
      <c r="V59" s="206" t="s">
        <v>65</v>
      </c>
      <c r="W59" s="218" t="s">
        <v>38</v>
      </c>
      <c r="X59" s="65" t="s">
        <v>17</v>
      </c>
      <c r="Y59" s="105"/>
      <c r="Z59" s="181"/>
    </row>
    <row r="60" spans="1:26" s="2" customFormat="1" ht="14.1" customHeight="1" x14ac:dyDescent="0.35">
      <c r="A60" s="247" t="s">
        <v>38</v>
      </c>
      <c r="B60" s="3" t="s">
        <v>187</v>
      </c>
      <c r="C60" s="4"/>
      <c r="D60" s="52">
        <v>9253102</v>
      </c>
      <c r="E60" s="98">
        <v>45194</v>
      </c>
      <c r="F60" s="44" t="s">
        <v>20</v>
      </c>
      <c r="G60" s="61">
        <v>45194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65</v>
      </c>
      <c r="S60" s="43">
        <v>12.5</v>
      </c>
      <c r="T60" s="32">
        <v>5.53</v>
      </c>
      <c r="U60" s="53">
        <f t="shared" si="1"/>
        <v>83.03</v>
      </c>
      <c r="V60" s="64" t="s">
        <v>65</v>
      </c>
      <c r="W60" s="2" t="s">
        <v>38</v>
      </c>
      <c r="X60" s="65" t="s">
        <v>17</v>
      </c>
      <c r="Y60" s="105"/>
      <c r="Z60" s="181"/>
    </row>
    <row r="61" spans="1:26" s="2" customFormat="1" ht="14.1" customHeight="1" x14ac:dyDescent="0.35">
      <c r="A61" s="255" t="s">
        <v>37</v>
      </c>
      <c r="B61" s="208" t="s">
        <v>116</v>
      </c>
      <c r="C61" s="231" t="s">
        <v>117</v>
      </c>
      <c r="D61" s="228">
        <v>8253253</v>
      </c>
      <c r="E61" s="184">
        <v>45163</v>
      </c>
      <c r="F61" s="187" t="s">
        <v>102</v>
      </c>
      <c r="G61" s="209">
        <v>45166</v>
      </c>
      <c r="H61" s="192"/>
      <c r="I61" s="190"/>
      <c r="J61" s="190"/>
      <c r="K61" s="190"/>
      <c r="L61" s="190"/>
      <c r="M61" s="192"/>
      <c r="N61" s="190"/>
      <c r="O61" s="192"/>
      <c r="P61" s="210">
        <v>180</v>
      </c>
      <c r="Q61" s="196">
        <v>90</v>
      </c>
      <c r="R61" s="192"/>
      <c r="S61" s="196"/>
      <c r="T61" s="199"/>
      <c r="U61" s="202">
        <f t="shared" si="1"/>
        <v>270</v>
      </c>
      <c r="V61" s="206" t="s">
        <v>7</v>
      </c>
      <c r="W61" s="218" t="s">
        <v>37</v>
      </c>
      <c r="X61" s="65" t="s">
        <v>17</v>
      </c>
      <c r="Y61" s="105"/>
      <c r="Z61" s="181"/>
    </row>
    <row r="62" spans="1:26" s="2" customFormat="1" ht="14.1" customHeight="1" x14ac:dyDescent="0.35">
      <c r="A62" s="247" t="s">
        <v>37</v>
      </c>
      <c r="B62" s="3" t="s">
        <v>191</v>
      </c>
      <c r="C62" s="4" t="s">
        <v>192</v>
      </c>
      <c r="D62" s="52">
        <v>9263251</v>
      </c>
      <c r="E62" s="98">
        <v>45195</v>
      </c>
      <c r="F62" s="44" t="s">
        <v>193</v>
      </c>
      <c r="G62" s="61">
        <v>45195</v>
      </c>
      <c r="H62" s="42">
        <v>3512.67</v>
      </c>
      <c r="I62" s="28"/>
      <c r="J62" s="28">
        <v>1440</v>
      </c>
      <c r="K62" s="28"/>
      <c r="L62" s="28"/>
      <c r="M62" s="42"/>
      <c r="N62" s="28"/>
      <c r="O62" s="42"/>
      <c r="P62" s="7"/>
      <c r="Q62" s="43"/>
      <c r="R62" s="42"/>
      <c r="S62" s="43"/>
      <c r="T62" s="32">
        <v>377.61</v>
      </c>
      <c r="U62" s="53">
        <f t="shared" si="1"/>
        <v>5330.28</v>
      </c>
      <c r="V62" s="64" t="s">
        <v>7</v>
      </c>
      <c r="W62" s="2" t="s">
        <v>37</v>
      </c>
      <c r="X62" s="65" t="s">
        <v>17</v>
      </c>
      <c r="Y62" s="105"/>
      <c r="Z62" s="181"/>
    </row>
    <row r="63" spans="1:26" s="2" customFormat="1" ht="14.1" customHeight="1" x14ac:dyDescent="0.35">
      <c r="A63" s="247" t="s">
        <v>37</v>
      </c>
      <c r="B63" s="3" t="s">
        <v>191</v>
      </c>
      <c r="C63" s="4" t="s">
        <v>117</v>
      </c>
      <c r="D63" s="52">
        <v>9273253</v>
      </c>
      <c r="E63" s="98">
        <v>45196</v>
      </c>
      <c r="F63" s="44" t="s">
        <v>201</v>
      </c>
      <c r="G63" s="61">
        <v>45196</v>
      </c>
      <c r="H63" s="42"/>
      <c r="I63" s="28"/>
      <c r="J63" s="28"/>
      <c r="K63" s="28"/>
      <c r="L63" s="28"/>
      <c r="M63" s="42"/>
      <c r="N63" s="28"/>
      <c r="O63" s="42">
        <v>295</v>
      </c>
      <c r="P63" s="7">
        <v>180</v>
      </c>
      <c r="Q63" s="43">
        <v>90</v>
      </c>
      <c r="R63" s="42"/>
      <c r="S63" s="43"/>
      <c r="T63" s="32">
        <v>28.03</v>
      </c>
      <c r="U63" s="53">
        <f t="shared" si="1"/>
        <v>593.03</v>
      </c>
      <c r="V63" s="64" t="s">
        <v>7</v>
      </c>
      <c r="W63" s="2" t="s">
        <v>128</v>
      </c>
      <c r="X63" s="65" t="s">
        <v>17</v>
      </c>
      <c r="Y63" s="105"/>
      <c r="Z63" s="181"/>
    </row>
    <row r="64" spans="1:26" s="2" customFormat="1" ht="14.1" customHeight="1" x14ac:dyDescent="0.35">
      <c r="A64" s="256" t="s">
        <v>8</v>
      </c>
      <c r="B64" s="219" t="s">
        <v>93</v>
      </c>
      <c r="C64" s="232"/>
      <c r="D64" s="230">
        <v>7263051</v>
      </c>
      <c r="E64" s="186">
        <v>45133</v>
      </c>
      <c r="F64" s="189" t="s">
        <v>74</v>
      </c>
      <c r="G64" s="220">
        <v>45138</v>
      </c>
      <c r="H64" s="195"/>
      <c r="I64" s="193">
        <v>99</v>
      </c>
      <c r="J64" s="193"/>
      <c r="K64" s="193"/>
      <c r="L64" s="193"/>
      <c r="M64" s="195"/>
      <c r="N64" s="193"/>
      <c r="O64" s="195"/>
      <c r="P64" s="221"/>
      <c r="Q64" s="198"/>
      <c r="R64" s="195"/>
      <c r="S64" s="198"/>
      <c r="T64" s="201">
        <v>8.42</v>
      </c>
      <c r="U64" s="204">
        <f t="shared" si="1"/>
        <v>107.42</v>
      </c>
      <c r="V64" s="207" t="s">
        <v>25</v>
      </c>
      <c r="W64" s="223" t="s">
        <v>8</v>
      </c>
      <c r="X64" s="65" t="s">
        <v>17</v>
      </c>
      <c r="Y64" s="105"/>
      <c r="Z64" s="181"/>
    </row>
    <row r="65" spans="1:28" s="2" customFormat="1" ht="14.1" customHeight="1" x14ac:dyDescent="0.35">
      <c r="A65" s="255" t="s">
        <v>8</v>
      </c>
      <c r="B65" s="208" t="s">
        <v>93</v>
      </c>
      <c r="C65" s="231"/>
      <c r="D65" s="228">
        <v>8263051</v>
      </c>
      <c r="E65" s="184">
        <v>45164</v>
      </c>
      <c r="F65" s="187" t="s">
        <v>119</v>
      </c>
      <c r="G65" s="209">
        <v>45166</v>
      </c>
      <c r="H65" s="192">
        <v>99</v>
      </c>
      <c r="I65" s="190"/>
      <c r="J65" s="190"/>
      <c r="K65" s="190"/>
      <c r="L65" s="190"/>
      <c r="M65" s="192"/>
      <c r="N65" s="190"/>
      <c r="O65" s="192"/>
      <c r="P65" s="210"/>
      <c r="Q65" s="196"/>
      <c r="R65" s="192"/>
      <c r="S65" s="196"/>
      <c r="T65" s="199">
        <v>8.42</v>
      </c>
      <c r="U65" s="202">
        <f t="shared" si="1"/>
        <v>107.42</v>
      </c>
      <c r="V65" s="206" t="s">
        <v>7</v>
      </c>
      <c r="W65" s="218" t="s">
        <v>8</v>
      </c>
      <c r="X65" s="65" t="s">
        <v>17</v>
      </c>
      <c r="Y65" s="105"/>
      <c r="Z65" s="181"/>
    </row>
    <row r="66" spans="1:28" s="2" customFormat="1" ht="14.1" customHeight="1" x14ac:dyDescent="0.35">
      <c r="A66" s="247" t="s">
        <v>8</v>
      </c>
      <c r="B66" s="3" t="s">
        <v>93</v>
      </c>
      <c r="C66" s="4"/>
      <c r="D66" s="52">
        <v>9263051</v>
      </c>
      <c r="E66" s="98">
        <v>45195</v>
      </c>
      <c r="F66" s="44" t="s">
        <v>197</v>
      </c>
      <c r="G66" s="61">
        <v>45197</v>
      </c>
      <c r="H66" s="42">
        <v>99</v>
      </c>
      <c r="I66" s="28"/>
      <c r="J66" s="28"/>
      <c r="K66" s="28"/>
      <c r="L66" s="28"/>
      <c r="M66" s="42"/>
      <c r="N66" s="28"/>
      <c r="O66" s="42"/>
      <c r="P66" s="7"/>
      <c r="Q66" s="43"/>
      <c r="R66" s="42"/>
      <c r="S66" s="43"/>
      <c r="T66" s="32">
        <v>8.42</v>
      </c>
      <c r="U66" s="53">
        <f t="shared" si="1"/>
        <v>107.42</v>
      </c>
      <c r="V66" s="64" t="s">
        <v>7</v>
      </c>
      <c r="W66" s="2" t="s">
        <v>8</v>
      </c>
      <c r="X66" s="65" t="s">
        <v>17</v>
      </c>
      <c r="Y66" s="105"/>
      <c r="Z66" s="181"/>
    </row>
    <row r="67" spans="1:28" s="2" customFormat="1" ht="14.1" customHeight="1" x14ac:dyDescent="0.35">
      <c r="A67" s="256" t="s">
        <v>38</v>
      </c>
      <c r="B67" s="219" t="s">
        <v>100</v>
      </c>
      <c r="C67" s="232"/>
      <c r="D67" s="230">
        <v>7273101</v>
      </c>
      <c r="E67" s="186">
        <v>45134</v>
      </c>
      <c r="F67" s="189" t="s">
        <v>20</v>
      </c>
      <c r="G67" s="220">
        <v>45134</v>
      </c>
      <c r="H67" s="195"/>
      <c r="I67" s="193"/>
      <c r="J67" s="193"/>
      <c r="K67" s="193"/>
      <c r="L67" s="193"/>
      <c r="M67" s="195"/>
      <c r="N67" s="193"/>
      <c r="O67" s="195"/>
      <c r="P67" s="221"/>
      <c r="Q67" s="198"/>
      <c r="R67" s="195">
        <v>-145</v>
      </c>
      <c r="S67" s="198">
        <v>-37.5</v>
      </c>
      <c r="T67" s="201">
        <v>-14.86</v>
      </c>
      <c r="U67" s="204">
        <f t="shared" si="1"/>
        <v>-197.36</v>
      </c>
      <c r="V67" s="207" t="s">
        <v>65</v>
      </c>
      <c r="W67" s="223" t="s">
        <v>58</v>
      </c>
      <c r="X67" s="65" t="s">
        <v>17</v>
      </c>
      <c r="Y67" s="105"/>
      <c r="Z67" s="105"/>
      <c r="AA67" s="105"/>
      <c r="AB67" s="105"/>
    </row>
    <row r="68" spans="1:28" s="2" customFormat="1" ht="14.1" customHeight="1" x14ac:dyDescent="0.35">
      <c r="A68" s="247" t="s">
        <v>38</v>
      </c>
      <c r="B68" s="3" t="s">
        <v>133</v>
      </c>
      <c r="C68" s="4"/>
      <c r="D68" s="52">
        <v>9013106</v>
      </c>
      <c r="E68" s="98">
        <v>45170</v>
      </c>
      <c r="F68" s="44" t="s">
        <v>20</v>
      </c>
      <c r="G68" s="61">
        <v>45174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135</v>
      </c>
      <c r="S68" s="43">
        <v>25</v>
      </c>
      <c r="T68" s="32">
        <v>12.99</v>
      </c>
      <c r="U68" s="53">
        <f t="shared" ref="U68:U99" si="2">SUM(H68:T68)</f>
        <v>172.99</v>
      </c>
      <c r="V68" s="64" t="s">
        <v>7</v>
      </c>
      <c r="W68" s="2" t="s">
        <v>61</v>
      </c>
      <c r="X68" s="65" t="s">
        <v>17</v>
      </c>
      <c r="Y68" s="105"/>
      <c r="Z68" s="181"/>
    </row>
    <row r="69" spans="1:28" s="2" customFormat="1" ht="14.1" customHeight="1" x14ac:dyDescent="0.35">
      <c r="A69" s="256" t="s">
        <v>38</v>
      </c>
      <c r="B69" s="219" t="s">
        <v>86</v>
      </c>
      <c r="C69" s="232"/>
      <c r="D69" s="230">
        <v>7203104</v>
      </c>
      <c r="E69" s="186">
        <v>45127</v>
      </c>
      <c r="F69" s="189" t="s">
        <v>20</v>
      </c>
      <c r="G69" s="220">
        <v>45127</v>
      </c>
      <c r="H69" s="195"/>
      <c r="I69" s="193"/>
      <c r="J69" s="193"/>
      <c r="K69" s="193"/>
      <c r="L69" s="193"/>
      <c r="M69" s="195"/>
      <c r="N69" s="193"/>
      <c r="O69" s="195"/>
      <c r="P69" s="221"/>
      <c r="Q69" s="198"/>
      <c r="R69" s="195">
        <v>29</v>
      </c>
      <c r="S69" s="198"/>
      <c r="T69" s="201">
        <v>2.68</v>
      </c>
      <c r="U69" s="204">
        <f t="shared" si="2"/>
        <v>31.68</v>
      </c>
      <c r="V69" s="207" t="s">
        <v>33</v>
      </c>
      <c r="W69" s="223" t="s">
        <v>87</v>
      </c>
      <c r="X69" s="65" t="s">
        <v>17</v>
      </c>
      <c r="Y69" s="105"/>
      <c r="Z69" s="181"/>
    </row>
    <row r="70" spans="1:28" s="2" customFormat="1" ht="14.1" customHeight="1" x14ac:dyDescent="0.35">
      <c r="A70" s="247" t="s">
        <v>38</v>
      </c>
      <c r="B70" s="3" t="s">
        <v>196</v>
      </c>
      <c r="C70" s="4"/>
      <c r="D70" s="52">
        <v>9273101</v>
      </c>
      <c r="E70" s="98">
        <v>45196</v>
      </c>
      <c r="F70" s="44" t="s">
        <v>20</v>
      </c>
      <c r="G70" s="61">
        <v>45196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149</v>
      </c>
      <c r="S70" s="43">
        <v>37.5</v>
      </c>
      <c r="T70" s="32">
        <v>12.85</v>
      </c>
      <c r="U70" s="53">
        <f t="shared" si="2"/>
        <v>199.35</v>
      </c>
      <c r="V70" s="64" t="s">
        <v>65</v>
      </c>
      <c r="W70" s="2" t="s">
        <v>128</v>
      </c>
      <c r="X70" s="65" t="s">
        <v>17</v>
      </c>
      <c r="Y70" s="105"/>
      <c r="Z70" s="181"/>
    </row>
    <row r="71" spans="1:28" s="2" customFormat="1" ht="14.1" customHeight="1" x14ac:dyDescent="0.35">
      <c r="A71" s="257" t="s">
        <v>38</v>
      </c>
      <c r="B71" s="224" t="s">
        <v>77</v>
      </c>
      <c r="C71" s="239"/>
      <c r="D71" s="229">
        <v>6263103</v>
      </c>
      <c r="E71" s="185">
        <v>45103</v>
      </c>
      <c r="F71" s="188" t="s">
        <v>20</v>
      </c>
      <c r="G71" s="225">
        <v>45103</v>
      </c>
      <c r="H71" s="194"/>
      <c r="I71" s="191"/>
      <c r="J71" s="191"/>
      <c r="K71" s="191"/>
      <c r="L71" s="191"/>
      <c r="M71" s="194"/>
      <c r="N71" s="191"/>
      <c r="O71" s="194"/>
      <c r="P71" s="226"/>
      <c r="Q71" s="197"/>
      <c r="R71" s="194">
        <v>204</v>
      </c>
      <c r="S71" s="197">
        <v>50</v>
      </c>
      <c r="T71" s="200">
        <v>18.36</v>
      </c>
      <c r="U71" s="203">
        <f t="shared" si="2"/>
        <v>272.36</v>
      </c>
      <c r="V71" s="205" t="s">
        <v>65</v>
      </c>
      <c r="W71" s="227" t="s">
        <v>5</v>
      </c>
      <c r="X71" s="65" t="s">
        <v>17</v>
      </c>
      <c r="Y71" s="105"/>
      <c r="Z71" s="181"/>
    </row>
    <row r="72" spans="1:28" s="2" customFormat="1" ht="14.1" customHeight="1" x14ac:dyDescent="0.35">
      <c r="A72" s="255" t="s">
        <v>38</v>
      </c>
      <c r="B72" s="208" t="s">
        <v>95</v>
      </c>
      <c r="C72" s="231"/>
      <c r="D72" s="228">
        <v>8033102</v>
      </c>
      <c r="E72" s="184">
        <v>45141</v>
      </c>
      <c r="F72" s="187" t="s">
        <v>20</v>
      </c>
      <c r="G72" s="209">
        <v>45141</v>
      </c>
      <c r="H72" s="192"/>
      <c r="I72" s="190"/>
      <c r="J72" s="190"/>
      <c r="K72" s="190"/>
      <c r="L72" s="190"/>
      <c r="M72" s="192"/>
      <c r="N72" s="190"/>
      <c r="O72" s="192"/>
      <c r="P72" s="210"/>
      <c r="Q72" s="196"/>
      <c r="R72" s="192">
        <v>260</v>
      </c>
      <c r="S72" s="196">
        <v>50</v>
      </c>
      <c r="T72" s="199">
        <v>25.35</v>
      </c>
      <c r="U72" s="202">
        <f t="shared" si="2"/>
        <v>335.35</v>
      </c>
      <c r="V72" s="206" t="s">
        <v>65</v>
      </c>
      <c r="W72" s="218" t="s">
        <v>38</v>
      </c>
      <c r="X72" s="65" t="s">
        <v>17</v>
      </c>
      <c r="Y72" s="105"/>
      <c r="Z72" s="181"/>
    </row>
    <row r="73" spans="1:28" s="2" customFormat="1" ht="14.1" customHeight="1" x14ac:dyDescent="0.35">
      <c r="A73" s="247" t="s">
        <v>38</v>
      </c>
      <c r="B73" s="3" t="s">
        <v>185</v>
      </c>
      <c r="C73" s="4"/>
      <c r="D73" s="52">
        <v>9223103</v>
      </c>
      <c r="E73" s="98">
        <v>45191</v>
      </c>
      <c r="F73" s="44" t="s">
        <v>20</v>
      </c>
      <c r="G73" s="61">
        <v>45194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505</v>
      </c>
      <c r="S73" s="43">
        <v>112.5</v>
      </c>
      <c r="T73" s="32">
        <v>46.71</v>
      </c>
      <c r="U73" s="53">
        <f t="shared" si="2"/>
        <v>664.21</v>
      </c>
      <c r="V73" s="64" t="s">
        <v>65</v>
      </c>
      <c r="W73" s="2" t="s">
        <v>58</v>
      </c>
      <c r="X73" s="65" t="s">
        <v>186</v>
      </c>
      <c r="Y73" s="105"/>
      <c r="Z73" s="181"/>
    </row>
    <row r="74" spans="1:28" s="2" customFormat="1" ht="14.1" customHeight="1" x14ac:dyDescent="0.35">
      <c r="A74" s="255" t="s">
        <v>38</v>
      </c>
      <c r="B74" s="208" t="s">
        <v>109</v>
      </c>
      <c r="C74" s="231" t="s">
        <v>110</v>
      </c>
      <c r="D74" s="228">
        <v>8153101</v>
      </c>
      <c r="E74" s="184">
        <v>45153</v>
      </c>
      <c r="F74" s="187" t="s">
        <v>20</v>
      </c>
      <c r="G74" s="209">
        <v>45156</v>
      </c>
      <c r="H74" s="192"/>
      <c r="I74" s="190"/>
      <c r="J74" s="190"/>
      <c r="K74" s="190"/>
      <c r="L74" s="190"/>
      <c r="M74" s="192"/>
      <c r="N74" s="190"/>
      <c r="O74" s="192"/>
      <c r="P74" s="210"/>
      <c r="Q74" s="196"/>
      <c r="R74" s="192">
        <v>149</v>
      </c>
      <c r="S74" s="196"/>
      <c r="T74" s="199">
        <v>13.78</v>
      </c>
      <c r="U74" s="202">
        <f t="shared" si="2"/>
        <v>162.78</v>
      </c>
      <c r="V74" s="206" t="s">
        <v>65</v>
      </c>
      <c r="W74" s="218" t="s">
        <v>58</v>
      </c>
      <c r="X74" s="65" t="s">
        <v>17</v>
      </c>
      <c r="Y74" s="105"/>
      <c r="Z74" s="181"/>
    </row>
    <row r="75" spans="1:28" s="2" customFormat="1" ht="14.1" customHeight="1" x14ac:dyDescent="0.35">
      <c r="A75" s="256" t="s">
        <v>38</v>
      </c>
      <c r="B75" s="219" t="s">
        <v>80</v>
      </c>
      <c r="C75" s="232"/>
      <c r="D75" s="230">
        <v>7103107</v>
      </c>
      <c r="E75" s="186">
        <v>45117</v>
      </c>
      <c r="F75" s="189" t="s">
        <v>20</v>
      </c>
      <c r="G75" s="220">
        <v>45117</v>
      </c>
      <c r="H75" s="195"/>
      <c r="I75" s="193"/>
      <c r="J75" s="193"/>
      <c r="K75" s="193"/>
      <c r="L75" s="193"/>
      <c r="M75" s="195"/>
      <c r="N75" s="193"/>
      <c r="O75" s="195"/>
      <c r="P75" s="221"/>
      <c r="Q75" s="198"/>
      <c r="R75" s="195">
        <v>130</v>
      </c>
      <c r="S75" s="198">
        <v>25</v>
      </c>
      <c r="T75" s="201">
        <v>10.08</v>
      </c>
      <c r="U75" s="204">
        <f t="shared" si="2"/>
        <v>165.08</v>
      </c>
      <c r="V75" s="207" t="s">
        <v>65</v>
      </c>
      <c r="W75" s="223" t="s">
        <v>5</v>
      </c>
      <c r="X75" s="65" t="s">
        <v>17</v>
      </c>
      <c r="Y75" s="105"/>
      <c r="Z75" s="181"/>
    </row>
    <row r="76" spans="1:28" s="2" customFormat="1" ht="14.1" customHeight="1" x14ac:dyDescent="0.35">
      <c r="A76" s="247" t="s">
        <v>38</v>
      </c>
      <c r="B76" s="3" t="s">
        <v>146</v>
      </c>
      <c r="C76" s="4" t="s">
        <v>127</v>
      </c>
      <c r="D76" s="52">
        <v>9123103</v>
      </c>
      <c r="E76" s="98">
        <v>45181</v>
      </c>
      <c r="F76" s="44" t="s">
        <v>20</v>
      </c>
      <c r="G76" s="61">
        <v>45181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225</v>
      </c>
      <c r="S76" s="43">
        <v>62.5</v>
      </c>
      <c r="T76" s="32">
        <v>19.41</v>
      </c>
      <c r="U76" s="53">
        <f t="shared" si="2"/>
        <v>306.91000000000003</v>
      </c>
      <c r="V76" s="64" t="s">
        <v>65</v>
      </c>
      <c r="W76" s="2" t="s">
        <v>5</v>
      </c>
      <c r="X76" s="65" t="s">
        <v>17</v>
      </c>
      <c r="Y76" s="105"/>
      <c r="Z76" s="181"/>
    </row>
    <row r="77" spans="1:28" s="2" customFormat="1" ht="14.1" customHeight="1" x14ac:dyDescent="0.35">
      <c r="A77" s="247" t="s">
        <v>5</v>
      </c>
      <c r="B77" s="3" t="s">
        <v>138</v>
      </c>
      <c r="C77" s="4"/>
      <c r="D77" s="52">
        <v>9113065</v>
      </c>
      <c r="E77" s="98">
        <v>45180</v>
      </c>
      <c r="F77" s="44" t="s">
        <v>139</v>
      </c>
      <c r="G77" s="61">
        <v>45180</v>
      </c>
      <c r="H77" s="42">
        <v>41500</v>
      </c>
      <c r="I77" s="28"/>
      <c r="J77" s="28"/>
      <c r="K77" s="28"/>
      <c r="L77" s="28"/>
      <c r="M77" s="42"/>
      <c r="N77" s="28"/>
      <c r="O77" s="42"/>
      <c r="P77" s="7"/>
      <c r="Q77" s="43"/>
      <c r="R77" s="42"/>
      <c r="S77" s="43">
        <v>475</v>
      </c>
      <c r="T77" s="32">
        <v>3942.5</v>
      </c>
      <c r="U77" s="53">
        <f t="shared" si="2"/>
        <v>45917.5</v>
      </c>
      <c r="V77" s="64" t="s">
        <v>68</v>
      </c>
      <c r="W77" s="2" t="s">
        <v>140</v>
      </c>
      <c r="X77" s="65" t="s">
        <v>17</v>
      </c>
      <c r="Y77" s="105"/>
      <c r="Z77" s="181"/>
    </row>
    <row r="78" spans="1:28" s="2" customFormat="1" ht="14.1" customHeight="1" x14ac:dyDescent="0.35">
      <c r="A78" s="247" t="s">
        <v>5</v>
      </c>
      <c r="B78" s="3" t="s">
        <v>138</v>
      </c>
      <c r="C78" s="4"/>
      <c r="D78" s="52">
        <v>9273065</v>
      </c>
      <c r="E78" s="98">
        <v>45196</v>
      </c>
      <c r="F78" s="44" t="s">
        <v>195</v>
      </c>
      <c r="G78" s="61">
        <v>45196</v>
      </c>
      <c r="H78" s="42">
        <v>2160</v>
      </c>
      <c r="I78" s="28"/>
      <c r="J78" s="28"/>
      <c r="K78" s="28"/>
      <c r="L78" s="28"/>
      <c r="M78" s="42"/>
      <c r="N78" s="28"/>
      <c r="O78" s="42"/>
      <c r="P78" s="7"/>
      <c r="Q78" s="43"/>
      <c r="R78" s="42"/>
      <c r="S78" s="43">
        <v>36</v>
      </c>
      <c r="T78" s="32">
        <v>205.2</v>
      </c>
      <c r="U78" s="53">
        <f t="shared" si="2"/>
        <v>2401.1999999999998</v>
      </c>
      <c r="V78" s="64" t="s">
        <v>68</v>
      </c>
      <c r="W78" s="2" t="s">
        <v>5</v>
      </c>
      <c r="X78" s="65" t="s">
        <v>17</v>
      </c>
      <c r="Y78" s="105"/>
      <c r="Z78" s="181"/>
    </row>
    <row r="79" spans="1:28" s="2" customFormat="1" ht="14.1" customHeight="1" x14ac:dyDescent="0.35">
      <c r="A79" s="247" t="s">
        <v>38</v>
      </c>
      <c r="B79" s="3" t="s">
        <v>176</v>
      </c>
      <c r="C79" s="4"/>
      <c r="D79" s="52">
        <v>9203101</v>
      </c>
      <c r="E79" s="98">
        <v>45189</v>
      </c>
      <c r="F79" s="44" t="s">
        <v>20</v>
      </c>
      <c r="G79" s="61">
        <v>45189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90</v>
      </c>
      <c r="S79" s="43">
        <v>25</v>
      </c>
      <c r="T79" s="32">
        <v>8.33</v>
      </c>
      <c r="U79" s="53">
        <f t="shared" si="2"/>
        <v>123.33</v>
      </c>
      <c r="V79" s="64" t="s">
        <v>65</v>
      </c>
      <c r="W79" s="2" t="s">
        <v>38</v>
      </c>
      <c r="X79" s="65" t="s">
        <v>17</v>
      </c>
      <c r="Y79" s="105"/>
      <c r="Z79" s="181"/>
    </row>
    <row r="80" spans="1:28" s="2" customFormat="1" ht="14.1" customHeight="1" x14ac:dyDescent="0.35">
      <c r="A80" s="255" t="s">
        <v>38</v>
      </c>
      <c r="B80" s="208" t="s">
        <v>118</v>
      </c>
      <c r="C80" s="231" t="s">
        <v>67</v>
      </c>
      <c r="D80" s="228">
        <v>8253104</v>
      </c>
      <c r="E80" s="184">
        <v>45163</v>
      </c>
      <c r="F80" s="187" t="s">
        <v>20</v>
      </c>
      <c r="G80" s="209">
        <v>45166</v>
      </c>
      <c r="H80" s="192"/>
      <c r="I80" s="190"/>
      <c r="J80" s="190"/>
      <c r="K80" s="190"/>
      <c r="L80" s="190"/>
      <c r="M80" s="192"/>
      <c r="N80" s="190"/>
      <c r="O80" s="192"/>
      <c r="P80" s="210"/>
      <c r="Q80" s="196"/>
      <c r="R80" s="192">
        <v>45</v>
      </c>
      <c r="S80" s="196">
        <v>12.5</v>
      </c>
      <c r="T80" s="199">
        <v>3.94</v>
      </c>
      <c r="U80" s="202">
        <f t="shared" si="2"/>
        <v>61.44</v>
      </c>
      <c r="V80" s="206" t="s">
        <v>65</v>
      </c>
      <c r="W80" s="218" t="s">
        <v>5</v>
      </c>
      <c r="X80" s="65" t="s">
        <v>17</v>
      </c>
      <c r="Y80" s="105"/>
      <c r="Z80" s="181"/>
    </row>
    <row r="81" spans="1:26" s="2" customFormat="1" ht="14.1" customHeight="1" x14ac:dyDescent="0.35">
      <c r="A81" s="247" t="s">
        <v>38</v>
      </c>
      <c r="B81" s="3" t="s">
        <v>156</v>
      </c>
      <c r="C81" s="4"/>
      <c r="D81" s="52">
        <v>9143104</v>
      </c>
      <c r="E81" s="98">
        <v>45183</v>
      </c>
      <c r="F81" s="44" t="s">
        <v>20</v>
      </c>
      <c r="G81" s="61">
        <v>45184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143</v>
      </c>
      <c r="S81" s="43">
        <v>25</v>
      </c>
      <c r="T81" s="32">
        <v>14.66</v>
      </c>
      <c r="U81" s="53">
        <f t="shared" si="2"/>
        <v>182.66</v>
      </c>
      <c r="V81" s="64" t="s">
        <v>65</v>
      </c>
      <c r="W81" s="2" t="s">
        <v>5</v>
      </c>
      <c r="X81" s="65" t="s">
        <v>17</v>
      </c>
      <c r="Y81" s="105"/>
      <c r="Z81" s="181"/>
    </row>
    <row r="82" spans="1:26" s="2" customFormat="1" ht="14.1" customHeight="1" x14ac:dyDescent="0.35">
      <c r="A82" s="247" t="s">
        <v>38</v>
      </c>
      <c r="B82" s="3" t="s">
        <v>157</v>
      </c>
      <c r="C82" s="4"/>
      <c r="D82" s="52">
        <v>9153063</v>
      </c>
      <c r="E82" s="98">
        <v>45184</v>
      </c>
      <c r="F82" s="44" t="s">
        <v>20</v>
      </c>
      <c r="G82" s="61">
        <v>45184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149</v>
      </c>
      <c r="S82" s="43">
        <v>37.5</v>
      </c>
      <c r="T82" s="32">
        <v>12.29</v>
      </c>
      <c r="U82" s="53">
        <f t="shared" si="2"/>
        <v>198.79</v>
      </c>
      <c r="V82" s="64" t="s">
        <v>65</v>
      </c>
      <c r="W82" s="2" t="s">
        <v>5</v>
      </c>
      <c r="X82" s="65" t="s">
        <v>17</v>
      </c>
      <c r="Y82" s="105"/>
      <c r="Z82" s="181"/>
    </row>
    <row r="83" spans="1:26" s="2" customFormat="1" ht="14.1" customHeight="1" x14ac:dyDescent="0.35">
      <c r="A83" s="256" t="s">
        <v>38</v>
      </c>
      <c r="B83" s="219" t="s">
        <v>83</v>
      </c>
      <c r="C83" s="232"/>
      <c r="D83" s="230">
        <v>7103109</v>
      </c>
      <c r="E83" s="186">
        <v>45117</v>
      </c>
      <c r="F83" s="189" t="s">
        <v>20</v>
      </c>
      <c r="G83" s="220">
        <v>45118</v>
      </c>
      <c r="H83" s="195"/>
      <c r="I83" s="193"/>
      <c r="J83" s="193"/>
      <c r="K83" s="193"/>
      <c r="L83" s="193"/>
      <c r="M83" s="195"/>
      <c r="N83" s="193"/>
      <c r="O83" s="195"/>
      <c r="P83" s="221"/>
      <c r="Q83" s="198"/>
      <c r="R83" s="195">
        <v>292</v>
      </c>
      <c r="S83" s="198">
        <v>50</v>
      </c>
      <c r="T83" s="201">
        <v>27.01</v>
      </c>
      <c r="U83" s="204">
        <f t="shared" si="2"/>
        <v>369.01</v>
      </c>
      <c r="V83" s="207" t="s">
        <v>65</v>
      </c>
      <c r="W83" s="223" t="s">
        <v>38</v>
      </c>
      <c r="X83" s="65" t="s">
        <v>17</v>
      </c>
      <c r="Y83" s="105"/>
      <c r="Z83" s="181"/>
    </row>
    <row r="84" spans="1:26" s="2" customFormat="1" ht="14.1" customHeight="1" x14ac:dyDescent="0.35">
      <c r="A84" s="247" t="s">
        <v>38</v>
      </c>
      <c r="B84" s="3" t="s">
        <v>83</v>
      </c>
      <c r="C84" s="4"/>
      <c r="D84" s="52">
        <v>9223104</v>
      </c>
      <c r="E84" s="98">
        <v>45191</v>
      </c>
      <c r="F84" s="44" t="s">
        <v>20</v>
      </c>
      <c r="G84" s="61">
        <v>45196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557</v>
      </c>
      <c r="S84" s="43">
        <v>112.5</v>
      </c>
      <c r="T84" s="32">
        <v>51.52</v>
      </c>
      <c r="U84" s="53">
        <f t="shared" si="2"/>
        <v>721.02</v>
      </c>
      <c r="V84" s="64" t="s">
        <v>65</v>
      </c>
      <c r="W84" s="2" t="s">
        <v>128</v>
      </c>
      <c r="X84" s="65" t="s">
        <v>17</v>
      </c>
      <c r="Y84" s="105"/>
      <c r="Z84" s="181"/>
    </row>
    <row r="85" spans="1:26" s="2" customFormat="1" ht="14.1" customHeight="1" x14ac:dyDescent="0.35">
      <c r="A85" s="247" t="s">
        <v>38</v>
      </c>
      <c r="B85" s="3" t="s">
        <v>129</v>
      </c>
      <c r="C85" s="4"/>
      <c r="D85" s="52">
        <v>9053101</v>
      </c>
      <c r="E85" s="98">
        <v>45174</v>
      </c>
      <c r="F85" s="44" t="s">
        <v>20</v>
      </c>
      <c r="G85" s="61">
        <v>45174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194</v>
      </c>
      <c r="S85" s="43">
        <v>50</v>
      </c>
      <c r="T85" s="32">
        <v>16.73</v>
      </c>
      <c r="U85" s="53">
        <f t="shared" si="2"/>
        <v>260.73</v>
      </c>
      <c r="V85" s="64" t="s">
        <v>65</v>
      </c>
      <c r="W85" s="2" t="s">
        <v>128</v>
      </c>
      <c r="X85" s="65" t="s">
        <v>17</v>
      </c>
      <c r="Y85" s="105"/>
      <c r="Z85" s="181"/>
    </row>
    <row r="86" spans="1:26" s="2" customFormat="1" ht="14.1" customHeight="1" x14ac:dyDescent="0.35">
      <c r="A86" s="255" t="s">
        <v>38</v>
      </c>
      <c r="B86" s="208" t="s">
        <v>120</v>
      </c>
      <c r="C86" s="231"/>
      <c r="D86" s="228">
        <v>8303102</v>
      </c>
      <c r="E86" s="184">
        <v>45168</v>
      </c>
      <c r="F86" s="187" t="s">
        <v>20</v>
      </c>
      <c r="G86" s="209">
        <v>45168</v>
      </c>
      <c r="H86" s="192"/>
      <c r="I86" s="190"/>
      <c r="J86" s="190"/>
      <c r="K86" s="190"/>
      <c r="L86" s="190"/>
      <c r="M86" s="192"/>
      <c r="N86" s="190"/>
      <c r="O86" s="192"/>
      <c r="P86" s="210"/>
      <c r="Q86" s="196"/>
      <c r="R86" s="192">
        <v>175</v>
      </c>
      <c r="S86" s="196">
        <v>37.5</v>
      </c>
      <c r="T86" s="199">
        <v>16.63</v>
      </c>
      <c r="U86" s="202">
        <f t="shared" si="2"/>
        <v>229.13</v>
      </c>
      <c r="V86" s="206" t="s">
        <v>65</v>
      </c>
      <c r="W86" s="218" t="s">
        <v>5</v>
      </c>
      <c r="X86" s="65" t="s">
        <v>17</v>
      </c>
      <c r="Y86" s="105"/>
      <c r="Z86" s="181"/>
    </row>
    <row r="87" spans="1:26" s="2" customFormat="1" ht="14.1" customHeight="1" x14ac:dyDescent="0.35">
      <c r="A87" s="247" t="s">
        <v>38</v>
      </c>
      <c r="B87" s="3" t="s">
        <v>177</v>
      </c>
      <c r="C87" s="4"/>
      <c r="D87" s="52">
        <v>9203102</v>
      </c>
      <c r="E87" s="98">
        <v>45189</v>
      </c>
      <c r="F87" s="44" t="s">
        <v>20</v>
      </c>
      <c r="G87" s="61">
        <v>45189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188</v>
      </c>
      <c r="S87" s="43">
        <v>50</v>
      </c>
      <c r="T87" s="32">
        <v>16.22</v>
      </c>
      <c r="U87" s="53">
        <f t="shared" si="2"/>
        <v>254.22</v>
      </c>
      <c r="V87" s="64" t="s">
        <v>65</v>
      </c>
      <c r="W87" s="2" t="s">
        <v>38</v>
      </c>
      <c r="X87" s="65" t="s">
        <v>17</v>
      </c>
      <c r="Y87" s="105"/>
      <c r="Z87" s="181"/>
    </row>
    <row r="88" spans="1:26" s="2" customFormat="1" ht="14.1" customHeight="1" x14ac:dyDescent="0.35">
      <c r="A88" s="247" t="s">
        <v>38</v>
      </c>
      <c r="B88" s="3" t="s">
        <v>143</v>
      </c>
      <c r="C88" s="4"/>
      <c r="D88" s="52">
        <v>9113044</v>
      </c>
      <c r="E88" s="98">
        <v>45180</v>
      </c>
      <c r="F88" s="44" t="s">
        <v>20</v>
      </c>
      <c r="G88" s="61">
        <v>45180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65</v>
      </c>
      <c r="S88" s="43">
        <v>12.5</v>
      </c>
      <c r="T88" s="32">
        <v>5.36</v>
      </c>
      <c r="U88" s="53">
        <f t="shared" si="2"/>
        <v>82.86</v>
      </c>
      <c r="V88" s="64" t="s">
        <v>65</v>
      </c>
      <c r="W88" s="2" t="s">
        <v>128</v>
      </c>
      <c r="X88" s="65" t="s">
        <v>17</v>
      </c>
      <c r="Y88" s="105"/>
      <c r="Z88" s="181"/>
    </row>
    <row r="89" spans="1:26" s="2" customFormat="1" ht="14.1" customHeight="1" x14ac:dyDescent="0.35">
      <c r="A89" s="247" t="s">
        <v>38</v>
      </c>
      <c r="B89" s="3" t="s">
        <v>155</v>
      </c>
      <c r="C89" s="4"/>
      <c r="D89" s="52">
        <v>9143103</v>
      </c>
      <c r="E89" s="98">
        <v>45183</v>
      </c>
      <c r="F89" s="44" t="s">
        <v>20</v>
      </c>
      <c r="G89" s="61">
        <v>45183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65</v>
      </c>
      <c r="S89" s="43">
        <v>12.5</v>
      </c>
      <c r="T89" s="32">
        <v>6.18</v>
      </c>
      <c r="U89" s="53">
        <f t="shared" si="2"/>
        <v>83.68</v>
      </c>
      <c r="V89" s="64" t="s">
        <v>65</v>
      </c>
      <c r="W89" s="2" t="s">
        <v>128</v>
      </c>
      <c r="X89" s="65" t="s">
        <v>17</v>
      </c>
      <c r="Y89" s="105"/>
      <c r="Z89" s="181"/>
    </row>
    <row r="90" spans="1:26" s="2" customFormat="1" ht="14.1" customHeight="1" x14ac:dyDescent="0.35">
      <c r="A90" s="257" t="s">
        <v>38</v>
      </c>
      <c r="B90" s="224" t="s">
        <v>76</v>
      </c>
      <c r="C90" s="239"/>
      <c r="D90" s="229">
        <v>6233103</v>
      </c>
      <c r="E90" s="185">
        <v>45100</v>
      </c>
      <c r="F90" s="188" t="s">
        <v>20</v>
      </c>
      <c r="G90" s="225">
        <v>45100</v>
      </c>
      <c r="H90" s="194"/>
      <c r="I90" s="191"/>
      <c r="J90" s="191"/>
      <c r="K90" s="191"/>
      <c r="L90" s="191"/>
      <c r="M90" s="194"/>
      <c r="N90" s="191"/>
      <c r="O90" s="194"/>
      <c r="P90" s="226"/>
      <c r="Q90" s="197"/>
      <c r="R90" s="194">
        <v>110</v>
      </c>
      <c r="S90" s="197">
        <v>25</v>
      </c>
      <c r="T90" s="200">
        <v>9.35</v>
      </c>
      <c r="U90" s="203">
        <f t="shared" si="2"/>
        <v>144.35</v>
      </c>
      <c r="V90" s="205" t="s">
        <v>65</v>
      </c>
      <c r="W90" s="227" t="s">
        <v>38</v>
      </c>
      <c r="X90" s="65" t="s">
        <v>17</v>
      </c>
      <c r="Y90" s="105"/>
      <c r="Z90" s="181"/>
    </row>
    <row r="91" spans="1:26" s="2" customFormat="1" ht="14.1" customHeight="1" x14ac:dyDescent="0.35">
      <c r="A91" s="247" t="s">
        <v>38</v>
      </c>
      <c r="B91" s="3" t="s">
        <v>135</v>
      </c>
      <c r="C91" s="4"/>
      <c r="D91" s="52">
        <v>9113064</v>
      </c>
      <c r="E91" s="98">
        <v>45180</v>
      </c>
      <c r="F91" s="44" t="s">
        <v>137</v>
      </c>
      <c r="G91" s="61">
        <v>45180</v>
      </c>
      <c r="H91" s="42"/>
      <c r="I91" s="28"/>
      <c r="J91" s="28"/>
      <c r="K91" s="28"/>
      <c r="L91" s="28"/>
      <c r="M91" s="42"/>
      <c r="N91" s="28"/>
      <c r="O91" s="42">
        <v>49</v>
      </c>
      <c r="P91" s="7"/>
      <c r="Q91" s="43"/>
      <c r="R91" s="42"/>
      <c r="S91" s="43">
        <v>12.5</v>
      </c>
      <c r="T91" s="32">
        <v>4.2300000000000004</v>
      </c>
      <c r="U91" s="53">
        <f t="shared" si="2"/>
        <v>65.73</v>
      </c>
      <c r="V91" s="64" t="s">
        <v>68</v>
      </c>
      <c r="W91" s="2" t="s">
        <v>136</v>
      </c>
      <c r="X91" s="65" t="s">
        <v>17</v>
      </c>
      <c r="Y91" s="105"/>
      <c r="Z91" s="181"/>
    </row>
    <row r="92" spans="1:26" s="2" customFormat="1" ht="14.1" customHeight="1" x14ac:dyDescent="0.35">
      <c r="A92" s="247" t="s">
        <v>38</v>
      </c>
      <c r="B92" s="3" t="s">
        <v>135</v>
      </c>
      <c r="C92" s="4"/>
      <c r="D92" s="52">
        <v>9293102</v>
      </c>
      <c r="E92" s="98">
        <v>45198</v>
      </c>
      <c r="F92" s="44" t="s">
        <v>20</v>
      </c>
      <c r="G92" s="61">
        <v>45198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174</v>
      </c>
      <c r="S92" s="43">
        <v>50</v>
      </c>
      <c r="T92" s="32">
        <v>15.01</v>
      </c>
      <c r="U92" s="53">
        <f t="shared" si="2"/>
        <v>239.01</v>
      </c>
      <c r="V92" s="64" t="s">
        <v>65</v>
      </c>
      <c r="W92" s="2" t="s">
        <v>128</v>
      </c>
      <c r="X92" s="65" t="s">
        <v>17</v>
      </c>
      <c r="Y92" s="105"/>
      <c r="Z92" s="181"/>
    </row>
    <row r="93" spans="1:26" s="2" customFormat="1" ht="14.1" customHeight="1" x14ac:dyDescent="0.35">
      <c r="A93" s="255" t="s">
        <v>38</v>
      </c>
      <c r="B93" s="208" t="s">
        <v>99</v>
      </c>
      <c r="C93" s="231" t="s">
        <v>98</v>
      </c>
      <c r="D93" s="228">
        <v>8043104</v>
      </c>
      <c r="E93" s="184">
        <v>45142</v>
      </c>
      <c r="F93" s="187" t="s">
        <v>20</v>
      </c>
      <c r="G93" s="209">
        <v>45145</v>
      </c>
      <c r="H93" s="192"/>
      <c r="I93" s="190"/>
      <c r="J93" s="190"/>
      <c r="K93" s="190"/>
      <c r="L93" s="190"/>
      <c r="M93" s="192"/>
      <c r="N93" s="190"/>
      <c r="O93" s="192"/>
      <c r="P93" s="210"/>
      <c r="Q93" s="196"/>
      <c r="R93" s="192">
        <v>110</v>
      </c>
      <c r="S93" s="196">
        <v>25</v>
      </c>
      <c r="T93" s="199">
        <v>9.08</v>
      </c>
      <c r="U93" s="202">
        <f t="shared" si="2"/>
        <v>144.08000000000001</v>
      </c>
      <c r="V93" s="206" t="s">
        <v>65</v>
      </c>
      <c r="W93" s="218" t="s">
        <v>5</v>
      </c>
      <c r="X93" s="65" t="s">
        <v>17</v>
      </c>
      <c r="Y93" s="105"/>
      <c r="Z93" s="181"/>
    </row>
    <row r="94" spans="1:26" s="2" customFormat="1" ht="14.1" customHeight="1" x14ac:dyDescent="0.35">
      <c r="A94" s="247" t="s">
        <v>38</v>
      </c>
      <c r="B94" s="3" t="s">
        <v>125</v>
      </c>
      <c r="C94" s="4"/>
      <c r="D94" s="52">
        <v>9013102</v>
      </c>
      <c r="E94" s="98">
        <v>45170</v>
      </c>
      <c r="F94" s="44" t="s">
        <v>20</v>
      </c>
      <c r="G94" s="61">
        <v>45170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215</v>
      </c>
      <c r="S94" s="43">
        <v>67.5</v>
      </c>
      <c r="T94" s="32">
        <v>19.89</v>
      </c>
      <c r="U94" s="53">
        <f t="shared" si="2"/>
        <v>302.39</v>
      </c>
      <c r="V94" s="64" t="s">
        <v>65</v>
      </c>
      <c r="W94" s="2" t="s">
        <v>126</v>
      </c>
      <c r="X94" s="65" t="s">
        <v>17</v>
      </c>
      <c r="Y94" s="105"/>
      <c r="Z94" s="181"/>
    </row>
    <row r="95" spans="1:26" s="2" customFormat="1" ht="14.1" customHeight="1" x14ac:dyDescent="0.35">
      <c r="A95" s="256" t="s">
        <v>38</v>
      </c>
      <c r="B95" s="219" t="s">
        <v>94</v>
      </c>
      <c r="C95" s="232"/>
      <c r="D95" s="230">
        <v>7313106</v>
      </c>
      <c r="E95" s="186">
        <v>45138</v>
      </c>
      <c r="F95" s="189" t="s">
        <v>20</v>
      </c>
      <c r="G95" s="220">
        <v>45138</v>
      </c>
      <c r="H95" s="195"/>
      <c r="I95" s="193"/>
      <c r="J95" s="193"/>
      <c r="K95" s="193"/>
      <c r="L95" s="193"/>
      <c r="M95" s="195"/>
      <c r="N95" s="193"/>
      <c r="O95" s="195"/>
      <c r="P95" s="221"/>
      <c r="Q95" s="198"/>
      <c r="R95" s="195">
        <v>39</v>
      </c>
      <c r="S95" s="198">
        <v>12.5</v>
      </c>
      <c r="T95" s="201">
        <v>3.61</v>
      </c>
      <c r="U95" s="204">
        <f t="shared" si="2"/>
        <v>55.11</v>
      </c>
      <c r="V95" s="207" t="s">
        <v>65</v>
      </c>
      <c r="W95" s="223" t="s">
        <v>5</v>
      </c>
      <c r="X95" s="65" t="s">
        <v>17</v>
      </c>
      <c r="Y95" s="105"/>
      <c r="Z95" s="181"/>
    </row>
    <row r="96" spans="1:26" s="2" customFormat="1" ht="14.1" customHeight="1" x14ac:dyDescent="0.35">
      <c r="A96" s="255" t="s">
        <v>6</v>
      </c>
      <c r="B96" s="208" t="s">
        <v>111</v>
      </c>
      <c r="C96" s="231"/>
      <c r="D96" s="228">
        <v>8083071</v>
      </c>
      <c r="E96" s="184">
        <v>45146</v>
      </c>
      <c r="F96" s="187" t="s">
        <v>108</v>
      </c>
      <c r="G96" s="209">
        <v>45159</v>
      </c>
      <c r="H96" s="192">
        <v>75</v>
      </c>
      <c r="I96" s="190"/>
      <c r="J96" s="190"/>
      <c r="K96" s="190"/>
      <c r="L96" s="190"/>
      <c r="M96" s="192"/>
      <c r="N96" s="190"/>
      <c r="O96" s="192"/>
      <c r="P96" s="210"/>
      <c r="Q96" s="196"/>
      <c r="R96" s="192"/>
      <c r="S96" s="196"/>
      <c r="T96" s="199">
        <v>6.19</v>
      </c>
      <c r="U96" s="202">
        <f t="shared" si="2"/>
        <v>81.19</v>
      </c>
      <c r="V96" s="206" t="s">
        <v>68</v>
      </c>
      <c r="W96" s="218" t="s">
        <v>6</v>
      </c>
      <c r="X96" s="65" t="s">
        <v>17</v>
      </c>
      <c r="Y96" s="105"/>
      <c r="Z96" s="181"/>
    </row>
    <row r="97" spans="1:26" s="2" customFormat="1" ht="14.1" customHeight="1" x14ac:dyDescent="0.35">
      <c r="A97" s="247" t="s">
        <v>5</v>
      </c>
      <c r="B97" s="3" t="s">
        <v>159</v>
      </c>
      <c r="C97" s="4" t="s">
        <v>160</v>
      </c>
      <c r="D97" s="52">
        <v>9153051</v>
      </c>
      <c r="E97" s="98">
        <v>45184</v>
      </c>
      <c r="F97" s="44" t="s">
        <v>39</v>
      </c>
      <c r="G97" s="61">
        <v>45188</v>
      </c>
      <c r="H97" s="42"/>
      <c r="I97" s="28"/>
      <c r="J97" s="28"/>
      <c r="K97" s="28"/>
      <c r="L97" s="28"/>
      <c r="M97" s="42">
        <v>95</v>
      </c>
      <c r="N97" s="28"/>
      <c r="O97" s="42"/>
      <c r="P97" s="7"/>
      <c r="Q97" s="43"/>
      <c r="R97" s="42"/>
      <c r="S97" s="43"/>
      <c r="T97" s="32"/>
      <c r="U97" s="53">
        <f t="shared" si="2"/>
        <v>95</v>
      </c>
      <c r="V97" s="64" t="s">
        <v>25</v>
      </c>
      <c r="W97" s="2" t="s">
        <v>5</v>
      </c>
      <c r="X97" s="65" t="s">
        <v>17</v>
      </c>
      <c r="Y97" s="105"/>
      <c r="Z97" s="181"/>
    </row>
    <row r="98" spans="1:26" s="2" customFormat="1" ht="14.1" customHeight="1" x14ac:dyDescent="0.35">
      <c r="A98" s="247" t="s">
        <v>38</v>
      </c>
      <c r="B98" s="3" t="s">
        <v>194</v>
      </c>
      <c r="C98" s="4"/>
      <c r="D98" s="52">
        <v>9263101</v>
      </c>
      <c r="E98" s="98">
        <v>45195</v>
      </c>
      <c r="F98" s="44" t="s">
        <v>20</v>
      </c>
      <c r="G98" s="61">
        <v>45195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373</v>
      </c>
      <c r="S98" s="43">
        <v>75</v>
      </c>
      <c r="T98" s="32">
        <v>34.5</v>
      </c>
      <c r="U98" s="53">
        <f t="shared" si="2"/>
        <v>482.5</v>
      </c>
      <c r="V98" s="64" t="s">
        <v>65</v>
      </c>
      <c r="W98" s="2" t="s">
        <v>58</v>
      </c>
      <c r="X98" s="65" t="s">
        <v>17</v>
      </c>
      <c r="Y98" s="105"/>
      <c r="Z98" s="181"/>
    </row>
    <row r="99" spans="1:26" s="2" customFormat="1" ht="14.1" customHeight="1" x14ac:dyDescent="0.35">
      <c r="A99" s="247" t="s">
        <v>37</v>
      </c>
      <c r="B99" s="3" t="s">
        <v>198</v>
      </c>
      <c r="C99" s="4"/>
      <c r="D99" s="52">
        <v>9263052</v>
      </c>
      <c r="E99" s="98">
        <v>45195</v>
      </c>
      <c r="F99" s="44" t="s">
        <v>39</v>
      </c>
      <c r="G99" s="61">
        <v>45197</v>
      </c>
      <c r="H99" s="42"/>
      <c r="I99" s="28"/>
      <c r="J99" s="28"/>
      <c r="K99" s="28"/>
      <c r="L99" s="28"/>
      <c r="M99" s="42">
        <v>49</v>
      </c>
      <c r="N99" s="28"/>
      <c r="O99" s="42"/>
      <c r="P99" s="7"/>
      <c r="Q99" s="43"/>
      <c r="R99" s="42"/>
      <c r="S99" s="43"/>
      <c r="T99" s="32"/>
      <c r="U99" s="53">
        <f t="shared" si="2"/>
        <v>49</v>
      </c>
      <c r="V99" s="64" t="s">
        <v>25</v>
      </c>
      <c r="W99" s="2" t="s">
        <v>37</v>
      </c>
      <c r="X99" s="65" t="s">
        <v>17</v>
      </c>
      <c r="Y99" s="105"/>
      <c r="Z99" s="181"/>
    </row>
    <row r="100" spans="1:26" s="2" customFormat="1" ht="14.1" customHeight="1" x14ac:dyDescent="0.35">
      <c r="A100" s="257" t="s">
        <v>37</v>
      </c>
      <c r="B100" s="224" t="s">
        <v>71</v>
      </c>
      <c r="C100" s="239"/>
      <c r="D100" s="229">
        <v>5013262</v>
      </c>
      <c r="E100" s="185">
        <v>45047</v>
      </c>
      <c r="F100" s="188" t="s">
        <v>72</v>
      </c>
      <c r="G100" s="225">
        <v>45047</v>
      </c>
      <c r="H100" s="194"/>
      <c r="I100" s="191"/>
      <c r="J100" s="191"/>
      <c r="K100" s="191"/>
      <c r="L100" s="191"/>
      <c r="M100" s="194"/>
      <c r="N100" s="191"/>
      <c r="O100" s="194">
        <v>37.5</v>
      </c>
      <c r="P100" s="226"/>
      <c r="Q100" s="197"/>
      <c r="R100" s="194"/>
      <c r="S100" s="197">
        <v>12.5</v>
      </c>
      <c r="T100" s="200">
        <v>3.52</v>
      </c>
      <c r="U100" s="203">
        <f t="shared" ref="U100:U123" si="3">SUM(H100:T100)</f>
        <v>53.52</v>
      </c>
      <c r="V100" s="205" t="s">
        <v>7</v>
      </c>
      <c r="W100" s="227" t="s">
        <v>37</v>
      </c>
      <c r="X100" s="65" t="s">
        <v>17</v>
      </c>
      <c r="Y100" s="105"/>
      <c r="Z100" s="181"/>
    </row>
    <row r="101" spans="1:26" s="2" customFormat="1" ht="14.1" customHeight="1" x14ac:dyDescent="0.35">
      <c r="A101" s="257" t="s">
        <v>37</v>
      </c>
      <c r="B101" s="224" t="s">
        <v>71</v>
      </c>
      <c r="C101" s="239"/>
      <c r="D101" s="229">
        <v>6203051</v>
      </c>
      <c r="E101" s="185">
        <v>45097</v>
      </c>
      <c r="F101" s="188" t="s">
        <v>74</v>
      </c>
      <c r="G101" s="225">
        <v>45103</v>
      </c>
      <c r="H101" s="194"/>
      <c r="I101" s="191">
        <v>762</v>
      </c>
      <c r="J101" s="191"/>
      <c r="K101" s="191"/>
      <c r="L101" s="191"/>
      <c r="M101" s="194"/>
      <c r="N101" s="191"/>
      <c r="O101" s="194"/>
      <c r="P101" s="226"/>
      <c r="Q101" s="197"/>
      <c r="R101" s="194"/>
      <c r="S101" s="197"/>
      <c r="T101" s="200"/>
      <c r="U101" s="203">
        <f t="shared" si="3"/>
        <v>762</v>
      </c>
      <c r="V101" s="205" t="s">
        <v>25</v>
      </c>
      <c r="W101" s="227" t="s">
        <v>37</v>
      </c>
      <c r="X101" s="65" t="s">
        <v>17</v>
      </c>
      <c r="Y101" s="105"/>
      <c r="Z101" s="181"/>
    </row>
    <row r="102" spans="1:26" s="2" customFormat="1" ht="14.1" customHeight="1" x14ac:dyDescent="0.35">
      <c r="A102" s="247" t="s">
        <v>38</v>
      </c>
      <c r="B102" s="3" t="s">
        <v>71</v>
      </c>
      <c r="C102" s="4"/>
      <c r="D102" s="52">
        <v>9123109</v>
      </c>
      <c r="E102" s="98">
        <v>45181</v>
      </c>
      <c r="F102" s="44" t="s">
        <v>72</v>
      </c>
      <c r="G102" s="61">
        <v>45182</v>
      </c>
      <c r="H102" s="42"/>
      <c r="I102" s="28"/>
      <c r="J102" s="28"/>
      <c r="K102" s="28"/>
      <c r="L102" s="28"/>
      <c r="M102" s="42"/>
      <c r="N102" s="28"/>
      <c r="O102" s="42">
        <v>37.5</v>
      </c>
      <c r="P102" s="7"/>
      <c r="Q102" s="43"/>
      <c r="R102" s="42"/>
      <c r="S102" s="43">
        <v>12.5</v>
      </c>
      <c r="T102" s="32">
        <v>3.52</v>
      </c>
      <c r="U102" s="53">
        <f t="shared" si="3"/>
        <v>53.52</v>
      </c>
      <c r="V102" s="64" t="s">
        <v>7</v>
      </c>
      <c r="W102" s="2" t="s">
        <v>37</v>
      </c>
      <c r="X102" s="65" t="s">
        <v>17</v>
      </c>
      <c r="Y102" s="105"/>
      <c r="Z102" s="181"/>
    </row>
    <row r="103" spans="1:26" s="2" customFormat="1" ht="14.1" customHeight="1" x14ac:dyDescent="0.35">
      <c r="A103" s="247" t="s">
        <v>37</v>
      </c>
      <c r="B103" s="3" t="s">
        <v>166</v>
      </c>
      <c r="C103" s="4" t="s">
        <v>167</v>
      </c>
      <c r="D103" s="52">
        <v>9193051</v>
      </c>
      <c r="E103" s="98">
        <v>45188</v>
      </c>
      <c r="F103" s="44" t="s">
        <v>39</v>
      </c>
      <c r="G103" s="61">
        <v>45188</v>
      </c>
      <c r="H103" s="42"/>
      <c r="I103" s="28"/>
      <c r="J103" s="28"/>
      <c r="K103" s="28"/>
      <c r="L103" s="28"/>
      <c r="M103" s="42">
        <v>468</v>
      </c>
      <c r="N103" s="28"/>
      <c r="O103" s="42"/>
      <c r="P103" s="7"/>
      <c r="Q103" s="43"/>
      <c r="R103" s="42"/>
      <c r="S103" s="43"/>
      <c r="T103" s="32"/>
      <c r="U103" s="53">
        <f t="shared" si="3"/>
        <v>468</v>
      </c>
      <c r="V103" s="64" t="s">
        <v>25</v>
      </c>
      <c r="W103" s="2" t="s">
        <v>37</v>
      </c>
      <c r="X103" s="65" t="s">
        <v>17</v>
      </c>
      <c r="Y103" s="105"/>
      <c r="Z103" s="181"/>
    </row>
    <row r="104" spans="1:26" s="2" customFormat="1" ht="14.1" customHeight="1" x14ac:dyDescent="0.35">
      <c r="A104" s="256" t="s">
        <v>38</v>
      </c>
      <c r="B104" s="219" t="s">
        <v>64</v>
      </c>
      <c r="C104" s="232" t="s">
        <v>121</v>
      </c>
      <c r="D104" s="230">
        <v>7263102</v>
      </c>
      <c r="E104" s="186">
        <v>45133</v>
      </c>
      <c r="F104" s="189" t="s">
        <v>20</v>
      </c>
      <c r="G104" s="220">
        <v>45133</v>
      </c>
      <c r="H104" s="195"/>
      <c r="I104" s="193"/>
      <c r="J104" s="193"/>
      <c r="K104" s="193"/>
      <c r="L104" s="193"/>
      <c r="M104" s="195"/>
      <c r="N104" s="193"/>
      <c r="O104" s="195"/>
      <c r="P104" s="221"/>
      <c r="Q104" s="198"/>
      <c r="R104" s="195">
        <v>195</v>
      </c>
      <c r="S104" s="198">
        <v>37.5</v>
      </c>
      <c r="T104" s="201"/>
      <c r="U104" s="204">
        <f t="shared" si="3"/>
        <v>232.5</v>
      </c>
      <c r="V104" s="207" t="s">
        <v>65</v>
      </c>
      <c r="W104" s="223" t="s">
        <v>58</v>
      </c>
      <c r="X104" s="65" t="s">
        <v>17</v>
      </c>
      <c r="Y104" s="105"/>
      <c r="Z104" s="181"/>
    </row>
    <row r="105" spans="1:26" s="2" customFormat="1" ht="14.1" customHeight="1" x14ac:dyDescent="0.35">
      <c r="A105" s="247" t="s">
        <v>8</v>
      </c>
      <c r="B105" s="3" t="s">
        <v>199</v>
      </c>
      <c r="C105" s="4"/>
      <c r="D105" s="52">
        <v>9263053</v>
      </c>
      <c r="E105" s="98">
        <v>45195</v>
      </c>
      <c r="F105" s="44" t="s">
        <v>39</v>
      </c>
      <c r="G105" s="61">
        <v>45197</v>
      </c>
      <c r="H105" s="42"/>
      <c r="I105" s="28"/>
      <c r="J105" s="28"/>
      <c r="K105" s="28"/>
      <c r="L105" s="28"/>
      <c r="M105" s="42">
        <v>49</v>
      </c>
      <c r="N105" s="28"/>
      <c r="O105" s="42"/>
      <c r="P105" s="7"/>
      <c r="Q105" s="43"/>
      <c r="R105" s="42"/>
      <c r="S105" s="43"/>
      <c r="T105" s="32"/>
      <c r="U105" s="53">
        <f t="shared" si="3"/>
        <v>49</v>
      </c>
      <c r="V105" s="64" t="s">
        <v>25</v>
      </c>
      <c r="W105" s="2" t="s">
        <v>8</v>
      </c>
      <c r="X105" s="65" t="s">
        <v>17</v>
      </c>
      <c r="Y105" s="105"/>
      <c r="Z105" s="181"/>
    </row>
    <row r="106" spans="1:26" s="2" customFormat="1" ht="14.1" customHeight="1" x14ac:dyDescent="0.35">
      <c r="A106" s="247" t="s">
        <v>38</v>
      </c>
      <c r="B106" s="3" t="s">
        <v>130</v>
      </c>
      <c r="C106" s="4"/>
      <c r="D106" s="52">
        <v>9053102</v>
      </c>
      <c r="E106" s="98">
        <v>45174</v>
      </c>
      <c r="F106" s="44" t="s">
        <v>20</v>
      </c>
      <c r="G106" s="61">
        <v>45174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219</v>
      </c>
      <c r="S106" s="43">
        <v>62.5</v>
      </c>
      <c r="T106" s="32">
        <v>22.45</v>
      </c>
      <c r="U106" s="53">
        <f t="shared" si="3"/>
        <v>303.95</v>
      </c>
      <c r="V106" s="64" t="s">
        <v>65</v>
      </c>
      <c r="W106" s="2" t="s">
        <v>5</v>
      </c>
      <c r="X106" s="65" t="s">
        <v>17</v>
      </c>
      <c r="Y106" s="105"/>
      <c r="Z106" s="181"/>
    </row>
    <row r="107" spans="1:26" s="2" customFormat="1" ht="14.1" customHeight="1" x14ac:dyDescent="0.35">
      <c r="A107" s="256" t="s">
        <v>6</v>
      </c>
      <c r="B107" s="219" t="s">
        <v>81</v>
      </c>
      <c r="C107" s="232"/>
      <c r="D107" s="230">
        <v>7103067</v>
      </c>
      <c r="E107" s="186">
        <v>45117</v>
      </c>
      <c r="F107" s="189" t="s">
        <v>20</v>
      </c>
      <c r="G107" s="220">
        <v>45117</v>
      </c>
      <c r="H107" s="195"/>
      <c r="I107" s="193"/>
      <c r="J107" s="193"/>
      <c r="K107" s="193"/>
      <c r="L107" s="193"/>
      <c r="M107" s="195"/>
      <c r="N107" s="193"/>
      <c r="O107" s="195"/>
      <c r="P107" s="221"/>
      <c r="Q107" s="198"/>
      <c r="R107" s="195">
        <v>726</v>
      </c>
      <c r="S107" s="198">
        <v>75</v>
      </c>
      <c r="T107" s="201">
        <v>67.16</v>
      </c>
      <c r="U107" s="204">
        <f t="shared" si="3"/>
        <v>868.16</v>
      </c>
      <c r="V107" s="207" t="s">
        <v>7</v>
      </c>
      <c r="W107" s="223" t="s">
        <v>6</v>
      </c>
      <c r="X107" s="65" t="s">
        <v>17</v>
      </c>
      <c r="Y107" s="105"/>
      <c r="Z107" s="181"/>
    </row>
    <row r="108" spans="1:26" s="2" customFormat="1" ht="14.1" customHeight="1" x14ac:dyDescent="0.35">
      <c r="A108" s="247" t="s">
        <v>38</v>
      </c>
      <c r="B108" s="3" t="s">
        <v>142</v>
      </c>
      <c r="C108" s="4"/>
      <c r="D108" s="52">
        <v>9113041</v>
      </c>
      <c r="E108" s="98">
        <v>45180</v>
      </c>
      <c r="F108" s="44" t="s">
        <v>20</v>
      </c>
      <c r="G108" s="61">
        <v>45180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120</v>
      </c>
      <c r="S108" s="43">
        <v>25</v>
      </c>
      <c r="T108" s="32">
        <v>10.199999999999999</v>
      </c>
      <c r="U108" s="53">
        <f t="shared" si="3"/>
        <v>155.19999999999999</v>
      </c>
      <c r="V108" s="64" t="s">
        <v>65</v>
      </c>
      <c r="W108" s="2" t="s">
        <v>128</v>
      </c>
      <c r="X108" s="65" t="s">
        <v>17</v>
      </c>
      <c r="Y108" s="105"/>
      <c r="Z108" s="181"/>
    </row>
    <row r="109" spans="1:26" s="2" customFormat="1" ht="14.1" customHeight="1" x14ac:dyDescent="0.35">
      <c r="A109" s="247" t="s">
        <v>38</v>
      </c>
      <c r="B109" s="3" t="s">
        <v>60</v>
      </c>
      <c r="C109" s="4" t="s">
        <v>169</v>
      </c>
      <c r="D109" s="52">
        <v>9193101</v>
      </c>
      <c r="E109" s="98">
        <v>45188</v>
      </c>
      <c r="F109" s="44" t="s">
        <v>20</v>
      </c>
      <c r="G109" s="61">
        <v>45188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253</v>
      </c>
      <c r="S109" s="43">
        <v>50</v>
      </c>
      <c r="T109" s="32">
        <v>27.2</v>
      </c>
      <c r="U109" s="53">
        <f t="shared" si="3"/>
        <v>330.2</v>
      </c>
      <c r="V109" s="64" t="s">
        <v>65</v>
      </c>
      <c r="W109" s="2" t="s">
        <v>128</v>
      </c>
      <c r="X109" s="65" t="s">
        <v>17</v>
      </c>
      <c r="Y109" s="105"/>
      <c r="Z109" s="181"/>
    </row>
    <row r="110" spans="1:26" s="2" customFormat="1" ht="14.1" customHeight="1" x14ac:dyDescent="0.35">
      <c r="A110" s="247" t="s">
        <v>38</v>
      </c>
      <c r="B110" s="3" t="s">
        <v>60</v>
      </c>
      <c r="C110" s="4" t="s">
        <v>170</v>
      </c>
      <c r="D110" s="52">
        <v>9193102</v>
      </c>
      <c r="E110" s="98">
        <v>45188</v>
      </c>
      <c r="F110" s="44" t="s">
        <v>20</v>
      </c>
      <c r="G110" s="61">
        <v>45188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188</v>
      </c>
      <c r="S110" s="43">
        <v>37.5</v>
      </c>
      <c r="T110" s="32">
        <v>18.100000000000001</v>
      </c>
      <c r="U110" s="53">
        <f t="shared" si="3"/>
        <v>243.6</v>
      </c>
      <c r="V110" s="64" t="s">
        <v>65</v>
      </c>
      <c r="W110" s="2" t="s">
        <v>128</v>
      </c>
      <c r="X110" s="65" t="s">
        <v>17</v>
      </c>
      <c r="Y110" s="105"/>
      <c r="Z110" s="181"/>
    </row>
    <row r="111" spans="1:26" s="2" customFormat="1" ht="14.1" customHeight="1" x14ac:dyDescent="0.35">
      <c r="A111" s="247" t="s">
        <v>38</v>
      </c>
      <c r="B111" s="3" t="s">
        <v>60</v>
      </c>
      <c r="C111" s="4" t="s">
        <v>171</v>
      </c>
      <c r="D111" s="52">
        <v>9193103</v>
      </c>
      <c r="E111" s="98">
        <v>45188</v>
      </c>
      <c r="F111" s="44" t="s">
        <v>20</v>
      </c>
      <c r="G111" s="61">
        <v>45188</v>
      </c>
      <c r="H111" s="42"/>
      <c r="I111" s="28"/>
      <c r="J111" s="28"/>
      <c r="K111" s="28"/>
      <c r="L111" s="28"/>
      <c r="M111" s="42"/>
      <c r="N111" s="28"/>
      <c r="O111" s="42"/>
      <c r="P111" s="7"/>
      <c r="Q111" s="43"/>
      <c r="R111" s="42">
        <v>188</v>
      </c>
      <c r="S111" s="43">
        <v>37.5</v>
      </c>
      <c r="T111" s="32">
        <v>20.21</v>
      </c>
      <c r="U111" s="53">
        <f t="shared" si="3"/>
        <v>245.71</v>
      </c>
      <c r="V111" s="64" t="s">
        <v>65</v>
      </c>
      <c r="W111" s="2" t="s">
        <v>128</v>
      </c>
      <c r="X111" s="65" t="s">
        <v>17</v>
      </c>
      <c r="Y111" s="105"/>
      <c r="Z111" s="181"/>
    </row>
    <row r="112" spans="1:26" s="2" customFormat="1" ht="14.1" customHeight="1" x14ac:dyDescent="0.35">
      <c r="A112" s="247" t="s">
        <v>38</v>
      </c>
      <c r="B112" s="3" t="s">
        <v>60</v>
      </c>
      <c r="C112" s="4" t="s">
        <v>171</v>
      </c>
      <c r="D112" s="52">
        <v>9193104</v>
      </c>
      <c r="E112" s="98">
        <v>45188</v>
      </c>
      <c r="F112" s="44" t="s">
        <v>20</v>
      </c>
      <c r="G112" s="61">
        <v>45188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110</v>
      </c>
      <c r="S112" s="43">
        <v>25</v>
      </c>
      <c r="T112" s="32">
        <v>11.83</v>
      </c>
      <c r="U112" s="53">
        <f t="shared" si="3"/>
        <v>146.83000000000001</v>
      </c>
      <c r="V112" s="64" t="s">
        <v>65</v>
      </c>
      <c r="W112" s="2" t="s">
        <v>128</v>
      </c>
      <c r="X112" s="65" t="s">
        <v>17</v>
      </c>
      <c r="Y112" s="105"/>
      <c r="Z112" s="181"/>
    </row>
    <row r="113" spans="1:29" s="2" customFormat="1" ht="14.1" customHeight="1" x14ac:dyDescent="0.35">
      <c r="A113" s="247" t="s">
        <v>38</v>
      </c>
      <c r="B113" s="3" t="s">
        <v>60</v>
      </c>
      <c r="C113" s="4" t="s">
        <v>172</v>
      </c>
      <c r="D113" s="52">
        <v>9193105</v>
      </c>
      <c r="E113" s="98">
        <v>45188</v>
      </c>
      <c r="F113" s="44" t="s">
        <v>20</v>
      </c>
      <c r="G113" s="61">
        <v>45188</v>
      </c>
      <c r="H113" s="42"/>
      <c r="I113" s="28"/>
      <c r="J113" s="28"/>
      <c r="K113" s="28"/>
      <c r="L113" s="28"/>
      <c r="M113" s="42"/>
      <c r="N113" s="28"/>
      <c r="O113" s="42"/>
      <c r="P113" s="7"/>
      <c r="Q113" s="43"/>
      <c r="R113" s="42">
        <v>104</v>
      </c>
      <c r="S113" s="43">
        <v>25</v>
      </c>
      <c r="T113" s="32">
        <v>9.75</v>
      </c>
      <c r="U113" s="53">
        <f t="shared" si="3"/>
        <v>138.75</v>
      </c>
      <c r="V113" s="64" t="s">
        <v>65</v>
      </c>
      <c r="W113" s="2" t="s">
        <v>128</v>
      </c>
      <c r="X113" s="65" t="s">
        <v>17</v>
      </c>
      <c r="Y113" s="105"/>
      <c r="Z113" s="181"/>
    </row>
    <row r="114" spans="1:29" s="2" customFormat="1" ht="14.1" customHeight="1" x14ac:dyDescent="0.35">
      <c r="A114" s="247" t="s">
        <v>38</v>
      </c>
      <c r="B114" s="3" t="s">
        <v>60</v>
      </c>
      <c r="C114" s="4" t="s">
        <v>173</v>
      </c>
      <c r="D114" s="52">
        <v>9193106</v>
      </c>
      <c r="E114" s="98">
        <v>45188</v>
      </c>
      <c r="F114" s="44" t="s">
        <v>20</v>
      </c>
      <c r="G114" s="61">
        <v>45188</v>
      </c>
      <c r="H114" s="42"/>
      <c r="I114" s="28"/>
      <c r="J114" s="28"/>
      <c r="K114" s="28"/>
      <c r="L114" s="28"/>
      <c r="M114" s="42"/>
      <c r="N114" s="28"/>
      <c r="O114" s="42"/>
      <c r="P114" s="7"/>
      <c r="Q114" s="43"/>
      <c r="R114" s="42">
        <v>65</v>
      </c>
      <c r="S114" s="43">
        <v>12.5</v>
      </c>
      <c r="T114" s="32">
        <v>6.01</v>
      </c>
      <c r="U114" s="53">
        <f t="shared" si="3"/>
        <v>83.51</v>
      </c>
      <c r="V114" s="64" t="s">
        <v>65</v>
      </c>
      <c r="W114" s="2" t="s">
        <v>128</v>
      </c>
      <c r="X114" s="65" t="s">
        <v>17</v>
      </c>
      <c r="Y114" s="105"/>
      <c r="Z114" s="181"/>
    </row>
    <row r="115" spans="1:29" s="2" customFormat="1" ht="14.1" customHeight="1" x14ac:dyDescent="0.35">
      <c r="A115" s="247" t="s">
        <v>38</v>
      </c>
      <c r="B115" s="3" t="s">
        <v>60</v>
      </c>
      <c r="C115" s="4" t="s">
        <v>174</v>
      </c>
      <c r="D115" s="52">
        <v>9193107</v>
      </c>
      <c r="E115" s="98">
        <v>45188</v>
      </c>
      <c r="F115" s="44" t="s">
        <v>20</v>
      </c>
      <c r="G115" s="61">
        <v>45188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65</v>
      </c>
      <c r="S115" s="43">
        <v>12.5</v>
      </c>
      <c r="T115" s="32">
        <v>5.93</v>
      </c>
      <c r="U115" s="53">
        <f t="shared" si="3"/>
        <v>83.43</v>
      </c>
      <c r="V115" s="64" t="s">
        <v>65</v>
      </c>
      <c r="W115" s="2" t="s">
        <v>128</v>
      </c>
      <c r="X115" s="65" t="s">
        <v>17</v>
      </c>
      <c r="Y115" s="105"/>
      <c r="Z115" s="181"/>
    </row>
    <row r="116" spans="1:29" s="2" customFormat="1" ht="14.1" customHeight="1" x14ac:dyDescent="0.35">
      <c r="A116" s="247" t="s">
        <v>38</v>
      </c>
      <c r="B116" s="3" t="s">
        <v>183</v>
      </c>
      <c r="C116" s="4"/>
      <c r="D116" s="52">
        <v>9223101</v>
      </c>
      <c r="E116" s="98">
        <v>45191</v>
      </c>
      <c r="F116" s="44" t="s">
        <v>20</v>
      </c>
      <c r="G116" s="61">
        <v>45194</v>
      </c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>
        <v>182</v>
      </c>
      <c r="S116" s="43">
        <v>50</v>
      </c>
      <c r="T116" s="32">
        <v>15.7</v>
      </c>
      <c r="U116" s="53">
        <f t="shared" si="3"/>
        <v>247.7</v>
      </c>
      <c r="V116" s="64" t="s">
        <v>65</v>
      </c>
      <c r="W116" s="2" t="s">
        <v>5</v>
      </c>
      <c r="X116" s="65" t="s">
        <v>17</v>
      </c>
      <c r="Y116" s="105"/>
      <c r="Z116" s="181"/>
    </row>
    <row r="117" spans="1:29" s="2" customFormat="1" ht="14.1" customHeight="1" x14ac:dyDescent="0.35">
      <c r="A117" s="255" t="s">
        <v>38</v>
      </c>
      <c r="B117" s="208" t="s">
        <v>69</v>
      </c>
      <c r="C117" s="231"/>
      <c r="D117" s="228">
        <v>8013062</v>
      </c>
      <c r="E117" s="184">
        <v>45139</v>
      </c>
      <c r="F117" s="187" t="s">
        <v>20</v>
      </c>
      <c r="G117" s="209">
        <v>45140</v>
      </c>
      <c r="H117" s="192"/>
      <c r="I117" s="190"/>
      <c r="J117" s="190"/>
      <c r="K117" s="190"/>
      <c r="L117" s="190"/>
      <c r="M117" s="192"/>
      <c r="N117" s="190"/>
      <c r="O117" s="192"/>
      <c r="P117" s="210"/>
      <c r="Q117" s="196"/>
      <c r="R117" s="192">
        <v>130</v>
      </c>
      <c r="S117" s="196">
        <v>25</v>
      </c>
      <c r="T117" s="199">
        <v>11.21</v>
      </c>
      <c r="U117" s="202">
        <f t="shared" si="3"/>
        <v>166.21</v>
      </c>
      <c r="V117" s="206" t="s">
        <v>65</v>
      </c>
      <c r="W117" s="218" t="s">
        <v>38</v>
      </c>
      <c r="X117" s="65" t="s">
        <v>17</v>
      </c>
      <c r="Y117" s="105"/>
      <c r="Z117" s="181"/>
    </row>
    <row r="118" spans="1:29" s="2" customFormat="1" ht="14.1" customHeight="1" x14ac:dyDescent="0.35">
      <c r="A118" s="255" t="s">
        <v>5</v>
      </c>
      <c r="B118" s="208" t="s">
        <v>69</v>
      </c>
      <c r="C118" s="231"/>
      <c r="D118" s="228">
        <v>8043068</v>
      </c>
      <c r="E118" s="184">
        <v>45142</v>
      </c>
      <c r="F118" s="187" t="s">
        <v>20</v>
      </c>
      <c r="G118" s="209">
        <v>45142</v>
      </c>
      <c r="H118" s="192"/>
      <c r="I118" s="190"/>
      <c r="J118" s="190"/>
      <c r="K118" s="190"/>
      <c r="L118" s="190"/>
      <c r="M118" s="192"/>
      <c r="N118" s="190"/>
      <c r="O118" s="192"/>
      <c r="P118" s="210"/>
      <c r="Q118" s="196"/>
      <c r="R118" s="192">
        <v>-65</v>
      </c>
      <c r="S118" s="196"/>
      <c r="T118" s="199">
        <v>-5.61</v>
      </c>
      <c r="U118" s="202">
        <f t="shared" si="3"/>
        <v>-70.61</v>
      </c>
      <c r="V118" s="206" t="s">
        <v>33</v>
      </c>
      <c r="W118" s="218" t="s">
        <v>8</v>
      </c>
      <c r="X118" s="65" t="s">
        <v>17</v>
      </c>
      <c r="Y118" s="105"/>
      <c r="Z118" s="181"/>
    </row>
    <row r="119" spans="1:29" s="2" customFormat="1" ht="14.1" customHeight="1" x14ac:dyDescent="0.35">
      <c r="A119" s="256" t="s">
        <v>38</v>
      </c>
      <c r="B119" s="219" t="s">
        <v>89</v>
      </c>
      <c r="C119" s="232"/>
      <c r="D119" s="230">
        <v>7243102</v>
      </c>
      <c r="E119" s="186">
        <v>45131</v>
      </c>
      <c r="F119" s="189" t="s">
        <v>20</v>
      </c>
      <c r="G119" s="220">
        <v>45131</v>
      </c>
      <c r="H119" s="195"/>
      <c r="I119" s="193"/>
      <c r="J119" s="193"/>
      <c r="K119" s="193"/>
      <c r="L119" s="193"/>
      <c r="M119" s="195"/>
      <c r="N119" s="193"/>
      <c r="O119" s="195"/>
      <c r="P119" s="221"/>
      <c r="Q119" s="198"/>
      <c r="R119" s="195">
        <v>175</v>
      </c>
      <c r="S119" s="198">
        <v>37.5</v>
      </c>
      <c r="T119" s="201">
        <v>14.44</v>
      </c>
      <c r="U119" s="204">
        <f t="shared" si="3"/>
        <v>226.94</v>
      </c>
      <c r="V119" s="207" t="s">
        <v>65</v>
      </c>
      <c r="W119" s="223" t="s">
        <v>38</v>
      </c>
      <c r="X119" s="65" t="s">
        <v>17</v>
      </c>
      <c r="Y119" s="105"/>
      <c r="Z119" s="181"/>
    </row>
    <row r="120" spans="1:29" s="2" customFormat="1" ht="14.1" customHeight="1" x14ac:dyDescent="0.35">
      <c r="A120" s="247" t="s">
        <v>38</v>
      </c>
      <c r="B120" s="3" t="s">
        <v>152</v>
      </c>
      <c r="C120" s="4" t="s">
        <v>153</v>
      </c>
      <c r="D120" s="52">
        <v>9143101</v>
      </c>
      <c r="E120" s="98">
        <v>45183</v>
      </c>
      <c r="F120" s="44" t="s">
        <v>20</v>
      </c>
      <c r="G120" s="61">
        <v>45183</v>
      </c>
      <c r="H120" s="42"/>
      <c r="I120" s="28"/>
      <c r="J120" s="28"/>
      <c r="K120" s="28"/>
      <c r="L120" s="28"/>
      <c r="M120" s="42"/>
      <c r="N120" s="28"/>
      <c r="O120" s="42"/>
      <c r="P120" s="7"/>
      <c r="Q120" s="43"/>
      <c r="R120" s="42">
        <v>185</v>
      </c>
      <c r="S120" s="43">
        <v>37.5</v>
      </c>
      <c r="T120" s="32"/>
      <c r="U120" s="53">
        <f t="shared" si="3"/>
        <v>222.5</v>
      </c>
      <c r="V120" s="64" t="s">
        <v>65</v>
      </c>
      <c r="W120" s="2" t="s">
        <v>128</v>
      </c>
      <c r="X120" s="65" t="s">
        <v>17</v>
      </c>
      <c r="Y120" s="105"/>
      <c r="Z120" s="181"/>
    </row>
    <row r="121" spans="1:29" s="2" customFormat="1" ht="14.1" customHeight="1" x14ac:dyDescent="0.35">
      <c r="A121" s="255" t="s">
        <v>38</v>
      </c>
      <c r="B121" s="208" t="s">
        <v>104</v>
      </c>
      <c r="C121" s="231"/>
      <c r="D121" s="228">
        <v>8143102</v>
      </c>
      <c r="E121" s="184">
        <v>45152</v>
      </c>
      <c r="F121" s="187" t="s">
        <v>20</v>
      </c>
      <c r="G121" s="209">
        <v>45152</v>
      </c>
      <c r="H121" s="192"/>
      <c r="I121" s="190"/>
      <c r="J121" s="190"/>
      <c r="K121" s="190"/>
      <c r="L121" s="190"/>
      <c r="M121" s="192"/>
      <c r="N121" s="190"/>
      <c r="O121" s="192"/>
      <c r="P121" s="210"/>
      <c r="Q121" s="196"/>
      <c r="R121" s="192">
        <v>195</v>
      </c>
      <c r="S121" s="196">
        <v>25</v>
      </c>
      <c r="T121" s="199">
        <v>17.309999999999999</v>
      </c>
      <c r="U121" s="202">
        <f t="shared" si="3"/>
        <v>237.31</v>
      </c>
      <c r="V121" s="206" t="s">
        <v>65</v>
      </c>
      <c r="W121" s="218" t="s">
        <v>38</v>
      </c>
      <c r="X121" s="65" t="s">
        <v>17</v>
      </c>
      <c r="Y121" s="105"/>
      <c r="Z121" s="181"/>
    </row>
    <row r="122" spans="1:29" s="2" customFormat="1" ht="14.1" customHeight="1" x14ac:dyDescent="0.35">
      <c r="A122" s="247" t="s">
        <v>5</v>
      </c>
      <c r="B122" s="3" t="s">
        <v>151</v>
      </c>
      <c r="C122" s="4" t="s">
        <v>150</v>
      </c>
      <c r="D122" s="52">
        <v>9143062</v>
      </c>
      <c r="E122" s="98">
        <v>45183</v>
      </c>
      <c r="F122" s="44" t="s">
        <v>20</v>
      </c>
      <c r="G122" s="61">
        <v>45183</v>
      </c>
      <c r="H122" s="42"/>
      <c r="I122" s="28"/>
      <c r="J122" s="28"/>
      <c r="K122" s="28"/>
      <c r="L122" s="28"/>
      <c r="M122" s="42"/>
      <c r="N122" s="28"/>
      <c r="O122" s="42"/>
      <c r="P122" s="7"/>
      <c r="Q122" s="43"/>
      <c r="R122" s="42">
        <v>305</v>
      </c>
      <c r="S122" s="43">
        <v>62.5</v>
      </c>
      <c r="T122" s="32">
        <v>27.83</v>
      </c>
      <c r="U122" s="53">
        <f t="shared" si="3"/>
        <v>395.33</v>
      </c>
      <c r="V122" s="64" t="s">
        <v>65</v>
      </c>
      <c r="W122" s="2" t="s">
        <v>128</v>
      </c>
      <c r="X122" s="65" t="s">
        <v>17</v>
      </c>
      <c r="Y122" s="105"/>
      <c r="Z122" s="181"/>
    </row>
    <row r="123" spans="1:29" s="2" customFormat="1" ht="14.1" customHeight="1" thickBot="1" x14ac:dyDescent="0.4">
      <c r="A123" s="247" t="s">
        <v>38</v>
      </c>
      <c r="B123" s="3" t="s">
        <v>147</v>
      </c>
      <c r="C123" s="4"/>
      <c r="D123" s="52">
        <v>9123104</v>
      </c>
      <c r="E123" s="98">
        <v>45181</v>
      </c>
      <c r="F123" s="44" t="s">
        <v>20</v>
      </c>
      <c r="G123" s="61">
        <v>45181</v>
      </c>
      <c r="H123" s="42"/>
      <c r="I123" s="28"/>
      <c r="J123" s="28"/>
      <c r="K123" s="28"/>
      <c r="L123" s="28"/>
      <c r="M123" s="42"/>
      <c r="N123" s="28"/>
      <c r="O123" s="42"/>
      <c r="P123" s="7"/>
      <c r="Q123" s="43"/>
      <c r="R123" s="42">
        <v>258</v>
      </c>
      <c r="S123" s="43">
        <v>62.5</v>
      </c>
      <c r="T123" s="32">
        <v>23.22</v>
      </c>
      <c r="U123" s="53">
        <f t="shared" si="3"/>
        <v>343.72</v>
      </c>
      <c r="V123" s="64" t="s">
        <v>65</v>
      </c>
      <c r="W123" s="2" t="s">
        <v>5</v>
      </c>
      <c r="X123" s="65" t="s">
        <v>17</v>
      </c>
      <c r="Y123" s="105"/>
      <c r="Z123" s="181"/>
    </row>
    <row r="124" spans="1:29" s="2" customFormat="1" ht="14.1" customHeight="1" thickBot="1" x14ac:dyDescent="0.25">
      <c r="A124" s="176"/>
      <c r="B124" s="177"/>
      <c r="C124" s="178"/>
      <c r="D124" s="178"/>
      <c r="E124" s="211"/>
      <c r="F124" s="212"/>
      <c r="G124" s="179"/>
      <c r="H124" s="213"/>
      <c r="I124" s="213"/>
      <c r="J124" s="214"/>
      <c r="K124" s="214"/>
      <c r="L124" s="214"/>
      <c r="M124" s="213"/>
      <c r="N124" s="213"/>
      <c r="O124" s="213"/>
      <c r="P124" s="50"/>
      <c r="Q124" s="222"/>
      <c r="R124" s="213"/>
      <c r="S124" s="222"/>
      <c r="T124" s="215"/>
      <c r="U124" s="216"/>
      <c r="V124" s="217"/>
      <c r="W124" s="84"/>
      <c r="X124" s="84"/>
      <c r="Y124" s="258">
        <f>SUM(U57:U123)</f>
        <v>67798.5</v>
      </c>
      <c r="Z124" s="237">
        <f>Y124/V126</f>
        <v>0.80529630630443372</v>
      </c>
      <c r="AA124" s="181"/>
    </row>
    <row r="125" spans="1:29" s="2" customFormat="1" ht="19.5" customHeight="1" thickBot="1" x14ac:dyDescent="0.5">
      <c r="A125" s="158"/>
      <c r="B125" s="159"/>
      <c r="C125" s="159"/>
      <c r="D125" s="41"/>
      <c r="E125" s="41"/>
      <c r="F125" s="167"/>
      <c r="G125" s="41"/>
      <c r="H125" s="160">
        <f t="shared" ref="H125:U125" si="4">SUM(H4:H123)</f>
        <v>47445.67</v>
      </c>
      <c r="I125" s="160">
        <f t="shared" si="4"/>
        <v>861</v>
      </c>
      <c r="J125" s="160">
        <f t="shared" si="4"/>
        <v>1440</v>
      </c>
      <c r="K125" s="160">
        <f t="shared" si="4"/>
        <v>0</v>
      </c>
      <c r="L125" s="160">
        <f t="shared" si="4"/>
        <v>0</v>
      </c>
      <c r="M125" s="160">
        <f t="shared" si="4"/>
        <v>1836</v>
      </c>
      <c r="N125" s="160">
        <f t="shared" si="4"/>
        <v>3248</v>
      </c>
      <c r="O125" s="160">
        <f t="shared" si="4"/>
        <v>419</v>
      </c>
      <c r="P125" s="160">
        <f t="shared" si="4"/>
        <v>540</v>
      </c>
      <c r="Q125" s="160">
        <f t="shared" si="4"/>
        <v>270</v>
      </c>
      <c r="R125" s="160">
        <f t="shared" si="4"/>
        <v>18553</v>
      </c>
      <c r="S125" s="160">
        <f t="shared" si="4"/>
        <v>3646</v>
      </c>
      <c r="T125" s="160">
        <f t="shared" si="4"/>
        <v>5932.0800000000008</v>
      </c>
      <c r="U125" s="160">
        <f t="shared" si="4"/>
        <v>84190.749999999985</v>
      </c>
      <c r="V125" s="161"/>
      <c r="W125" s="26"/>
      <c r="X125" s="26"/>
      <c r="Y125" s="4"/>
      <c r="Z125" s="3"/>
      <c r="AA125" s="135"/>
      <c r="AB125" s="135"/>
      <c r="AC125" s="135"/>
    </row>
    <row r="126" spans="1:29" s="2" customFormat="1" ht="14.1" customHeight="1" thickBot="1" x14ac:dyDescent="0.3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238">
        <f>SUM(H125:T125)</f>
        <v>84190.75</v>
      </c>
      <c r="Y126" s="169"/>
      <c r="Z126" s="182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35">
      <c r="A135" s="3"/>
      <c r="B135" s="3"/>
      <c r="C135" s="130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6"/>
      <c r="T135" s="6"/>
      <c r="V135" s="131"/>
      <c r="W135" s="129"/>
      <c r="X135" s="129"/>
      <c r="Y135" s="235"/>
      <c r="Z135" s="3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82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82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82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82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82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82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82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82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82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82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82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82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82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82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82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82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82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82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82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82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82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82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82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82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82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82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82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82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82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82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82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82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82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82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82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82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82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82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82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82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82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82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82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82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82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82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82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82"/>
    </row>
    <row r="323" spans="1:26" s="2" customFormat="1" ht="14.1" customHeight="1" x14ac:dyDescent="0.2">
      <c r="A323" s="3"/>
      <c r="B323" s="3"/>
      <c r="C323" s="4"/>
      <c r="D323" s="4"/>
      <c r="E323" s="5"/>
      <c r="F323" s="4"/>
      <c r="G323" s="6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6"/>
      <c r="U323" s="81"/>
      <c r="V323" s="3"/>
      <c r="Y323" s="169"/>
      <c r="Z323" s="182"/>
    </row>
    <row r="324" spans="1:26" s="2" customFormat="1" ht="14.1" customHeight="1" x14ac:dyDescent="0.2">
      <c r="A324" s="3"/>
      <c r="B324" s="3"/>
      <c r="C324" s="4"/>
      <c r="D324" s="4"/>
      <c r="E324" s="5"/>
      <c r="F324" s="4"/>
      <c r="G324" s="6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6"/>
      <c r="U324" s="81"/>
      <c r="V324" s="3"/>
      <c r="Y324" s="169"/>
      <c r="Z324" s="182"/>
    </row>
    <row r="325" spans="1:26" s="2" customFormat="1" ht="14.1" customHeight="1" x14ac:dyDescent="0.35">
      <c r="A325" s="3"/>
      <c r="B325" s="3"/>
      <c r="C325" s="130"/>
      <c r="D325" s="4"/>
      <c r="E325" s="5"/>
      <c r="F325" s="4"/>
      <c r="G325" s="61"/>
      <c r="H325" s="7"/>
      <c r="I325" s="7"/>
      <c r="J325" s="7"/>
      <c r="K325" s="134"/>
      <c r="L325" s="7"/>
      <c r="M325" s="7"/>
      <c r="N325" s="7"/>
      <c r="O325" s="7"/>
      <c r="P325" s="7"/>
      <c r="Q325" s="7"/>
      <c r="R325" s="7"/>
      <c r="S325" s="6"/>
      <c r="T325" s="6"/>
      <c r="V325" s="131"/>
      <c r="W325" s="129"/>
      <c r="X325" s="129"/>
      <c r="Y325" s="235"/>
      <c r="Z325" s="3"/>
    </row>
    <row r="326" spans="1:26" s="135" customFormat="1" ht="26.25" customHeight="1" x14ac:dyDescent="0.45">
      <c r="A326" s="132"/>
      <c r="B326" s="133"/>
      <c r="C326" s="133"/>
      <c r="D326" s="2"/>
      <c r="E326" s="2"/>
      <c r="F326" s="169"/>
      <c r="G326" s="2"/>
      <c r="H326" s="134"/>
      <c r="I326" s="134"/>
      <c r="J326" s="134"/>
      <c r="K326" s="7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37"/>
      <c r="W326" s="26"/>
      <c r="X326" s="26"/>
      <c r="Y326" s="4"/>
      <c r="Z326" s="3"/>
    </row>
    <row r="327" spans="1:26" ht="15" customHeight="1" x14ac:dyDescent="0.35">
      <c r="V327" s="136"/>
      <c r="W327" s="3"/>
      <c r="X327" s="3"/>
    </row>
    <row r="335" spans="1:26" ht="9.75" customHeight="1" x14ac:dyDescent="0.2"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</row>
    <row r="336" spans="1:26" ht="10.5" customHeight="1" x14ac:dyDescent="0.2">
      <c r="D336" s="3"/>
      <c r="E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</row>
    <row r="337" spans="6:10" s="3" customFormat="1" ht="9.75" customHeight="1" x14ac:dyDescent="0.2">
      <c r="F337" s="4"/>
    </row>
    <row r="350" spans="6:10" s="3" customFormat="1" ht="9.75" customHeight="1" x14ac:dyDescent="0.2">
      <c r="J350" s="5"/>
    </row>
  </sheetData>
  <sortState xmlns:xlrd2="http://schemas.microsoft.com/office/spreadsheetml/2017/richdata2" ref="A4:AC123">
    <sortCondition ref="B4:B123"/>
    <sortCondition ref="G4:G123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78"/>
  <sheetViews>
    <sheetView zoomScale="120" zoomScaleNormal="120" workbookViewId="0">
      <pane ySplit="1" topLeftCell="A2" activePane="bottomLeft" state="frozen"/>
      <selection pane="bottomLeft" activeCell="B1" sqref="B1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29861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255" t="s">
        <v>38</v>
      </c>
      <c r="B4" s="208" t="s">
        <v>112</v>
      </c>
      <c r="C4" s="231"/>
      <c r="D4" s="228">
        <v>8233101</v>
      </c>
      <c r="E4" s="184">
        <v>45161</v>
      </c>
      <c r="F4" s="187" t="s">
        <v>20</v>
      </c>
      <c r="G4" s="209">
        <v>45162</v>
      </c>
      <c r="H4" s="192"/>
      <c r="I4" s="190"/>
      <c r="J4" s="190"/>
      <c r="K4" s="190"/>
      <c r="L4" s="190"/>
      <c r="M4" s="192"/>
      <c r="N4" s="190"/>
      <c r="O4" s="192"/>
      <c r="P4" s="210"/>
      <c r="Q4" s="196"/>
      <c r="R4" s="192">
        <v>39</v>
      </c>
      <c r="S4" s="196">
        <v>12.5</v>
      </c>
      <c r="T4" s="199">
        <v>4</v>
      </c>
      <c r="U4" s="202">
        <f t="shared" ref="U4:U35" si="0">SUM(H4:T4)</f>
        <v>55.5</v>
      </c>
      <c r="V4" s="206" t="s">
        <v>65</v>
      </c>
      <c r="W4" s="218" t="s">
        <v>58</v>
      </c>
      <c r="X4" s="65" t="s">
        <v>17</v>
      </c>
      <c r="Y4" s="105"/>
      <c r="Z4" s="181"/>
    </row>
    <row r="5" spans="1:26" s="2" customFormat="1" ht="14.1" customHeight="1" x14ac:dyDescent="0.35">
      <c r="A5" s="256" t="s">
        <v>38</v>
      </c>
      <c r="B5" s="219" t="s">
        <v>84</v>
      </c>
      <c r="C5" s="232"/>
      <c r="D5" s="230">
        <v>7203101</v>
      </c>
      <c r="E5" s="186">
        <v>45127</v>
      </c>
      <c r="F5" s="189" t="s">
        <v>20</v>
      </c>
      <c r="G5" s="220">
        <v>45127</v>
      </c>
      <c r="H5" s="195"/>
      <c r="I5" s="193"/>
      <c r="J5" s="193"/>
      <c r="K5" s="193"/>
      <c r="L5" s="193"/>
      <c r="M5" s="195"/>
      <c r="N5" s="193"/>
      <c r="O5" s="195"/>
      <c r="P5" s="221"/>
      <c r="Q5" s="198"/>
      <c r="R5" s="195">
        <v>240</v>
      </c>
      <c r="S5" s="198">
        <v>50</v>
      </c>
      <c r="T5" s="201">
        <v>18.600000000000001</v>
      </c>
      <c r="U5" s="204">
        <f t="shared" si="0"/>
        <v>308.60000000000002</v>
      </c>
      <c r="V5" s="207" t="s">
        <v>68</v>
      </c>
      <c r="W5" s="223" t="s">
        <v>85</v>
      </c>
      <c r="X5" s="65" t="s">
        <v>17</v>
      </c>
      <c r="Y5" s="105"/>
      <c r="Z5" s="181"/>
    </row>
    <row r="6" spans="1:26" s="2" customFormat="1" ht="14.1" customHeight="1" x14ac:dyDescent="0.35">
      <c r="A6" s="256" t="s">
        <v>38</v>
      </c>
      <c r="B6" s="219" t="s">
        <v>90</v>
      </c>
      <c r="C6" s="232"/>
      <c r="D6" s="230">
        <v>7243105</v>
      </c>
      <c r="E6" s="186">
        <v>45131</v>
      </c>
      <c r="F6" s="189" t="s">
        <v>20</v>
      </c>
      <c r="G6" s="220">
        <v>45132</v>
      </c>
      <c r="H6" s="195"/>
      <c r="I6" s="193"/>
      <c r="J6" s="193"/>
      <c r="K6" s="193"/>
      <c r="L6" s="193"/>
      <c r="M6" s="195"/>
      <c r="N6" s="193"/>
      <c r="O6" s="195"/>
      <c r="P6" s="221"/>
      <c r="Q6" s="198"/>
      <c r="R6" s="195">
        <v>188</v>
      </c>
      <c r="S6" s="198">
        <v>37.5</v>
      </c>
      <c r="T6" s="201">
        <v>16.22</v>
      </c>
      <c r="U6" s="204">
        <f t="shared" si="0"/>
        <v>241.72</v>
      </c>
      <c r="V6" s="207" t="s">
        <v>65</v>
      </c>
      <c r="W6" s="223" t="s">
        <v>38</v>
      </c>
      <c r="X6" s="65" t="s">
        <v>17</v>
      </c>
      <c r="Y6" s="105"/>
      <c r="Z6" s="181"/>
    </row>
    <row r="7" spans="1:26" s="2" customFormat="1" ht="13.2" customHeight="1" x14ac:dyDescent="0.35">
      <c r="A7" s="247" t="s">
        <v>38</v>
      </c>
      <c r="B7" s="3" t="s">
        <v>181</v>
      </c>
      <c r="C7" s="4"/>
      <c r="D7" s="52">
        <v>9213102</v>
      </c>
      <c r="E7" s="98">
        <v>45190</v>
      </c>
      <c r="F7" s="44" t="s">
        <v>20</v>
      </c>
      <c r="G7" s="61">
        <v>45191</v>
      </c>
      <c r="H7" s="42"/>
      <c r="I7" s="28"/>
      <c r="J7" s="28"/>
      <c r="K7" s="28"/>
      <c r="L7" s="28"/>
      <c r="M7" s="42"/>
      <c r="N7" s="28"/>
      <c r="O7" s="42"/>
      <c r="P7" s="7"/>
      <c r="Q7" s="43"/>
      <c r="R7" s="42">
        <v>318</v>
      </c>
      <c r="S7" s="43">
        <v>62.5</v>
      </c>
      <c r="T7" s="32">
        <v>29.42</v>
      </c>
      <c r="U7" s="53">
        <f t="shared" si="0"/>
        <v>409.92</v>
      </c>
      <c r="V7" s="64" t="s">
        <v>65</v>
      </c>
      <c r="W7" s="2" t="s">
        <v>5</v>
      </c>
      <c r="X7" s="65" t="s">
        <v>17</v>
      </c>
      <c r="Y7" s="105"/>
      <c r="Z7" s="181"/>
    </row>
    <row r="8" spans="1:26" s="2" customFormat="1" ht="14.1" customHeight="1" x14ac:dyDescent="0.35">
      <c r="A8" s="255" t="s">
        <v>38</v>
      </c>
      <c r="B8" s="208" t="s">
        <v>122</v>
      </c>
      <c r="C8" s="231"/>
      <c r="D8" s="228">
        <v>8313101</v>
      </c>
      <c r="E8" s="184">
        <v>45169</v>
      </c>
      <c r="F8" s="187" t="s">
        <v>20</v>
      </c>
      <c r="G8" s="209">
        <v>45169</v>
      </c>
      <c r="H8" s="192"/>
      <c r="I8" s="190"/>
      <c r="J8" s="190"/>
      <c r="K8" s="190"/>
      <c r="L8" s="190"/>
      <c r="M8" s="192"/>
      <c r="N8" s="190"/>
      <c r="O8" s="192"/>
      <c r="P8" s="210"/>
      <c r="Q8" s="196"/>
      <c r="R8" s="192">
        <v>100</v>
      </c>
      <c r="S8" s="196">
        <v>25</v>
      </c>
      <c r="T8" s="199">
        <v>10.25</v>
      </c>
      <c r="U8" s="202">
        <f t="shared" si="0"/>
        <v>135.25</v>
      </c>
      <c r="V8" s="206" t="s">
        <v>65</v>
      </c>
      <c r="W8" s="218" t="s">
        <v>5</v>
      </c>
      <c r="X8" s="65" t="s">
        <v>17</v>
      </c>
      <c r="Y8" s="105"/>
      <c r="Z8" s="181"/>
    </row>
    <row r="9" spans="1:26" s="2" customFormat="1" ht="14.1" customHeight="1" x14ac:dyDescent="0.35">
      <c r="A9" s="257" t="s">
        <v>38</v>
      </c>
      <c r="B9" s="224" t="s">
        <v>75</v>
      </c>
      <c r="C9" s="239"/>
      <c r="D9" s="229">
        <v>5303104</v>
      </c>
      <c r="E9" s="185">
        <v>45076</v>
      </c>
      <c r="F9" s="188" t="s">
        <v>20</v>
      </c>
      <c r="G9" s="225">
        <v>45076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29</v>
      </c>
      <c r="S9" s="197">
        <v>12.5</v>
      </c>
      <c r="T9" s="200">
        <v>2.5</v>
      </c>
      <c r="U9" s="203">
        <f t="shared" si="0"/>
        <v>44</v>
      </c>
      <c r="V9" s="205" t="s">
        <v>65</v>
      </c>
      <c r="W9" s="227" t="s">
        <v>38</v>
      </c>
      <c r="X9" s="65" t="s">
        <v>17</v>
      </c>
      <c r="Y9" s="105"/>
      <c r="Z9" s="181"/>
    </row>
    <row r="10" spans="1:26" s="2" customFormat="1" ht="14.1" customHeight="1" x14ac:dyDescent="0.35">
      <c r="A10" s="247" t="s">
        <v>38</v>
      </c>
      <c r="B10" s="3" t="s">
        <v>79</v>
      </c>
      <c r="C10" s="4"/>
      <c r="D10" s="52">
        <v>9053103</v>
      </c>
      <c r="E10" s="98">
        <v>45174</v>
      </c>
      <c r="F10" s="44" t="s">
        <v>20</v>
      </c>
      <c r="G10" s="61">
        <v>45174</v>
      </c>
      <c r="H10" s="42"/>
      <c r="I10" s="28"/>
      <c r="J10" s="28"/>
      <c r="K10" s="28"/>
      <c r="L10" s="28"/>
      <c r="M10" s="42"/>
      <c r="N10" s="28"/>
      <c r="O10" s="42"/>
      <c r="P10" s="7"/>
      <c r="Q10" s="43"/>
      <c r="R10" s="42">
        <v>149</v>
      </c>
      <c r="S10" s="43">
        <v>37.5</v>
      </c>
      <c r="T10" s="32">
        <v>13.41</v>
      </c>
      <c r="U10" s="53">
        <f t="shared" si="0"/>
        <v>199.91</v>
      </c>
      <c r="V10" s="64" t="s">
        <v>65</v>
      </c>
      <c r="W10" s="2" t="s">
        <v>128</v>
      </c>
      <c r="X10" s="65" t="s">
        <v>17</v>
      </c>
      <c r="Y10" s="105"/>
      <c r="Z10" s="181"/>
    </row>
    <row r="11" spans="1:26" s="2" customFormat="1" ht="14.1" customHeight="1" x14ac:dyDescent="0.35">
      <c r="A11" s="247" t="s">
        <v>38</v>
      </c>
      <c r="B11" s="3" t="s">
        <v>134</v>
      </c>
      <c r="C11" s="4"/>
      <c r="D11" s="52">
        <v>9073101</v>
      </c>
      <c r="E11" s="98">
        <v>45176</v>
      </c>
      <c r="F11" s="44" t="s">
        <v>20</v>
      </c>
      <c r="G11" s="61">
        <v>45176</v>
      </c>
      <c r="H11" s="42"/>
      <c r="I11" s="28"/>
      <c r="J11" s="28"/>
      <c r="K11" s="28"/>
      <c r="L11" s="28"/>
      <c r="M11" s="42"/>
      <c r="N11" s="28"/>
      <c r="O11" s="42"/>
      <c r="P11" s="7"/>
      <c r="Q11" s="43"/>
      <c r="R11" s="42">
        <v>65</v>
      </c>
      <c r="S11" s="43">
        <v>25</v>
      </c>
      <c r="T11" s="32">
        <v>5.61</v>
      </c>
      <c r="U11" s="53">
        <f t="shared" si="0"/>
        <v>95.61</v>
      </c>
      <c r="V11" s="64" t="s">
        <v>65</v>
      </c>
      <c r="W11" s="2" t="s">
        <v>58</v>
      </c>
      <c r="X11" s="65" t="s">
        <v>17</v>
      </c>
      <c r="Y11" s="105"/>
      <c r="Z11" s="181"/>
    </row>
    <row r="12" spans="1:26" s="2" customFormat="1" ht="14.1" customHeight="1" x14ac:dyDescent="0.35">
      <c r="A12" s="247" t="s">
        <v>38</v>
      </c>
      <c r="B12" s="3" t="s">
        <v>73</v>
      </c>
      <c r="C12" s="4"/>
      <c r="D12" s="52">
        <v>9143063</v>
      </c>
      <c r="E12" s="98">
        <v>45183</v>
      </c>
      <c r="F12" s="44" t="s">
        <v>20</v>
      </c>
      <c r="G12" s="61">
        <v>45183</v>
      </c>
      <c r="H12" s="42"/>
      <c r="I12" s="28"/>
      <c r="J12" s="28"/>
      <c r="K12" s="28"/>
      <c r="L12" s="28"/>
      <c r="M12" s="42"/>
      <c r="N12" s="28"/>
      <c r="O12" s="42"/>
      <c r="P12" s="7"/>
      <c r="Q12" s="43"/>
      <c r="R12" s="42">
        <v>120</v>
      </c>
      <c r="S12" s="43">
        <v>25</v>
      </c>
      <c r="T12" s="32">
        <v>9.3000000000000007</v>
      </c>
      <c r="U12" s="53">
        <f t="shared" si="0"/>
        <v>154.30000000000001</v>
      </c>
      <c r="V12" s="64" t="s">
        <v>65</v>
      </c>
      <c r="W12" s="2" t="s">
        <v>128</v>
      </c>
      <c r="X12" s="65" t="s">
        <v>17</v>
      </c>
      <c r="Y12" s="105"/>
      <c r="Z12" s="181"/>
    </row>
    <row r="13" spans="1:26" s="2" customFormat="1" ht="14.1" customHeight="1" thickBot="1" x14ac:dyDescent="0.4">
      <c r="A13" s="247" t="s">
        <v>38</v>
      </c>
      <c r="B13" s="3" t="s">
        <v>189</v>
      </c>
      <c r="C13" s="4" t="s">
        <v>190</v>
      </c>
      <c r="D13" s="52">
        <v>9253108</v>
      </c>
      <c r="E13" s="98">
        <v>45194</v>
      </c>
      <c r="F13" s="44" t="s">
        <v>20</v>
      </c>
      <c r="G13" s="61">
        <v>45194</v>
      </c>
      <c r="H13" s="42"/>
      <c r="I13" s="28"/>
      <c r="J13" s="28"/>
      <c r="K13" s="28"/>
      <c r="L13" s="28"/>
      <c r="M13" s="42"/>
      <c r="N13" s="28"/>
      <c r="O13" s="42"/>
      <c r="P13" s="7"/>
      <c r="Q13" s="43"/>
      <c r="R13" s="42">
        <v>180</v>
      </c>
      <c r="S13" s="43">
        <v>50</v>
      </c>
      <c r="T13" s="32">
        <v>15.08</v>
      </c>
      <c r="U13" s="53">
        <f t="shared" si="0"/>
        <v>245.08</v>
      </c>
      <c r="V13" s="64" t="s">
        <v>65</v>
      </c>
      <c r="W13" s="2" t="s">
        <v>38</v>
      </c>
      <c r="X13" s="65" t="s">
        <v>17</v>
      </c>
      <c r="Y13" s="105"/>
      <c r="Z13" s="181"/>
    </row>
    <row r="14" spans="1:26" s="2" customFormat="1" ht="14.1" customHeight="1" thickBot="1" x14ac:dyDescent="0.4">
      <c r="A14" s="248" t="s">
        <v>38</v>
      </c>
      <c r="B14" s="177" t="s">
        <v>200</v>
      </c>
      <c r="C14" s="178"/>
      <c r="D14" s="178">
        <v>9293101</v>
      </c>
      <c r="E14" s="211">
        <v>45198</v>
      </c>
      <c r="F14" s="212" t="s">
        <v>20</v>
      </c>
      <c r="G14" s="179">
        <v>45198</v>
      </c>
      <c r="H14" s="213"/>
      <c r="I14" s="213"/>
      <c r="J14" s="214"/>
      <c r="K14" s="214"/>
      <c r="L14" s="214"/>
      <c r="M14" s="213"/>
      <c r="N14" s="213"/>
      <c r="O14" s="213"/>
      <c r="P14" s="50"/>
      <c r="Q14" s="222"/>
      <c r="R14" s="213">
        <v>195</v>
      </c>
      <c r="S14" s="222">
        <v>37.5</v>
      </c>
      <c r="T14" s="215">
        <v>20.96</v>
      </c>
      <c r="U14" s="216">
        <f t="shared" si="0"/>
        <v>253.46</v>
      </c>
      <c r="V14" s="217" t="s">
        <v>65</v>
      </c>
      <c r="W14" s="84" t="s">
        <v>5</v>
      </c>
      <c r="X14" s="84" t="s">
        <v>17</v>
      </c>
      <c r="Y14" s="262"/>
      <c r="Z14" s="181"/>
    </row>
    <row r="15" spans="1:26" s="2" customFormat="1" ht="14.1" customHeight="1" x14ac:dyDescent="0.35">
      <c r="A15" s="247" t="s">
        <v>38</v>
      </c>
      <c r="B15" s="3" t="s">
        <v>97</v>
      </c>
      <c r="C15" s="4"/>
      <c r="D15" s="52">
        <v>9013052</v>
      </c>
      <c r="E15" s="98">
        <v>45170</v>
      </c>
      <c r="F15" s="44" t="s">
        <v>74</v>
      </c>
      <c r="G15" s="61">
        <v>45174</v>
      </c>
      <c r="H15" s="42"/>
      <c r="I15" s="28"/>
      <c r="J15" s="28"/>
      <c r="K15" s="28"/>
      <c r="L15" s="28"/>
      <c r="M15" s="42">
        <v>49</v>
      </c>
      <c r="N15" s="28"/>
      <c r="O15" s="42"/>
      <c r="P15" s="7"/>
      <c r="Q15" s="43"/>
      <c r="R15" s="42"/>
      <c r="S15" s="43"/>
      <c r="T15" s="32"/>
      <c r="U15" s="53">
        <f t="shared" si="0"/>
        <v>49</v>
      </c>
      <c r="V15" s="64" t="s">
        <v>25</v>
      </c>
      <c r="W15" s="2" t="s">
        <v>6</v>
      </c>
      <c r="X15" s="65" t="s">
        <v>17</v>
      </c>
      <c r="Y15" s="105"/>
      <c r="Z15" s="181"/>
    </row>
    <row r="16" spans="1:26" s="2" customFormat="1" ht="14.1" customHeight="1" x14ac:dyDescent="0.35">
      <c r="A16" s="247" t="s">
        <v>38</v>
      </c>
      <c r="B16" s="3" t="s">
        <v>34</v>
      </c>
      <c r="C16" s="4"/>
      <c r="D16" s="52">
        <v>9093062</v>
      </c>
      <c r="E16" s="98">
        <v>45178</v>
      </c>
      <c r="F16" s="44" t="s">
        <v>20</v>
      </c>
      <c r="G16" s="61">
        <v>45180</v>
      </c>
      <c r="H16" s="42"/>
      <c r="I16" s="28"/>
      <c r="J16" s="28"/>
      <c r="K16" s="28"/>
      <c r="L16" s="28"/>
      <c r="M16" s="42"/>
      <c r="N16" s="28"/>
      <c r="O16" s="42"/>
      <c r="P16" s="7"/>
      <c r="Q16" s="43"/>
      <c r="R16" s="42">
        <v>345</v>
      </c>
      <c r="S16" s="43"/>
      <c r="T16" s="32"/>
      <c r="U16" s="53">
        <f t="shared" si="0"/>
        <v>345</v>
      </c>
      <c r="V16" s="64" t="s">
        <v>65</v>
      </c>
      <c r="W16" s="2" t="s">
        <v>5</v>
      </c>
      <c r="X16" s="65" t="s">
        <v>17</v>
      </c>
      <c r="Y16" s="105"/>
      <c r="Z16" s="181"/>
    </row>
    <row r="17" spans="1:26" s="2" customFormat="1" ht="14.1" customHeight="1" x14ac:dyDescent="0.35">
      <c r="A17" s="247" t="s">
        <v>38</v>
      </c>
      <c r="B17" s="3" t="s">
        <v>182</v>
      </c>
      <c r="C17" s="4"/>
      <c r="D17" s="52">
        <v>9213103</v>
      </c>
      <c r="E17" s="98">
        <v>45190</v>
      </c>
      <c r="F17" s="44" t="s">
        <v>20</v>
      </c>
      <c r="G17" s="61">
        <v>45191</v>
      </c>
      <c r="H17" s="42"/>
      <c r="I17" s="28"/>
      <c r="J17" s="28"/>
      <c r="K17" s="28"/>
      <c r="L17" s="28"/>
      <c r="M17" s="42"/>
      <c r="N17" s="28"/>
      <c r="O17" s="42"/>
      <c r="P17" s="7"/>
      <c r="Q17" s="43"/>
      <c r="R17" s="42">
        <v>120</v>
      </c>
      <c r="S17" s="43">
        <v>25</v>
      </c>
      <c r="T17" s="32">
        <v>10.35</v>
      </c>
      <c r="U17" s="53">
        <f t="shared" si="0"/>
        <v>155.35</v>
      </c>
      <c r="V17" s="64" t="s">
        <v>65</v>
      </c>
      <c r="W17" s="2" t="s">
        <v>58</v>
      </c>
      <c r="X17" s="65" t="s">
        <v>17</v>
      </c>
      <c r="Y17" s="105"/>
      <c r="Z17" s="181"/>
    </row>
    <row r="18" spans="1:26" s="2" customFormat="1" ht="14.1" customHeight="1" x14ac:dyDescent="0.35">
      <c r="A18" s="256" t="s">
        <v>38</v>
      </c>
      <c r="B18" s="219" t="s">
        <v>78</v>
      </c>
      <c r="C18" s="232"/>
      <c r="D18" s="230">
        <v>7273105</v>
      </c>
      <c r="E18" s="186">
        <v>45134</v>
      </c>
      <c r="F18" s="189" t="s">
        <v>20</v>
      </c>
      <c r="G18" s="220">
        <v>45135</v>
      </c>
      <c r="H18" s="195"/>
      <c r="I18" s="193"/>
      <c r="J18" s="193"/>
      <c r="K18" s="193"/>
      <c r="L18" s="193"/>
      <c r="M18" s="195"/>
      <c r="N18" s="193"/>
      <c r="O18" s="195"/>
      <c r="P18" s="221"/>
      <c r="Q18" s="198"/>
      <c r="R18" s="195">
        <v>195</v>
      </c>
      <c r="S18" s="198">
        <v>37.5</v>
      </c>
      <c r="T18" s="201">
        <v>16.82</v>
      </c>
      <c r="U18" s="204">
        <f t="shared" si="0"/>
        <v>249.32</v>
      </c>
      <c r="V18" s="207" t="s">
        <v>65</v>
      </c>
      <c r="W18" s="223" t="s">
        <v>58</v>
      </c>
      <c r="X18" s="65" t="s">
        <v>17</v>
      </c>
      <c r="Y18" s="105"/>
      <c r="Z18" s="181"/>
    </row>
    <row r="19" spans="1:26" s="2" customFormat="1" ht="14.1" customHeight="1" x14ac:dyDescent="0.35">
      <c r="A19" s="247" t="s">
        <v>38</v>
      </c>
      <c r="B19" s="3" t="s">
        <v>113</v>
      </c>
      <c r="C19" s="4"/>
      <c r="D19" s="52">
        <v>9083103</v>
      </c>
      <c r="E19" s="98">
        <v>45177</v>
      </c>
      <c r="F19" s="44" t="s">
        <v>20</v>
      </c>
      <c r="G19" s="61">
        <v>45180</v>
      </c>
      <c r="H19" s="42"/>
      <c r="I19" s="28"/>
      <c r="J19" s="28"/>
      <c r="K19" s="28"/>
      <c r="L19" s="28"/>
      <c r="M19" s="42"/>
      <c r="N19" s="28"/>
      <c r="O19" s="42"/>
      <c r="P19" s="7"/>
      <c r="Q19" s="43"/>
      <c r="R19" s="42">
        <v>185</v>
      </c>
      <c r="S19" s="43">
        <v>37.5</v>
      </c>
      <c r="T19" s="32">
        <v>15.96</v>
      </c>
      <c r="U19" s="53">
        <f t="shared" si="0"/>
        <v>238.46</v>
      </c>
      <c r="V19" s="64" t="s">
        <v>65</v>
      </c>
      <c r="W19" s="2" t="s">
        <v>5</v>
      </c>
      <c r="X19" s="65" t="s">
        <v>17</v>
      </c>
      <c r="Y19" s="105"/>
      <c r="Z19" s="181"/>
    </row>
    <row r="20" spans="1:26" s="2" customFormat="1" ht="14.1" customHeight="1" x14ac:dyDescent="0.35">
      <c r="A20" s="256" t="s">
        <v>38</v>
      </c>
      <c r="B20" s="219" t="s">
        <v>92</v>
      </c>
      <c r="C20" s="232"/>
      <c r="D20" s="230">
        <v>7273104</v>
      </c>
      <c r="E20" s="186">
        <v>45134</v>
      </c>
      <c r="F20" s="189" t="s">
        <v>20</v>
      </c>
      <c r="G20" s="220">
        <v>45135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260</v>
      </c>
      <c r="S20" s="198">
        <v>50</v>
      </c>
      <c r="T20" s="201">
        <v>23.73</v>
      </c>
      <c r="U20" s="204">
        <f t="shared" si="0"/>
        <v>333.73</v>
      </c>
      <c r="V20" s="207" t="s">
        <v>65</v>
      </c>
      <c r="W20" s="223" t="s">
        <v>58</v>
      </c>
      <c r="X20" s="65" t="s">
        <v>17</v>
      </c>
      <c r="Y20" s="105"/>
      <c r="Z20" s="181"/>
    </row>
    <row r="21" spans="1:26" s="2" customFormat="1" ht="14.1" customHeight="1" x14ac:dyDescent="0.35">
      <c r="A21" s="247" t="s">
        <v>38</v>
      </c>
      <c r="B21" s="3" t="s">
        <v>158</v>
      </c>
      <c r="C21" s="4" t="s">
        <v>127</v>
      </c>
      <c r="D21" s="52">
        <v>9153107</v>
      </c>
      <c r="E21" s="98">
        <v>45184</v>
      </c>
      <c r="F21" s="44" t="s">
        <v>20</v>
      </c>
      <c r="G21" s="61">
        <v>45187</v>
      </c>
      <c r="H21" s="42"/>
      <c r="I21" s="28"/>
      <c r="J21" s="28"/>
      <c r="K21" s="28"/>
      <c r="L21" s="28"/>
      <c r="M21" s="42"/>
      <c r="N21" s="28"/>
      <c r="O21" s="42"/>
      <c r="P21" s="7"/>
      <c r="Q21" s="43"/>
      <c r="R21" s="42">
        <v>104</v>
      </c>
      <c r="S21" s="43">
        <v>25</v>
      </c>
      <c r="T21" s="32">
        <v>8.9700000000000006</v>
      </c>
      <c r="U21" s="53">
        <f t="shared" si="0"/>
        <v>137.97</v>
      </c>
      <c r="V21" s="64" t="s">
        <v>65</v>
      </c>
      <c r="W21" s="2" t="s">
        <v>128</v>
      </c>
      <c r="X21" s="65" t="s">
        <v>17</v>
      </c>
      <c r="Y21" s="105"/>
      <c r="Z21" s="181"/>
    </row>
    <row r="22" spans="1:26" s="2" customFormat="1" ht="14.1" customHeight="1" x14ac:dyDescent="0.35">
      <c r="A22" s="256" t="s">
        <v>38</v>
      </c>
      <c r="B22" s="219" t="s">
        <v>82</v>
      </c>
      <c r="C22" s="232"/>
      <c r="D22" s="230">
        <v>7103107</v>
      </c>
      <c r="E22" s="186">
        <v>45117</v>
      </c>
      <c r="F22" s="189" t="s">
        <v>20</v>
      </c>
      <c r="G22" s="220">
        <v>45118</v>
      </c>
      <c r="H22" s="195"/>
      <c r="I22" s="193"/>
      <c r="J22" s="193"/>
      <c r="K22" s="193"/>
      <c r="L22" s="193"/>
      <c r="M22" s="195"/>
      <c r="N22" s="193"/>
      <c r="O22" s="195"/>
      <c r="P22" s="221"/>
      <c r="Q22" s="198"/>
      <c r="R22" s="195">
        <v>65</v>
      </c>
      <c r="S22" s="198">
        <v>12.5</v>
      </c>
      <c r="T22" s="201">
        <v>6.01</v>
      </c>
      <c r="U22" s="204">
        <f t="shared" si="0"/>
        <v>83.51</v>
      </c>
      <c r="V22" s="207" t="s">
        <v>65</v>
      </c>
      <c r="W22" s="223" t="s">
        <v>38</v>
      </c>
      <c r="X22" s="65" t="s">
        <v>17</v>
      </c>
      <c r="Y22" s="105"/>
      <c r="Z22" s="181"/>
    </row>
    <row r="23" spans="1:26" s="2" customFormat="1" ht="14.1" customHeight="1" x14ac:dyDescent="0.35">
      <c r="A23" s="247" t="s">
        <v>38</v>
      </c>
      <c r="B23" s="3" t="s">
        <v>184</v>
      </c>
      <c r="C23" s="4"/>
      <c r="D23" s="52">
        <v>9223102</v>
      </c>
      <c r="E23" s="98">
        <v>45191</v>
      </c>
      <c r="F23" s="44" t="s">
        <v>20</v>
      </c>
      <c r="G23" s="61">
        <v>45194</v>
      </c>
      <c r="H23" s="42"/>
      <c r="I23" s="28"/>
      <c r="J23" s="28"/>
      <c r="K23" s="28"/>
      <c r="L23" s="28"/>
      <c r="M23" s="42"/>
      <c r="N23" s="28"/>
      <c r="O23" s="42"/>
      <c r="P23" s="7"/>
      <c r="Q23" s="43"/>
      <c r="R23" s="42">
        <v>130</v>
      </c>
      <c r="S23" s="43">
        <v>25</v>
      </c>
      <c r="T23" s="32">
        <v>12.84</v>
      </c>
      <c r="U23" s="53">
        <f t="shared" si="0"/>
        <v>167.84</v>
      </c>
      <c r="V23" s="64" t="s">
        <v>65</v>
      </c>
      <c r="W23" s="2" t="s">
        <v>5</v>
      </c>
      <c r="X23" s="65" t="s">
        <v>17</v>
      </c>
      <c r="Y23" s="105"/>
      <c r="Z23" s="181"/>
    </row>
    <row r="24" spans="1:26" s="2" customFormat="1" ht="14.1" customHeight="1" x14ac:dyDescent="0.35">
      <c r="A24" s="247" t="s">
        <v>38</v>
      </c>
      <c r="B24" s="3" t="s">
        <v>165</v>
      </c>
      <c r="C24" s="4"/>
      <c r="D24" s="52">
        <v>9183101</v>
      </c>
      <c r="E24" s="98">
        <v>45187</v>
      </c>
      <c r="F24" s="44" t="s">
        <v>20</v>
      </c>
      <c r="G24" s="61">
        <v>45188</v>
      </c>
      <c r="H24" s="42"/>
      <c r="I24" s="28"/>
      <c r="J24" s="28"/>
      <c r="K24" s="28"/>
      <c r="L24" s="28"/>
      <c r="M24" s="42"/>
      <c r="N24" s="28"/>
      <c r="O24" s="42"/>
      <c r="P24" s="7"/>
      <c r="Q24" s="43"/>
      <c r="R24" s="42">
        <v>130</v>
      </c>
      <c r="S24" s="43">
        <v>25</v>
      </c>
      <c r="T24" s="32">
        <v>11.21</v>
      </c>
      <c r="U24" s="53">
        <f t="shared" si="0"/>
        <v>166.21</v>
      </c>
      <c r="V24" s="64" t="s">
        <v>65</v>
      </c>
      <c r="W24" s="2" t="s">
        <v>128</v>
      </c>
      <c r="X24" s="65" t="s">
        <v>17</v>
      </c>
      <c r="Y24" s="105"/>
      <c r="Z24" s="181"/>
    </row>
    <row r="25" spans="1:26" s="2" customFormat="1" ht="14.1" customHeight="1" x14ac:dyDescent="0.35">
      <c r="A25" s="257" t="s">
        <v>38</v>
      </c>
      <c r="B25" s="224" t="s">
        <v>62</v>
      </c>
      <c r="C25" s="239"/>
      <c r="D25" s="229">
        <v>3133101</v>
      </c>
      <c r="E25" s="185">
        <v>44998</v>
      </c>
      <c r="F25" s="188" t="s">
        <v>20</v>
      </c>
      <c r="G25" s="225">
        <v>44998</v>
      </c>
      <c r="H25" s="194"/>
      <c r="I25" s="191"/>
      <c r="J25" s="191"/>
      <c r="K25" s="191"/>
      <c r="L25" s="191"/>
      <c r="M25" s="194"/>
      <c r="N25" s="191"/>
      <c r="O25" s="194"/>
      <c r="P25" s="226"/>
      <c r="Q25" s="197"/>
      <c r="R25" s="194">
        <v>298</v>
      </c>
      <c r="S25" s="197">
        <v>62.5</v>
      </c>
      <c r="T25" s="200">
        <v>24.59</v>
      </c>
      <c r="U25" s="203">
        <f t="shared" si="0"/>
        <v>385.09</v>
      </c>
      <c r="V25" s="205" t="s">
        <v>65</v>
      </c>
      <c r="W25" s="227" t="s">
        <v>61</v>
      </c>
      <c r="X25" s="65" t="s">
        <v>17</v>
      </c>
      <c r="Y25" s="105"/>
      <c r="Z25" s="181"/>
    </row>
    <row r="26" spans="1:26" s="2" customFormat="1" ht="14.1" customHeight="1" x14ac:dyDescent="0.35">
      <c r="A26" s="257" t="s">
        <v>38</v>
      </c>
      <c r="B26" s="224" t="s">
        <v>62</v>
      </c>
      <c r="C26" s="239"/>
      <c r="D26" s="229">
        <v>4103101</v>
      </c>
      <c r="E26" s="185">
        <v>45026</v>
      </c>
      <c r="F26" s="188" t="s">
        <v>20</v>
      </c>
      <c r="G26" s="225">
        <v>45026</v>
      </c>
      <c r="H26" s="194"/>
      <c r="I26" s="191"/>
      <c r="J26" s="191"/>
      <c r="K26" s="191"/>
      <c r="L26" s="191"/>
      <c r="M26" s="194"/>
      <c r="N26" s="191"/>
      <c r="O26" s="194"/>
      <c r="P26" s="226"/>
      <c r="Q26" s="197"/>
      <c r="R26" s="194">
        <v>415</v>
      </c>
      <c r="S26" s="197">
        <v>62.5</v>
      </c>
      <c r="T26" s="200">
        <v>34.24</v>
      </c>
      <c r="U26" s="203">
        <f t="shared" si="0"/>
        <v>511.74</v>
      </c>
      <c r="V26" s="205" t="s">
        <v>65</v>
      </c>
      <c r="W26" s="227" t="s">
        <v>58</v>
      </c>
      <c r="X26" s="65" t="s">
        <v>17</v>
      </c>
      <c r="Y26" s="105"/>
      <c r="Z26" s="181"/>
    </row>
    <row r="27" spans="1:26" s="2" customFormat="1" ht="14.1" customHeight="1" x14ac:dyDescent="0.35">
      <c r="A27" s="257" t="s">
        <v>38</v>
      </c>
      <c r="B27" s="224" t="s">
        <v>62</v>
      </c>
      <c r="C27" s="239"/>
      <c r="D27" s="229">
        <v>6063102</v>
      </c>
      <c r="E27" s="185">
        <v>45083</v>
      </c>
      <c r="F27" s="188" t="s">
        <v>20</v>
      </c>
      <c r="G27" s="225">
        <v>45083</v>
      </c>
      <c r="H27" s="194"/>
      <c r="I27" s="191"/>
      <c r="J27" s="191"/>
      <c r="K27" s="191"/>
      <c r="L27" s="191"/>
      <c r="M27" s="194"/>
      <c r="N27" s="191"/>
      <c r="O27" s="194"/>
      <c r="P27" s="226"/>
      <c r="Q27" s="197"/>
      <c r="R27" s="194">
        <v>415</v>
      </c>
      <c r="S27" s="197">
        <v>62.5</v>
      </c>
      <c r="T27" s="200">
        <v>34.24</v>
      </c>
      <c r="U27" s="203">
        <f t="shared" si="0"/>
        <v>511.74</v>
      </c>
      <c r="V27" s="205" t="s">
        <v>65</v>
      </c>
      <c r="W27" s="227" t="s">
        <v>58</v>
      </c>
      <c r="X27" s="65" t="s">
        <v>17</v>
      </c>
      <c r="Y27" s="105"/>
      <c r="Z27" s="181"/>
    </row>
    <row r="28" spans="1:26" s="2" customFormat="1" ht="14.1" customHeight="1" x14ac:dyDescent="0.35">
      <c r="A28" s="256" t="s">
        <v>38</v>
      </c>
      <c r="B28" s="219" t="s">
        <v>62</v>
      </c>
      <c r="C28" s="232"/>
      <c r="D28" s="230">
        <v>7103102</v>
      </c>
      <c r="E28" s="186">
        <v>45117</v>
      </c>
      <c r="F28" s="189" t="s">
        <v>20</v>
      </c>
      <c r="G28" s="220">
        <v>45117</v>
      </c>
      <c r="H28" s="195"/>
      <c r="I28" s="193"/>
      <c r="J28" s="193"/>
      <c r="K28" s="193"/>
      <c r="L28" s="193"/>
      <c r="M28" s="195"/>
      <c r="N28" s="193"/>
      <c r="O28" s="195"/>
      <c r="P28" s="221"/>
      <c r="Q28" s="198"/>
      <c r="R28" s="195">
        <v>220</v>
      </c>
      <c r="S28" s="198">
        <v>50</v>
      </c>
      <c r="T28" s="201">
        <v>18.149999999999999</v>
      </c>
      <c r="U28" s="204">
        <f t="shared" si="0"/>
        <v>288.14999999999998</v>
      </c>
      <c r="V28" s="207" t="s">
        <v>65</v>
      </c>
      <c r="W28" s="223" t="s">
        <v>5</v>
      </c>
      <c r="X28" s="65" t="s">
        <v>17</v>
      </c>
      <c r="Y28" s="105"/>
      <c r="Z28" s="181"/>
    </row>
    <row r="29" spans="1:26" s="2" customFormat="1" ht="14.1" customHeight="1" x14ac:dyDescent="0.35">
      <c r="A29" s="255" t="s">
        <v>38</v>
      </c>
      <c r="B29" s="208" t="s">
        <v>62</v>
      </c>
      <c r="C29" s="231"/>
      <c r="D29" s="228">
        <v>8153102</v>
      </c>
      <c r="E29" s="184">
        <v>45153</v>
      </c>
      <c r="F29" s="187" t="s">
        <v>20</v>
      </c>
      <c r="G29" s="209">
        <v>45153</v>
      </c>
      <c r="H29" s="192"/>
      <c r="I29" s="190"/>
      <c r="J29" s="190"/>
      <c r="K29" s="190"/>
      <c r="L29" s="190"/>
      <c r="M29" s="192"/>
      <c r="N29" s="190"/>
      <c r="O29" s="192"/>
      <c r="P29" s="210"/>
      <c r="Q29" s="196"/>
      <c r="R29" s="192">
        <v>220</v>
      </c>
      <c r="S29" s="196">
        <v>50</v>
      </c>
      <c r="T29" s="199">
        <v>18.149999999999999</v>
      </c>
      <c r="U29" s="202">
        <f t="shared" si="0"/>
        <v>288.14999999999998</v>
      </c>
      <c r="V29" s="206" t="s">
        <v>65</v>
      </c>
      <c r="W29" s="218" t="s">
        <v>38</v>
      </c>
      <c r="X29" s="65" t="s">
        <v>17</v>
      </c>
      <c r="Y29" s="105"/>
      <c r="Z29" s="181"/>
    </row>
    <row r="30" spans="1:26" s="2" customFormat="1" ht="14.1" customHeight="1" x14ac:dyDescent="0.35">
      <c r="A30" s="183" t="s">
        <v>38</v>
      </c>
      <c r="B30" s="224" t="s">
        <v>63</v>
      </c>
      <c r="C30" s="239"/>
      <c r="D30" s="229">
        <v>2143103</v>
      </c>
      <c r="E30" s="185">
        <v>44971</v>
      </c>
      <c r="F30" s="188" t="s">
        <v>20</v>
      </c>
      <c r="G30" s="225">
        <v>44971</v>
      </c>
      <c r="H30" s="194"/>
      <c r="I30" s="191"/>
      <c r="J30" s="191"/>
      <c r="K30" s="191"/>
      <c r="L30" s="191"/>
      <c r="M30" s="194"/>
      <c r="N30" s="191"/>
      <c r="O30" s="194"/>
      <c r="P30" s="226"/>
      <c r="Q30" s="197"/>
      <c r="R30" s="194">
        <v>90</v>
      </c>
      <c r="S30" s="197">
        <v>10</v>
      </c>
      <c r="T30" s="200">
        <v>8.44</v>
      </c>
      <c r="U30" s="203">
        <f t="shared" si="0"/>
        <v>108.44</v>
      </c>
      <c r="V30" s="205" t="s">
        <v>30</v>
      </c>
      <c r="W30" s="227" t="s">
        <v>38</v>
      </c>
      <c r="X30" s="65" t="s">
        <v>17</v>
      </c>
      <c r="Y30" s="105"/>
      <c r="Z30" s="181"/>
    </row>
    <row r="31" spans="1:26" s="2" customFormat="1" ht="14.1" customHeight="1" x14ac:dyDescent="0.35">
      <c r="A31" s="256" t="s">
        <v>38</v>
      </c>
      <c r="B31" s="219" t="s">
        <v>63</v>
      </c>
      <c r="C31" s="232"/>
      <c r="D31" s="230">
        <v>7313111</v>
      </c>
      <c r="E31" s="186">
        <v>45138</v>
      </c>
      <c r="F31" s="189" t="s">
        <v>20</v>
      </c>
      <c r="G31" s="220">
        <v>45138</v>
      </c>
      <c r="H31" s="195"/>
      <c r="I31" s="193"/>
      <c r="J31" s="193"/>
      <c r="K31" s="193"/>
      <c r="L31" s="193"/>
      <c r="M31" s="195"/>
      <c r="N31" s="193"/>
      <c r="O31" s="195"/>
      <c r="P31" s="221"/>
      <c r="Q31" s="198"/>
      <c r="R31" s="195">
        <v>240</v>
      </c>
      <c r="S31" s="198">
        <v>50</v>
      </c>
      <c r="T31" s="201">
        <v>22.5</v>
      </c>
      <c r="U31" s="204">
        <f t="shared" si="0"/>
        <v>312.5</v>
      </c>
      <c r="V31" s="207" t="s">
        <v>65</v>
      </c>
      <c r="W31" s="223" t="s">
        <v>5</v>
      </c>
      <c r="X31" s="65" t="s">
        <v>17</v>
      </c>
      <c r="Y31" s="105"/>
      <c r="Z31" s="181"/>
    </row>
    <row r="32" spans="1:26" s="2" customFormat="1" ht="14.1" customHeight="1" thickBot="1" x14ac:dyDescent="0.4">
      <c r="A32" s="247" t="s">
        <v>38</v>
      </c>
      <c r="B32" s="3" t="s">
        <v>178</v>
      </c>
      <c r="C32" s="4" t="s">
        <v>179</v>
      </c>
      <c r="D32" s="52">
        <v>9213101</v>
      </c>
      <c r="E32" s="98">
        <v>45190</v>
      </c>
      <c r="F32" s="44" t="s">
        <v>20</v>
      </c>
      <c r="G32" s="61">
        <v>45191</v>
      </c>
      <c r="H32" s="42"/>
      <c r="I32" s="28"/>
      <c r="J32" s="28"/>
      <c r="K32" s="28"/>
      <c r="L32" s="28"/>
      <c r="M32" s="42"/>
      <c r="N32" s="28"/>
      <c r="O32" s="42"/>
      <c r="P32" s="7"/>
      <c r="Q32" s="43"/>
      <c r="R32" s="42">
        <v>159</v>
      </c>
      <c r="S32" s="43"/>
      <c r="T32" s="32">
        <v>13.71</v>
      </c>
      <c r="U32" s="53">
        <f t="shared" si="0"/>
        <v>172.71</v>
      </c>
      <c r="V32" s="64" t="s">
        <v>33</v>
      </c>
      <c r="W32" s="2" t="s">
        <v>180</v>
      </c>
      <c r="X32" s="65" t="s">
        <v>17</v>
      </c>
      <c r="Y32" s="105"/>
      <c r="Z32" s="181"/>
    </row>
    <row r="33" spans="1:28" s="2" customFormat="1" ht="14.1" customHeight="1" thickBot="1" x14ac:dyDescent="0.4">
      <c r="A33" s="248" t="s">
        <v>38</v>
      </c>
      <c r="B33" s="177" t="s">
        <v>178</v>
      </c>
      <c r="C33" s="178" t="s">
        <v>179</v>
      </c>
      <c r="D33" s="178">
        <v>9263102</v>
      </c>
      <c r="E33" s="211">
        <v>45195</v>
      </c>
      <c r="F33" s="212" t="s">
        <v>20</v>
      </c>
      <c r="G33" s="179">
        <v>45195</v>
      </c>
      <c r="H33" s="213"/>
      <c r="I33" s="213"/>
      <c r="J33" s="214"/>
      <c r="K33" s="214"/>
      <c r="L33" s="214"/>
      <c r="M33" s="213"/>
      <c r="N33" s="213"/>
      <c r="O33" s="213"/>
      <c r="P33" s="50"/>
      <c r="Q33" s="222"/>
      <c r="R33" s="213">
        <v>45</v>
      </c>
      <c r="S33" s="222"/>
      <c r="T33" s="215">
        <v>3.88</v>
      </c>
      <c r="U33" s="216">
        <f t="shared" si="0"/>
        <v>48.88</v>
      </c>
      <c r="V33" s="217" t="s">
        <v>33</v>
      </c>
      <c r="W33" s="84" t="s">
        <v>180</v>
      </c>
      <c r="X33" s="84" t="s">
        <v>17</v>
      </c>
      <c r="Y33" s="262"/>
      <c r="Z33" s="181"/>
    </row>
    <row r="34" spans="1:28" s="2" customFormat="1" ht="14.1" customHeight="1" x14ac:dyDescent="0.35">
      <c r="A34" s="247" t="s">
        <v>38</v>
      </c>
      <c r="B34" s="3" t="s">
        <v>154</v>
      </c>
      <c r="C34" s="4"/>
      <c r="D34" s="52">
        <v>9143102</v>
      </c>
      <c r="E34" s="98">
        <v>45183</v>
      </c>
      <c r="F34" s="44" t="s">
        <v>20</v>
      </c>
      <c r="G34" s="61">
        <v>45183</v>
      </c>
      <c r="H34" s="42"/>
      <c r="I34" s="28"/>
      <c r="J34" s="28"/>
      <c r="K34" s="28"/>
      <c r="L34" s="28"/>
      <c r="M34" s="42"/>
      <c r="N34" s="28"/>
      <c r="O34" s="42"/>
      <c r="P34" s="7"/>
      <c r="Q34" s="43"/>
      <c r="R34" s="42">
        <v>155</v>
      </c>
      <c r="S34" s="43">
        <v>37.5</v>
      </c>
      <c r="T34" s="32">
        <v>13.18</v>
      </c>
      <c r="U34" s="53">
        <f t="shared" si="0"/>
        <v>205.68</v>
      </c>
      <c r="V34" s="64" t="s">
        <v>65</v>
      </c>
      <c r="W34" s="2" t="s">
        <v>128</v>
      </c>
      <c r="X34" s="65" t="s">
        <v>17</v>
      </c>
      <c r="Y34" s="105"/>
      <c r="Z34" s="181"/>
    </row>
    <row r="35" spans="1:28" s="2" customFormat="1" ht="14.1" customHeight="1" x14ac:dyDescent="0.35">
      <c r="A35" s="247" t="s">
        <v>38</v>
      </c>
      <c r="B35" s="3" t="s">
        <v>188</v>
      </c>
      <c r="C35" s="4"/>
      <c r="D35" s="52">
        <v>9253107</v>
      </c>
      <c r="E35" s="98">
        <v>45194</v>
      </c>
      <c r="F35" s="44" t="s">
        <v>20</v>
      </c>
      <c r="G35" s="61">
        <v>45194</v>
      </c>
      <c r="H35" s="42"/>
      <c r="I35" s="28"/>
      <c r="J35" s="28"/>
      <c r="K35" s="28"/>
      <c r="L35" s="28"/>
      <c r="M35" s="42"/>
      <c r="N35" s="28"/>
      <c r="O35" s="42"/>
      <c r="P35" s="7"/>
      <c r="Q35" s="43"/>
      <c r="R35" s="42">
        <v>220</v>
      </c>
      <c r="S35" s="43">
        <v>50</v>
      </c>
      <c r="T35" s="32">
        <v>20.239999999999998</v>
      </c>
      <c r="U35" s="53">
        <f t="shared" si="0"/>
        <v>290.24</v>
      </c>
      <c r="V35" s="64" t="s">
        <v>65</v>
      </c>
      <c r="W35" s="2" t="s">
        <v>38</v>
      </c>
      <c r="X35" s="65" t="s">
        <v>17</v>
      </c>
      <c r="Y35" s="105"/>
      <c r="Z35" s="181"/>
    </row>
    <row r="36" spans="1:28" s="2" customFormat="1" ht="14.1" customHeight="1" x14ac:dyDescent="0.35">
      <c r="A36" s="255" t="s">
        <v>38</v>
      </c>
      <c r="B36" s="208" t="s">
        <v>107</v>
      </c>
      <c r="C36" s="231"/>
      <c r="D36" s="228">
        <v>8243101</v>
      </c>
      <c r="E36" s="184">
        <v>45162</v>
      </c>
      <c r="F36" s="187" t="s">
        <v>20</v>
      </c>
      <c r="G36" s="209">
        <v>45162</v>
      </c>
      <c r="H36" s="192"/>
      <c r="I36" s="190"/>
      <c r="J36" s="190"/>
      <c r="K36" s="190"/>
      <c r="L36" s="190"/>
      <c r="M36" s="192"/>
      <c r="N36" s="190"/>
      <c r="O36" s="192"/>
      <c r="P36" s="210"/>
      <c r="Q36" s="196"/>
      <c r="R36" s="192">
        <v>220</v>
      </c>
      <c r="S36" s="196">
        <v>50</v>
      </c>
      <c r="T36" s="199">
        <v>18.149999999999999</v>
      </c>
      <c r="U36" s="202">
        <f t="shared" ref="U36:U67" si="1">SUM(H36:T36)</f>
        <v>288.14999999999998</v>
      </c>
      <c r="V36" s="206" t="s">
        <v>65</v>
      </c>
      <c r="W36" s="218" t="s">
        <v>58</v>
      </c>
      <c r="X36" s="65" t="s">
        <v>17</v>
      </c>
      <c r="Y36" s="105"/>
      <c r="Z36" s="181"/>
    </row>
    <row r="37" spans="1:28" s="2" customFormat="1" ht="14.1" customHeight="1" x14ac:dyDescent="0.35">
      <c r="A37" s="255" t="s">
        <v>38</v>
      </c>
      <c r="B37" s="208" t="s">
        <v>114</v>
      </c>
      <c r="C37" s="231" t="s">
        <v>115</v>
      </c>
      <c r="D37" s="228">
        <v>8233102</v>
      </c>
      <c r="E37" s="184">
        <v>45161</v>
      </c>
      <c r="F37" s="187" t="s">
        <v>20</v>
      </c>
      <c r="G37" s="209">
        <v>45162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130</v>
      </c>
      <c r="S37" s="196">
        <v>25</v>
      </c>
      <c r="T37" s="199">
        <v>11.21</v>
      </c>
      <c r="U37" s="202">
        <f t="shared" si="1"/>
        <v>166.21</v>
      </c>
      <c r="V37" s="206" t="s">
        <v>65</v>
      </c>
      <c r="W37" s="218" t="s">
        <v>58</v>
      </c>
      <c r="X37" s="65" t="s">
        <v>17</v>
      </c>
      <c r="Y37" s="105"/>
      <c r="Z37" s="181"/>
    </row>
    <row r="38" spans="1:28" s="2" customFormat="1" ht="14.1" customHeight="1" x14ac:dyDescent="0.35">
      <c r="A38" s="256" t="s">
        <v>38</v>
      </c>
      <c r="B38" s="219" t="s">
        <v>88</v>
      </c>
      <c r="C38" s="232"/>
      <c r="D38" s="230">
        <v>7203105</v>
      </c>
      <c r="E38" s="186">
        <v>45127</v>
      </c>
      <c r="F38" s="189" t="s">
        <v>20</v>
      </c>
      <c r="G38" s="220">
        <v>45127</v>
      </c>
      <c r="H38" s="195"/>
      <c r="I38" s="193"/>
      <c r="J38" s="193"/>
      <c r="K38" s="193"/>
      <c r="L38" s="193"/>
      <c r="M38" s="195"/>
      <c r="N38" s="193"/>
      <c r="O38" s="195"/>
      <c r="P38" s="221"/>
      <c r="Q38" s="198"/>
      <c r="R38" s="195">
        <v>135</v>
      </c>
      <c r="S38" s="198">
        <v>12.5</v>
      </c>
      <c r="T38" s="201">
        <v>11.64</v>
      </c>
      <c r="U38" s="204">
        <f t="shared" si="1"/>
        <v>159.13999999999999</v>
      </c>
      <c r="V38" s="207" t="s">
        <v>7</v>
      </c>
      <c r="W38" s="223" t="s">
        <v>8</v>
      </c>
      <c r="X38" s="65" t="s">
        <v>17</v>
      </c>
      <c r="Y38" s="105"/>
      <c r="Z38" s="181"/>
    </row>
    <row r="39" spans="1:28" s="2" customFormat="1" ht="14.1" customHeight="1" x14ac:dyDescent="0.35">
      <c r="A39" s="247" t="s">
        <v>38</v>
      </c>
      <c r="B39" s="3" t="s">
        <v>148</v>
      </c>
      <c r="C39" s="4"/>
      <c r="D39" s="52">
        <v>9123105</v>
      </c>
      <c r="E39" s="98">
        <v>45181</v>
      </c>
      <c r="F39" s="44" t="s">
        <v>20</v>
      </c>
      <c r="G39" s="61">
        <v>45181</v>
      </c>
      <c r="H39" s="42"/>
      <c r="I39" s="28"/>
      <c r="J39" s="28"/>
      <c r="K39" s="28"/>
      <c r="L39" s="28"/>
      <c r="M39" s="42"/>
      <c r="N39" s="28"/>
      <c r="O39" s="42"/>
      <c r="P39" s="7"/>
      <c r="Q39" s="43"/>
      <c r="R39" s="42">
        <v>188</v>
      </c>
      <c r="S39" s="43">
        <v>37.5</v>
      </c>
      <c r="T39" s="32">
        <v>17.39</v>
      </c>
      <c r="U39" s="53">
        <f t="shared" si="1"/>
        <v>242.89</v>
      </c>
      <c r="V39" s="64" t="s">
        <v>7</v>
      </c>
      <c r="W39" s="2" t="s">
        <v>6</v>
      </c>
      <c r="X39" s="65" t="s">
        <v>17</v>
      </c>
      <c r="Y39" s="105"/>
      <c r="Z39" s="181"/>
    </row>
    <row r="40" spans="1:28" s="2" customFormat="1" ht="14.1" customHeight="1" x14ac:dyDescent="0.35">
      <c r="A40" s="247" t="s">
        <v>38</v>
      </c>
      <c r="B40" s="3" t="s">
        <v>149</v>
      </c>
      <c r="C40" s="4"/>
      <c r="D40" s="52">
        <v>9123111</v>
      </c>
      <c r="E40" s="98">
        <v>45181</v>
      </c>
      <c r="F40" s="44" t="s">
        <v>20</v>
      </c>
      <c r="G40" s="61">
        <v>45181</v>
      </c>
      <c r="H40" s="42"/>
      <c r="I40" s="28"/>
      <c r="J40" s="28"/>
      <c r="K40" s="28"/>
      <c r="L40" s="28"/>
      <c r="M40" s="42"/>
      <c r="N40" s="28"/>
      <c r="O40" s="42"/>
      <c r="P40" s="7"/>
      <c r="Q40" s="43"/>
      <c r="R40" s="42">
        <v>39</v>
      </c>
      <c r="S40" s="43">
        <v>12.5</v>
      </c>
      <c r="T40" s="32">
        <v>3.36</v>
      </c>
      <c r="U40" s="53">
        <f t="shared" si="1"/>
        <v>54.86</v>
      </c>
      <c r="V40" s="64" t="s">
        <v>65</v>
      </c>
      <c r="W40" s="2" t="s">
        <v>124</v>
      </c>
      <c r="X40" s="65" t="s">
        <v>17</v>
      </c>
      <c r="Y40" s="105"/>
      <c r="Z40" s="181"/>
    </row>
    <row r="41" spans="1:28" s="2" customFormat="1" ht="14.1" customHeight="1" x14ac:dyDescent="0.35">
      <c r="A41" s="257" t="s">
        <v>38</v>
      </c>
      <c r="B41" s="224" t="s">
        <v>66</v>
      </c>
      <c r="C41" s="239"/>
      <c r="D41" s="229">
        <v>3093104</v>
      </c>
      <c r="E41" s="185">
        <v>44994</v>
      </c>
      <c r="F41" s="188" t="s">
        <v>20</v>
      </c>
      <c r="G41" s="225">
        <v>44995</v>
      </c>
      <c r="H41" s="194"/>
      <c r="I41" s="191"/>
      <c r="J41" s="191"/>
      <c r="K41" s="191"/>
      <c r="L41" s="191"/>
      <c r="M41" s="194"/>
      <c r="N41" s="191"/>
      <c r="O41" s="194"/>
      <c r="P41" s="226"/>
      <c r="Q41" s="197"/>
      <c r="R41" s="194">
        <v>39</v>
      </c>
      <c r="S41" s="197">
        <v>12.5</v>
      </c>
      <c r="T41" s="200">
        <v>4</v>
      </c>
      <c r="U41" s="203">
        <f t="shared" si="1"/>
        <v>55.5</v>
      </c>
      <c r="V41" s="205" t="s">
        <v>65</v>
      </c>
      <c r="W41" s="227" t="s">
        <v>58</v>
      </c>
      <c r="X41" s="65" t="s">
        <v>17</v>
      </c>
      <c r="Y41" s="105"/>
      <c r="Z41" s="181"/>
    </row>
    <row r="42" spans="1:28" s="2" customFormat="1" ht="14.1" customHeight="1" x14ac:dyDescent="0.35">
      <c r="A42" s="256" t="s">
        <v>38</v>
      </c>
      <c r="B42" s="219" t="s">
        <v>91</v>
      </c>
      <c r="C42" s="232"/>
      <c r="D42" s="230">
        <v>7273103</v>
      </c>
      <c r="E42" s="186">
        <v>45134</v>
      </c>
      <c r="F42" s="189" t="s">
        <v>20</v>
      </c>
      <c r="G42" s="220">
        <v>45135</v>
      </c>
      <c r="H42" s="195"/>
      <c r="I42" s="193"/>
      <c r="J42" s="193"/>
      <c r="K42" s="193"/>
      <c r="L42" s="193"/>
      <c r="M42" s="195"/>
      <c r="N42" s="193"/>
      <c r="O42" s="195"/>
      <c r="P42" s="221"/>
      <c r="Q42" s="198"/>
      <c r="R42" s="195">
        <v>39</v>
      </c>
      <c r="S42" s="198">
        <v>12.5</v>
      </c>
      <c r="T42" s="201">
        <v>3.36</v>
      </c>
      <c r="U42" s="204">
        <f t="shared" si="1"/>
        <v>54.86</v>
      </c>
      <c r="V42" s="207" t="s">
        <v>65</v>
      </c>
      <c r="W42" s="223" t="s">
        <v>58</v>
      </c>
      <c r="X42" s="65" t="s">
        <v>17</v>
      </c>
      <c r="Y42" s="105"/>
      <c r="Z42" s="181"/>
    </row>
    <row r="43" spans="1:28" s="2" customFormat="1" ht="14.1" customHeight="1" x14ac:dyDescent="0.35">
      <c r="A43" s="247" t="s">
        <v>38</v>
      </c>
      <c r="B43" s="3" t="s">
        <v>144</v>
      </c>
      <c r="C43" s="4" t="s">
        <v>145</v>
      </c>
      <c r="D43" s="52">
        <v>9123101</v>
      </c>
      <c r="E43" s="98">
        <v>45181</v>
      </c>
      <c r="F43" s="44" t="s">
        <v>20</v>
      </c>
      <c r="G43" s="61">
        <v>45181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130</v>
      </c>
      <c r="S43" s="43">
        <v>25</v>
      </c>
      <c r="T43" s="32">
        <v>10.89</v>
      </c>
      <c r="U43" s="53">
        <f t="shared" si="1"/>
        <v>165.89</v>
      </c>
      <c r="V43" s="64" t="s">
        <v>65</v>
      </c>
      <c r="W43" s="2" t="s">
        <v>5</v>
      </c>
      <c r="X43" s="65" t="s">
        <v>17</v>
      </c>
      <c r="Y43" s="105"/>
      <c r="Z43" s="181"/>
    </row>
    <row r="44" spans="1:28" s="2" customFormat="1" ht="14.1" customHeight="1" x14ac:dyDescent="0.35">
      <c r="A44" s="255" t="s">
        <v>38</v>
      </c>
      <c r="B44" s="208" t="s">
        <v>105</v>
      </c>
      <c r="C44" s="231"/>
      <c r="D44" s="228">
        <v>8143104</v>
      </c>
      <c r="E44" s="184">
        <v>45152</v>
      </c>
      <c r="F44" s="187" t="s">
        <v>20</v>
      </c>
      <c r="G44" s="209">
        <v>45152</v>
      </c>
      <c r="H44" s="192"/>
      <c r="I44" s="190"/>
      <c r="J44" s="190"/>
      <c r="K44" s="190"/>
      <c r="L44" s="190"/>
      <c r="M44" s="192"/>
      <c r="N44" s="190"/>
      <c r="O44" s="192"/>
      <c r="P44" s="210"/>
      <c r="Q44" s="196"/>
      <c r="R44" s="192">
        <v>220</v>
      </c>
      <c r="S44" s="196">
        <v>50</v>
      </c>
      <c r="T44" s="199">
        <v>17.05</v>
      </c>
      <c r="U44" s="202">
        <f t="shared" si="1"/>
        <v>287.05</v>
      </c>
      <c r="V44" s="206" t="s">
        <v>65</v>
      </c>
      <c r="W44" s="218" t="s">
        <v>38</v>
      </c>
      <c r="X44" s="65" t="s">
        <v>17</v>
      </c>
      <c r="Y44" s="105"/>
      <c r="Z44" s="181"/>
    </row>
    <row r="45" spans="1:28" s="2" customFormat="1" ht="14.1" customHeight="1" x14ac:dyDescent="0.35">
      <c r="A45" s="247" t="s">
        <v>38</v>
      </c>
      <c r="B45" s="3" t="s">
        <v>187</v>
      </c>
      <c r="C45" s="4"/>
      <c r="D45" s="52">
        <v>9253102</v>
      </c>
      <c r="E45" s="98">
        <v>45194</v>
      </c>
      <c r="F45" s="44" t="s">
        <v>20</v>
      </c>
      <c r="G45" s="61">
        <v>45194</v>
      </c>
      <c r="H45" s="42"/>
      <c r="I45" s="28"/>
      <c r="J45" s="28"/>
      <c r="K45" s="28"/>
      <c r="L45" s="28"/>
      <c r="M45" s="42"/>
      <c r="N45" s="28"/>
      <c r="O45" s="42"/>
      <c r="P45" s="7"/>
      <c r="Q45" s="43"/>
      <c r="R45" s="42">
        <v>65</v>
      </c>
      <c r="S45" s="43">
        <v>12.5</v>
      </c>
      <c r="T45" s="32">
        <v>5.53</v>
      </c>
      <c r="U45" s="53">
        <f t="shared" si="1"/>
        <v>83.03</v>
      </c>
      <c r="V45" s="64" t="s">
        <v>65</v>
      </c>
      <c r="W45" s="2" t="s">
        <v>38</v>
      </c>
      <c r="X45" s="65" t="s">
        <v>17</v>
      </c>
      <c r="Y45" s="105"/>
      <c r="Z45" s="181"/>
    </row>
    <row r="46" spans="1:28" s="2" customFormat="1" ht="14.1" customHeight="1" x14ac:dyDescent="0.35">
      <c r="A46" s="256" t="s">
        <v>38</v>
      </c>
      <c r="B46" s="219" t="s">
        <v>100</v>
      </c>
      <c r="C46" s="232"/>
      <c r="D46" s="230">
        <v>7273101</v>
      </c>
      <c r="E46" s="186">
        <v>45134</v>
      </c>
      <c r="F46" s="189" t="s">
        <v>20</v>
      </c>
      <c r="G46" s="220">
        <v>45134</v>
      </c>
      <c r="H46" s="195"/>
      <c r="I46" s="193"/>
      <c r="J46" s="193"/>
      <c r="K46" s="193"/>
      <c r="L46" s="193"/>
      <c r="M46" s="195"/>
      <c r="N46" s="193"/>
      <c r="O46" s="195"/>
      <c r="P46" s="221"/>
      <c r="Q46" s="198"/>
      <c r="R46" s="195">
        <v>-145</v>
      </c>
      <c r="S46" s="198">
        <v>-37.5</v>
      </c>
      <c r="T46" s="201">
        <v>-14.86</v>
      </c>
      <c r="U46" s="204">
        <f t="shared" si="1"/>
        <v>-197.36</v>
      </c>
      <c r="V46" s="207" t="s">
        <v>65</v>
      </c>
      <c r="W46" s="223" t="s">
        <v>58</v>
      </c>
      <c r="X46" s="65" t="s">
        <v>17</v>
      </c>
      <c r="Y46" s="105"/>
      <c r="Z46" s="105"/>
      <c r="AA46" s="105"/>
      <c r="AB46" s="105"/>
    </row>
    <row r="47" spans="1:28" s="2" customFormat="1" ht="14.1" customHeight="1" x14ac:dyDescent="0.35">
      <c r="A47" s="247" t="s">
        <v>38</v>
      </c>
      <c r="B47" s="3" t="s">
        <v>133</v>
      </c>
      <c r="C47" s="4"/>
      <c r="D47" s="52">
        <v>9013106</v>
      </c>
      <c r="E47" s="98">
        <v>45170</v>
      </c>
      <c r="F47" s="44" t="s">
        <v>20</v>
      </c>
      <c r="G47" s="61">
        <v>45174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135</v>
      </c>
      <c r="S47" s="43">
        <v>25</v>
      </c>
      <c r="T47" s="32">
        <v>12.99</v>
      </c>
      <c r="U47" s="53">
        <f t="shared" si="1"/>
        <v>172.99</v>
      </c>
      <c r="V47" s="64" t="s">
        <v>7</v>
      </c>
      <c r="W47" s="2" t="s">
        <v>61</v>
      </c>
      <c r="X47" s="65" t="s">
        <v>17</v>
      </c>
      <c r="Y47" s="105"/>
      <c r="Z47" s="181"/>
    </row>
    <row r="48" spans="1:28" s="2" customFormat="1" ht="14.1" customHeight="1" x14ac:dyDescent="0.35">
      <c r="A48" s="256" t="s">
        <v>38</v>
      </c>
      <c r="B48" s="219" t="s">
        <v>86</v>
      </c>
      <c r="C48" s="232"/>
      <c r="D48" s="230">
        <v>7203104</v>
      </c>
      <c r="E48" s="186">
        <v>45127</v>
      </c>
      <c r="F48" s="189" t="s">
        <v>20</v>
      </c>
      <c r="G48" s="220">
        <v>45127</v>
      </c>
      <c r="H48" s="195"/>
      <c r="I48" s="193"/>
      <c r="J48" s="193"/>
      <c r="K48" s="193"/>
      <c r="L48" s="193"/>
      <c r="M48" s="195"/>
      <c r="N48" s="193"/>
      <c r="O48" s="195"/>
      <c r="P48" s="221"/>
      <c r="Q48" s="198"/>
      <c r="R48" s="195">
        <v>29</v>
      </c>
      <c r="S48" s="198"/>
      <c r="T48" s="201">
        <v>2.68</v>
      </c>
      <c r="U48" s="204">
        <f t="shared" si="1"/>
        <v>31.68</v>
      </c>
      <c r="V48" s="207" t="s">
        <v>33</v>
      </c>
      <c r="W48" s="223" t="s">
        <v>87</v>
      </c>
      <c r="X48" s="65" t="s">
        <v>17</v>
      </c>
      <c r="Y48" s="105"/>
      <c r="Z48" s="181"/>
    </row>
    <row r="49" spans="1:26" s="2" customFormat="1" ht="14.1" customHeight="1" x14ac:dyDescent="0.35">
      <c r="A49" s="247" t="s">
        <v>38</v>
      </c>
      <c r="B49" s="3" t="s">
        <v>196</v>
      </c>
      <c r="C49" s="4"/>
      <c r="D49" s="52">
        <v>9273101</v>
      </c>
      <c r="E49" s="98">
        <v>45196</v>
      </c>
      <c r="F49" s="44" t="s">
        <v>20</v>
      </c>
      <c r="G49" s="61">
        <v>45196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149</v>
      </c>
      <c r="S49" s="43">
        <v>37.5</v>
      </c>
      <c r="T49" s="32">
        <v>12.85</v>
      </c>
      <c r="U49" s="53">
        <f t="shared" si="1"/>
        <v>199.35</v>
      </c>
      <c r="V49" s="64" t="s">
        <v>65</v>
      </c>
      <c r="W49" s="2" t="s">
        <v>128</v>
      </c>
      <c r="X49" s="65" t="s">
        <v>17</v>
      </c>
      <c r="Y49" s="105"/>
      <c r="Z49" s="181"/>
    </row>
    <row r="50" spans="1:26" s="2" customFormat="1" ht="14.1" customHeight="1" x14ac:dyDescent="0.35">
      <c r="A50" s="257" t="s">
        <v>38</v>
      </c>
      <c r="B50" s="224" t="s">
        <v>77</v>
      </c>
      <c r="C50" s="239"/>
      <c r="D50" s="229">
        <v>6263103</v>
      </c>
      <c r="E50" s="185">
        <v>45103</v>
      </c>
      <c r="F50" s="188" t="s">
        <v>20</v>
      </c>
      <c r="G50" s="225">
        <v>45103</v>
      </c>
      <c r="H50" s="194"/>
      <c r="I50" s="191"/>
      <c r="J50" s="191"/>
      <c r="K50" s="191"/>
      <c r="L50" s="191"/>
      <c r="M50" s="194"/>
      <c r="N50" s="191"/>
      <c r="O50" s="194"/>
      <c r="P50" s="226"/>
      <c r="Q50" s="197"/>
      <c r="R50" s="194">
        <v>204</v>
      </c>
      <c r="S50" s="197">
        <v>50</v>
      </c>
      <c r="T50" s="200">
        <v>18.36</v>
      </c>
      <c r="U50" s="203">
        <f t="shared" si="1"/>
        <v>272.36</v>
      </c>
      <c r="V50" s="205" t="s">
        <v>65</v>
      </c>
      <c r="W50" s="227" t="s">
        <v>5</v>
      </c>
      <c r="X50" s="65" t="s">
        <v>17</v>
      </c>
      <c r="Y50" s="105"/>
      <c r="Z50" s="181"/>
    </row>
    <row r="51" spans="1:26" s="2" customFormat="1" ht="14.1" customHeight="1" x14ac:dyDescent="0.35">
      <c r="A51" s="255" t="s">
        <v>38</v>
      </c>
      <c r="B51" s="208" t="s">
        <v>95</v>
      </c>
      <c r="C51" s="231"/>
      <c r="D51" s="228">
        <v>8033102</v>
      </c>
      <c r="E51" s="184">
        <v>45141</v>
      </c>
      <c r="F51" s="187" t="s">
        <v>20</v>
      </c>
      <c r="G51" s="209">
        <v>45141</v>
      </c>
      <c r="H51" s="192"/>
      <c r="I51" s="190"/>
      <c r="J51" s="190"/>
      <c r="K51" s="190"/>
      <c r="L51" s="190"/>
      <c r="M51" s="192"/>
      <c r="N51" s="190"/>
      <c r="O51" s="192"/>
      <c r="P51" s="210"/>
      <c r="Q51" s="196"/>
      <c r="R51" s="192">
        <v>260</v>
      </c>
      <c r="S51" s="196">
        <v>50</v>
      </c>
      <c r="T51" s="199">
        <v>25.35</v>
      </c>
      <c r="U51" s="202">
        <f t="shared" si="1"/>
        <v>335.35</v>
      </c>
      <c r="V51" s="206" t="s">
        <v>65</v>
      </c>
      <c r="W51" s="218" t="s">
        <v>38</v>
      </c>
      <c r="X51" s="65" t="s">
        <v>17</v>
      </c>
      <c r="Y51" s="105"/>
      <c r="Z51" s="181"/>
    </row>
    <row r="52" spans="1:26" s="2" customFormat="1" ht="14.1" customHeight="1" x14ac:dyDescent="0.35">
      <c r="A52" s="247" t="s">
        <v>38</v>
      </c>
      <c r="B52" s="3" t="s">
        <v>185</v>
      </c>
      <c r="C52" s="4"/>
      <c r="D52" s="52">
        <v>9223103</v>
      </c>
      <c r="E52" s="98">
        <v>45191</v>
      </c>
      <c r="F52" s="44" t="s">
        <v>20</v>
      </c>
      <c r="G52" s="61">
        <v>45194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505</v>
      </c>
      <c r="S52" s="43">
        <v>112.5</v>
      </c>
      <c r="T52" s="32">
        <v>46.71</v>
      </c>
      <c r="U52" s="53">
        <f t="shared" si="1"/>
        <v>664.21</v>
      </c>
      <c r="V52" s="64" t="s">
        <v>65</v>
      </c>
      <c r="W52" s="2" t="s">
        <v>58</v>
      </c>
      <c r="X52" s="65" t="s">
        <v>186</v>
      </c>
      <c r="Y52" s="105"/>
      <c r="Z52" s="181"/>
    </row>
    <row r="53" spans="1:26" s="2" customFormat="1" ht="14.1" customHeight="1" x14ac:dyDescent="0.35">
      <c r="A53" s="255" t="s">
        <v>38</v>
      </c>
      <c r="B53" s="208" t="s">
        <v>109</v>
      </c>
      <c r="C53" s="231" t="s">
        <v>110</v>
      </c>
      <c r="D53" s="228">
        <v>8153101</v>
      </c>
      <c r="E53" s="184">
        <v>45153</v>
      </c>
      <c r="F53" s="187" t="s">
        <v>20</v>
      </c>
      <c r="G53" s="209">
        <v>45156</v>
      </c>
      <c r="H53" s="192"/>
      <c r="I53" s="190"/>
      <c r="J53" s="190"/>
      <c r="K53" s="190"/>
      <c r="L53" s="190"/>
      <c r="M53" s="192"/>
      <c r="N53" s="190"/>
      <c r="O53" s="192"/>
      <c r="P53" s="210"/>
      <c r="Q53" s="196"/>
      <c r="R53" s="192">
        <v>149</v>
      </c>
      <c r="S53" s="196"/>
      <c r="T53" s="199">
        <v>13.78</v>
      </c>
      <c r="U53" s="202">
        <f t="shared" si="1"/>
        <v>162.78</v>
      </c>
      <c r="V53" s="206" t="s">
        <v>65</v>
      </c>
      <c r="W53" s="218" t="s">
        <v>58</v>
      </c>
      <c r="X53" s="65" t="s">
        <v>17</v>
      </c>
      <c r="Y53" s="105"/>
      <c r="Z53" s="181"/>
    </row>
    <row r="54" spans="1:26" s="2" customFormat="1" ht="14.1" customHeight="1" x14ac:dyDescent="0.35">
      <c r="A54" s="256" t="s">
        <v>38</v>
      </c>
      <c r="B54" s="219" t="s">
        <v>80</v>
      </c>
      <c r="C54" s="232"/>
      <c r="D54" s="230">
        <v>7103107</v>
      </c>
      <c r="E54" s="186">
        <v>45117</v>
      </c>
      <c r="F54" s="189" t="s">
        <v>20</v>
      </c>
      <c r="G54" s="220">
        <v>45117</v>
      </c>
      <c r="H54" s="195"/>
      <c r="I54" s="193"/>
      <c r="J54" s="193"/>
      <c r="K54" s="193"/>
      <c r="L54" s="193"/>
      <c r="M54" s="195"/>
      <c r="N54" s="193"/>
      <c r="O54" s="195"/>
      <c r="P54" s="221"/>
      <c r="Q54" s="198"/>
      <c r="R54" s="195">
        <v>130</v>
      </c>
      <c r="S54" s="198">
        <v>25</v>
      </c>
      <c r="T54" s="201">
        <v>10.08</v>
      </c>
      <c r="U54" s="204">
        <f t="shared" si="1"/>
        <v>165.08</v>
      </c>
      <c r="V54" s="207" t="s">
        <v>65</v>
      </c>
      <c r="W54" s="223" t="s">
        <v>5</v>
      </c>
      <c r="X54" s="65" t="s">
        <v>17</v>
      </c>
      <c r="Y54" s="105"/>
      <c r="Z54" s="181"/>
    </row>
    <row r="55" spans="1:26" s="2" customFormat="1" ht="14.1" customHeight="1" thickBot="1" x14ac:dyDescent="0.4">
      <c r="A55" s="247" t="s">
        <v>38</v>
      </c>
      <c r="B55" s="3" t="s">
        <v>146</v>
      </c>
      <c r="C55" s="4" t="s">
        <v>127</v>
      </c>
      <c r="D55" s="52">
        <v>9123103</v>
      </c>
      <c r="E55" s="98">
        <v>45181</v>
      </c>
      <c r="F55" s="44" t="s">
        <v>20</v>
      </c>
      <c r="G55" s="61">
        <v>45181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225</v>
      </c>
      <c r="S55" s="43">
        <v>62.5</v>
      </c>
      <c r="T55" s="32">
        <v>19.41</v>
      </c>
      <c r="U55" s="53">
        <f t="shared" si="1"/>
        <v>306.91000000000003</v>
      </c>
      <c r="V55" s="64" t="s">
        <v>65</v>
      </c>
      <c r="W55" s="2" t="s">
        <v>5</v>
      </c>
      <c r="X55" s="65" t="s">
        <v>17</v>
      </c>
      <c r="Y55" s="105"/>
      <c r="Z55" s="181"/>
    </row>
    <row r="56" spans="1:26" s="2" customFormat="1" ht="14.1" customHeight="1" thickBot="1" x14ac:dyDescent="0.4">
      <c r="A56" s="248" t="s">
        <v>38</v>
      </c>
      <c r="B56" s="177" t="s">
        <v>176</v>
      </c>
      <c r="C56" s="178"/>
      <c r="D56" s="178">
        <v>9203101</v>
      </c>
      <c r="E56" s="211">
        <v>45189</v>
      </c>
      <c r="F56" s="212" t="s">
        <v>20</v>
      </c>
      <c r="G56" s="179">
        <v>45189</v>
      </c>
      <c r="H56" s="213"/>
      <c r="I56" s="213"/>
      <c r="J56" s="214"/>
      <c r="K56" s="214"/>
      <c r="L56" s="214"/>
      <c r="M56" s="213"/>
      <c r="N56" s="213"/>
      <c r="O56" s="213"/>
      <c r="P56" s="50"/>
      <c r="Q56" s="222"/>
      <c r="R56" s="213">
        <v>90</v>
      </c>
      <c r="S56" s="222">
        <v>25</v>
      </c>
      <c r="T56" s="215">
        <v>8.33</v>
      </c>
      <c r="U56" s="216">
        <f t="shared" si="1"/>
        <v>123.33</v>
      </c>
      <c r="V56" s="217" t="s">
        <v>65</v>
      </c>
      <c r="W56" s="84" t="s">
        <v>38</v>
      </c>
      <c r="X56" s="84" t="s">
        <v>17</v>
      </c>
      <c r="Y56" s="262"/>
      <c r="Z56" s="181"/>
    </row>
    <row r="57" spans="1:26" s="2" customFormat="1" ht="14.1" customHeight="1" x14ac:dyDescent="0.35">
      <c r="A57" s="255" t="s">
        <v>38</v>
      </c>
      <c r="B57" s="208" t="s">
        <v>118</v>
      </c>
      <c r="C57" s="231" t="s">
        <v>67</v>
      </c>
      <c r="D57" s="228">
        <v>8253104</v>
      </c>
      <c r="E57" s="184">
        <v>45163</v>
      </c>
      <c r="F57" s="187" t="s">
        <v>20</v>
      </c>
      <c r="G57" s="209">
        <v>45166</v>
      </c>
      <c r="H57" s="192"/>
      <c r="I57" s="190"/>
      <c r="J57" s="190"/>
      <c r="K57" s="190"/>
      <c r="L57" s="190"/>
      <c r="M57" s="192"/>
      <c r="N57" s="190"/>
      <c r="O57" s="192"/>
      <c r="P57" s="210"/>
      <c r="Q57" s="196"/>
      <c r="R57" s="192">
        <v>45</v>
      </c>
      <c r="S57" s="196">
        <v>12.5</v>
      </c>
      <c r="T57" s="199">
        <v>3.94</v>
      </c>
      <c r="U57" s="202">
        <f t="shared" si="1"/>
        <v>61.44</v>
      </c>
      <c r="V57" s="206" t="s">
        <v>65</v>
      </c>
      <c r="W57" s="218" t="s">
        <v>5</v>
      </c>
      <c r="X57" s="65" t="s">
        <v>17</v>
      </c>
      <c r="Y57" s="105"/>
      <c r="Z57" s="181"/>
    </row>
    <row r="58" spans="1:26" s="2" customFormat="1" ht="14.1" customHeight="1" x14ac:dyDescent="0.35">
      <c r="A58" s="247" t="s">
        <v>38</v>
      </c>
      <c r="B58" s="3" t="s">
        <v>156</v>
      </c>
      <c r="C58" s="4"/>
      <c r="D58" s="52">
        <v>9143104</v>
      </c>
      <c r="E58" s="98">
        <v>45183</v>
      </c>
      <c r="F58" s="44" t="s">
        <v>20</v>
      </c>
      <c r="G58" s="61">
        <v>45184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143</v>
      </c>
      <c r="S58" s="43">
        <v>25</v>
      </c>
      <c r="T58" s="32">
        <v>14.66</v>
      </c>
      <c r="U58" s="53">
        <f t="shared" si="1"/>
        <v>182.66</v>
      </c>
      <c r="V58" s="64" t="s">
        <v>65</v>
      </c>
      <c r="W58" s="2" t="s">
        <v>5</v>
      </c>
      <c r="X58" s="65" t="s">
        <v>17</v>
      </c>
      <c r="Y58" s="105"/>
      <c r="Z58" s="181"/>
    </row>
    <row r="59" spans="1:26" s="2" customFormat="1" ht="14.1" customHeight="1" x14ac:dyDescent="0.35">
      <c r="A59" s="247" t="s">
        <v>38</v>
      </c>
      <c r="B59" s="3" t="s">
        <v>157</v>
      </c>
      <c r="C59" s="4"/>
      <c r="D59" s="52">
        <v>9153063</v>
      </c>
      <c r="E59" s="98">
        <v>45184</v>
      </c>
      <c r="F59" s="44" t="s">
        <v>20</v>
      </c>
      <c r="G59" s="61">
        <v>45184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149</v>
      </c>
      <c r="S59" s="43">
        <v>37.5</v>
      </c>
      <c r="T59" s="32">
        <v>12.29</v>
      </c>
      <c r="U59" s="53">
        <f t="shared" si="1"/>
        <v>198.79</v>
      </c>
      <c r="V59" s="64" t="s">
        <v>65</v>
      </c>
      <c r="W59" s="2" t="s">
        <v>5</v>
      </c>
      <c r="X59" s="65" t="s">
        <v>17</v>
      </c>
      <c r="Y59" s="105"/>
      <c r="Z59" s="181"/>
    </row>
    <row r="60" spans="1:26" s="2" customFormat="1" ht="14.1" customHeight="1" x14ac:dyDescent="0.35">
      <c r="A60" s="256" t="s">
        <v>38</v>
      </c>
      <c r="B60" s="219" t="s">
        <v>83</v>
      </c>
      <c r="C60" s="232"/>
      <c r="D60" s="230">
        <v>7103109</v>
      </c>
      <c r="E60" s="186">
        <v>45117</v>
      </c>
      <c r="F60" s="189" t="s">
        <v>20</v>
      </c>
      <c r="G60" s="220">
        <v>45118</v>
      </c>
      <c r="H60" s="195"/>
      <c r="I60" s="193"/>
      <c r="J60" s="193"/>
      <c r="K60" s="193"/>
      <c r="L60" s="193"/>
      <c r="M60" s="195"/>
      <c r="N60" s="193"/>
      <c r="O60" s="195"/>
      <c r="P60" s="221"/>
      <c r="Q60" s="198"/>
      <c r="R60" s="195">
        <v>292</v>
      </c>
      <c r="S60" s="198">
        <v>50</v>
      </c>
      <c r="T60" s="201">
        <v>27.01</v>
      </c>
      <c r="U60" s="204">
        <f t="shared" si="1"/>
        <v>369.01</v>
      </c>
      <c r="V60" s="207" t="s">
        <v>65</v>
      </c>
      <c r="W60" s="223" t="s">
        <v>38</v>
      </c>
      <c r="X60" s="65" t="s">
        <v>17</v>
      </c>
      <c r="Y60" s="105"/>
      <c r="Z60" s="181"/>
    </row>
    <row r="61" spans="1:26" s="2" customFormat="1" ht="14.1" customHeight="1" x14ac:dyDescent="0.35">
      <c r="A61" s="247" t="s">
        <v>38</v>
      </c>
      <c r="B61" s="3" t="s">
        <v>83</v>
      </c>
      <c r="C61" s="4"/>
      <c r="D61" s="52">
        <v>9223104</v>
      </c>
      <c r="E61" s="98">
        <v>45191</v>
      </c>
      <c r="F61" s="44" t="s">
        <v>20</v>
      </c>
      <c r="G61" s="61">
        <v>45196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557</v>
      </c>
      <c r="S61" s="43">
        <v>112.5</v>
      </c>
      <c r="T61" s="32">
        <v>51.52</v>
      </c>
      <c r="U61" s="53">
        <f t="shared" si="1"/>
        <v>721.02</v>
      </c>
      <c r="V61" s="64" t="s">
        <v>65</v>
      </c>
      <c r="W61" s="2" t="s">
        <v>128</v>
      </c>
      <c r="X61" s="65" t="s">
        <v>17</v>
      </c>
      <c r="Y61" s="105"/>
      <c r="Z61" s="181"/>
    </row>
    <row r="62" spans="1:26" s="2" customFormat="1" ht="14.1" customHeight="1" x14ac:dyDescent="0.35">
      <c r="A62" s="247" t="s">
        <v>38</v>
      </c>
      <c r="B62" s="3" t="s">
        <v>129</v>
      </c>
      <c r="C62" s="4"/>
      <c r="D62" s="52">
        <v>9053101</v>
      </c>
      <c r="E62" s="98">
        <v>45174</v>
      </c>
      <c r="F62" s="44" t="s">
        <v>20</v>
      </c>
      <c r="G62" s="61">
        <v>45174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194</v>
      </c>
      <c r="S62" s="43">
        <v>50</v>
      </c>
      <c r="T62" s="32">
        <v>16.73</v>
      </c>
      <c r="U62" s="53">
        <f t="shared" si="1"/>
        <v>260.73</v>
      </c>
      <c r="V62" s="64" t="s">
        <v>65</v>
      </c>
      <c r="W62" s="2" t="s">
        <v>128</v>
      </c>
      <c r="X62" s="65" t="s">
        <v>17</v>
      </c>
      <c r="Y62" s="105"/>
      <c r="Z62" s="181"/>
    </row>
    <row r="63" spans="1:26" s="2" customFormat="1" ht="14.1" customHeight="1" x14ac:dyDescent="0.35">
      <c r="A63" s="255" t="s">
        <v>38</v>
      </c>
      <c r="B63" s="208" t="s">
        <v>120</v>
      </c>
      <c r="C63" s="231"/>
      <c r="D63" s="228">
        <v>8303102</v>
      </c>
      <c r="E63" s="184">
        <v>45168</v>
      </c>
      <c r="F63" s="187" t="s">
        <v>20</v>
      </c>
      <c r="G63" s="209">
        <v>45168</v>
      </c>
      <c r="H63" s="192"/>
      <c r="I63" s="190"/>
      <c r="J63" s="190"/>
      <c r="K63" s="190"/>
      <c r="L63" s="190"/>
      <c r="M63" s="192"/>
      <c r="N63" s="190"/>
      <c r="O63" s="192"/>
      <c r="P63" s="210"/>
      <c r="Q63" s="196"/>
      <c r="R63" s="192">
        <v>175</v>
      </c>
      <c r="S63" s="196">
        <v>37.5</v>
      </c>
      <c r="T63" s="199">
        <v>16.63</v>
      </c>
      <c r="U63" s="202">
        <f t="shared" si="1"/>
        <v>229.13</v>
      </c>
      <c r="V63" s="206" t="s">
        <v>65</v>
      </c>
      <c r="W63" s="218" t="s">
        <v>5</v>
      </c>
      <c r="X63" s="65" t="s">
        <v>17</v>
      </c>
      <c r="Y63" s="105"/>
      <c r="Z63" s="181"/>
    </row>
    <row r="64" spans="1:26" s="2" customFormat="1" ht="14.1" customHeight="1" x14ac:dyDescent="0.35">
      <c r="A64" s="247" t="s">
        <v>38</v>
      </c>
      <c r="B64" s="3" t="s">
        <v>177</v>
      </c>
      <c r="C64" s="4"/>
      <c r="D64" s="52">
        <v>9203102</v>
      </c>
      <c r="E64" s="98">
        <v>45189</v>
      </c>
      <c r="F64" s="44" t="s">
        <v>20</v>
      </c>
      <c r="G64" s="61">
        <v>45189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188</v>
      </c>
      <c r="S64" s="43">
        <v>50</v>
      </c>
      <c r="T64" s="32">
        <v>16.22</v>
      </c>
      <c r="U64" s="53">
        <f t="shared" si="1"/>
        <v>254.22</v>
      </c>
      <c r="V64" s="64" t="s">
        <v>65</v>
      </c>
      <c r="W64" s="2" t="s">
        <v>38</v>
      </c>
      <c r="X64" s="65" t="s">
        <v>17</v>
      </c>
      <c r="Y64" s="105"/>
      <c r="Z64" s="181"/>
    </row>
    <row r="65" spans="1:26" s="2" customFormat="1" ht="14.1" customHeight="1" x14ac:dyDescent="0.35">
      <c r="A65" s="247" t="s">
        <v>38</v>
      </c>
      <c r="B65" s="3" t="s">
        <v>143</v>
      </c>
      <c r="C65" s="4"/>
      <c r="D65" s="52">
        <v>9113044</v>
      </c>
      <c r="E65" s="98">
        <v>45180</v>
      </c>
      <c r="F65" s="44" t="s">
        <v>20</v>
      </c>
      <c r="G65" s="61">
        <v>45180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65</v>
      </c>
      <c r="S65" s="43">
        <v>12.5</v>
      </c>
      <c r="T65" s="32">
        <v>5.36</v>
      </c>
      <c r="U65" s="53">
        <f t="shared" si="1"/>
        <v>82.86</v>
      </c>
      <c r="V65" s="64" t="s">
        <v>65</v>
      </c>
      <c r="W65" s="2" t="s">
        <v>128</v>
      </c>
      <c r="X65" s="65" t="s">
        <v>17</v>
      </c>
      <c r="Y65" s="105"/>
      <c r="Z65" s="181"/>
    </row>
    <row r="66" spans="1:26" s="2" customFormat="1" ht="14.1" customHeight="1" x14ac:dyDescent="0.35">
      <c r="A66" s="247" t="s">
        <v>38</v>
      </c>
      <c r="B66" s="3" t="s">
        <v>155</v>
      </c>
      <c r="C66" s="4"/>
      <c r="D66" s="52">
        <v>9143103</v>
      </c>
      <c r="E66" s="98">
        <v>45183</v>
      </c>
      <c r="F66" s="44" t="s">
        <v>20</v>
      </c>
      <c r="G66" s="61">
        <v>45183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65</v>
      </c>
      <c r="S66" s="43">
        <v>12.5</v>
      </c>
      <c r="T66" s="32">
        <v>6.18</v>
      </c>
      <c r="U66" s="53">
        <f t="shared" si="1"/>
        <v>83.68</v>
      </c>
      <c r="V66" s="64" t="s">
        <v>65</v>
      </c>
      <c r="W66" s="2" t="s">
        <v>128</v>
      </c>
      <c r="X66" s="65" t="s">
        <v>17</v>
      </c>
      <c r="Y66" s="105"/>
      <c r="Z66" s="181"/>
    </row>
    <row r="67" spans="1:26" s="2" customFormat="1" ht="14.1" customHeight="1" x14ac:dyDescent="0.35">
      <c r="A67" s="257" t="s">
        <v>38</v>
      </c>
      <c r="B67" s="224" t="s">
        <v>76</v>
      </c>
      <c r="C67" s="239"/>
      <c r="D67" s="229">
        <v>6233103</v>
      </c>
      <c r="E67" s="185">
        <v>45100</v>
      </c>
      <c r="F67" s="188" t="s">
        <v>20</v>
      </c>
      <c r="G67" s="225">
        <v>45100</v>
      </c>
      <c r="H67" s="194"/>
      <c r="I67" s="191"/>
      <c r="J67" s="191"/>
      <c r="K67" s="191"/>
      <c r="L67" s="191"/>
      <c r="M67" s="194"/>
      <c r="N67" s="191"/>
      <c r="O67" s="194"/>
      <c r="P67" s="226"/>
      <c r="Q67" s="197"/>
      <c r="R67" s="194">
        <v>110</v>
      </c>
      <c r="S67" s="197">
        <v>25</v>
      </c>
      <c r="T67" s="200">
        <v>9.35</v>
      </c>
      <c r="U67" s="203">
        <f t="shared" si="1"/>
        <v>144.35</v>
      </c>
      <c r="V67" s="205" t="s">
        <v>65</v>
      </c>
      <c r="W67" s="227" t="s">
        <v>38</v>
      </c>
      <c r="X67" s="65" t="s">
        <v>17</v>
      </c>
      <c r="Y67" s="105"/>
      <c r="Z67" s="181"/>
    </row>
    <row r="68" spans="1:26" s="2" customFormat="1" ht="14.1" customHeight="1" x14ac:dyDescent="0.35">
      <c r="A68" s="247" t="s">
        <v>38</v>
      </c>
      <c r="B68" s="3" t="s">
        <v>135</v>
      </c>
      <c r="C68" s="4"/>
      <c r="D68" s="52">
        <v>9113064</v>
      </c>
      <c r="E68" s="98">
        <v>45180</v>
      </c>
      <c r="F68" s="44" t="s">
        <v>137</v>
      </c>
      <c r="G68" s="61">
        <v>45180</v>
      </c>
      <c r="H68" s="42"/>
      <c r="I68" s="28"/>
      <c r="J68" s="28"/>
      <c r="K68" s="28"/>
      <c r="L68" s="28"/>
      <c r="M68" s="42"/>
      <c r="N68" s="28"/>
      <c r="O68" s="42">
        <v>49</v>
      </c>
      <c r="P68" s="7"/>
      <c r="Q68" s="43"/>
      <c r="R68" s="42"/>
      <c r="S68" s="43">
        <v>12.5</v>
      </c>
      <c r="T68" s="32">
        <v>4.2300000000000004</v>
      </c>
      <c r="U68" s="53">
        <f t="shared" ref="U68:U99" si="2">SUM(H68:T68)</f>
        <v>65.73</v>
      </c>
      <c r="V68" s="64" t="s">
        <v>68</v>
      </c>
      <c r="W68" s="2" t="s">
        <v>136</v>
      </c>
      <c r="X68" s="65" t="s">
        <v>17</v>
      </c>
      <c r="Y68" s="105"/>
      <c r="Z68" s="181"/>
    </row>
    <row r="69" spans="1:26" s="2" customFormat="1" ht="14.1" customHeight="1" x14ac:dyDescent="0.35">
      <c r="A69" s="247" t="s">
        <v>38</v>
      </c>
      <c r="B69" s="3" t="s">
        <v>135</v>
      </c>
      <c r="C69" s="4"/>
      <c r="D69" s="52">
        <v>9293102</v>
      </c>
      <c r="E69" s="98">
        <v>45198</v>
      </c>
      <c r="F69" s="44" t="s">
        <v>20</v>
      </c>
      <c r="G69" s="61">
        <v>45198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174</v>
      </c>
      <c r="S69" s="43">
        <v>50</v>
      </c>
      <c r="T69" s="32">
        <v>15.01</v>
      </c>
      <c r="U69" s="53">
        <f t="shared" si="2"/>
        <v>239.01</v>
      </c>
      <c r="V69" s="64" t="s">
        <v>65</v>
      </c>
      <c r="W69" s="2" t="s">
        <v>128</v>
      </c>
      <c r="X69" s="65" t="s">
        <v>17</v>
      </c>
      <c r="Y69" s="105"/>
      <c r="Z69" s="181"/>
    </row>
    <row r="70" spans="1:26" s="2" customFormat="1" ht="14.1" customHeight="1" x14ac:dyDescent="0.35">
      <c r="A70" s="255" t="s">
        <v>38</v>
      </c>
      <c r="B70" s="208" t="s">
        <v>99</v>
      </c>
      <c r="C70" s="231" t="s">
        <v>98</v>
      </c>
      <c r="D70" s="228">
        <v>8043104</v>
      </c>
      <c r="E70" s="184">
        <v>45142</v>
      </c>
      <c r="F70" s="187" t="s">
        <v>20</v>
      </c>
      <c r="G70" s="209">
        <v>45145</v>
      </c>
      <c r="H70" s="192"/>
      <c r="I70" s="190"/>
      <c r="J70" s="190"/>
      <c r="K70" s="190"/>
      <c r="L70" s="190"/>
      <c r="M70" s="192"/>
      <c r="N70" s="190"/>
      <c r="O70" s="192"/>
      <c r="P70" s="210"/>
      <c r="Q70" s="196"/>
      <c r="R70" s="192">
        <v>110</v>
      </c>
      <c r="S70" s="196">
        <v>25</v>
      </c>
      <c r="T70" s="199">
        <v>9.08</v>
      </c>
      <c r="U70" s="202">
        <f t="shared" si="2"/>
        <v>144.08000000000001</v>
      </c>
      <c r="V70" s="206" t="s">
        <v>65</v>
      </c>
      <c r="W70" s="218" t="s">
        <v>5</v>
      </c>
      <c r="X70" s="65" t="s">
        <v>17</v>
      </c>
      <c r="Y70" s="105"/>
      <c r="Z70" s="181"/>
    </row>
    <row r="71" spans="1:26" s="2" customFormat="1" ht="14.1" customHeight="1" x14ac:dyDescent="0.35">
      <c r="A71" s="247" t="s">
        <v>38</v>
      </c>
      <c r="B71" s="3" t="s">
        <v>125</v>
      </c>
      <c r="C71" s="4"/>
      <c r="D71" s="52">
        <v>9013102</v>
      </c>
      <c r="E71" s="98">
        <v>45170</v>
      </c>
      <c r="F71" s="44" t="s">
        <v>20</v>
      </c>
      <c r="G71" s="61">
        <v>45170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215</v>
      </c>
      <c r="S71" s="43">
        <v>67.5</v>
      </c>
      <c r="T71" s="32">
        <v>19.89</v>
      </c>
      <c r="U71" s="53">
        <f t="shared" si="2"/>
        <v>302.39</v>
      </c>
      <c r="V71" s="64" t="s">
        <v>65</v>
      </c>
      <c r="W71" s="2" t="s">
        <v>126</v>
      </c>
      <c r="X71" s="65" t="s">
        <v>17</v>
      </c>
      <c r="Y71" s="105"/>
      <c r="Z71" s="181"/>
    </row>
    <row r="72" spans="1:26" s="2" customFormat="1" ht="14.1" customHeight="1" x14ac:dyDescent="0.35">
      <c r="A72" s="256" t="s">
        <v>38</v>
      </c>
      <c r="B72" s="219" t="s">
        <v>94</v>
      </c>
      <c r="C72" s="232"/>
      <c r="D72" s="230">
        <v>7313106</v>
      </c>
      <c r="E72" s="186">
        <v>45138</v>
      </c>
      <c r="F72" s="189" t="s">
        <v>20</v>
      </c>
      <c r="G72" s="220">
        <v>45138</v>
      </c>
      <c r="H72" s="195"/>
      <c r="I72" s="193"/>
      <c r="J72" s="193"/>
      <c r="K72" s="193"/>
      <c r="L72" s="193"/>
      <c r="M72" s="195"/>
      <c r="N72" s="193"/>
      <c r="O72" s="195"/>
      <c r="P72" s="221"/>
      <c r="Q72" s="198"/>
      <c r="R72" s="195">
        <v>39</v>
      </c>
      <c r="S72" s="198">
        <v>12.5</v>
      </c>
      <c r="T72" s="201">
        <v>3.61</v>
      </c>
      <c r="U72" s="204">
        <f t="shared" si="2"/>
        <v>55.11</v>
      </c>
      <c r="V72" s="207" t="s">
        <v>65</v>
      </c>
      <c r="W72" s="223" t="s">
        <v>5</v>
      </c>
      <c r="X72" s="65" t="s">
        <v>17</v>
      </c>
      <c r="Y72" s="105"/>
      <c r="Z72" s="181"/>
    </row>
    <row r="73" spans="1:26" s="2" customFormat="1" ht="14.1" customHeight="1" x14ac:dyDescent="0.35">
      <c r="A73" s="247" t="s">
        <v>38</v>
      </c>
      <c r="B73" s="3" t="s">
        <v>194</v>
      </c>
      <c r="C73" s="4"/>
      <c r="D73" s="52">
        <v>9263101</v>
      </c>
      <c r="E73" s="98">
        <v>45195</v>
      </c>
      <c r="F73" s="44" t="s">
        <v>20</v>
      </c>
      <c r="G73" s="61">
        <v>45195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373</v>
      </c>
      <c r="S73" s="43">
        <v>75</v>
      </c>
      <c r="T73" s="32">
        <v>34.5</v>
      </c>
      <c r="U73" s="53">
        <f t="shared" si="2"/>
        <v>482.5</v>
      </c>
      <c r="V73" s="64" t="s">
        <v>65</v>
      </c>
      <c r="W73" s="2" t="s">
        <v>58</v>
      </c>
      <c r="X73" s="65" t="s">
        <v>17</v>
      </c>
      <c r="Y73" s="105"/>
      <c r="Z73" s="181"/>
    </row>
    <row r="74" spans="1:26" s="2" customFormat="1" ht="14.1" customHeight="1" x14ac:dyDescent="0.35">
      <c r="A74" s="247" t="s">
        <v>38</v>
      </c>
      <c r="B74" s="3" t="s">
        <v>71</v>
      </c>
      <c r="C74" s="4"/>
      <c r="D74" s="52">
        <v>9123109</v>
      </c>
      <c r="E74" s="98">
        <v>45181</v>
      </c>
      <c r="F74" s="44" t="s">
        <v>72</v>
      </c>
      <c r="G74" s="61">
        <v>45182</v>
      </c>
      <c r="H74" s="42"/>
      <c r="I74" s="28"/>
      <c r="J74" s="28"/>
      <c r="K74" s="28"/>
      <c r="L74" s="28"/>
      <c r="M74" s="42"/>
      <c r="N74" s="28"/>
      <c r="O74" s="42">
        <v>37.5</v>
      </c>
      <c r="P74" s="7"/>
      <c r="Q74" s="43"/>
      <c r="R74" s="42"/>
      <c r="S74" s="43">
        <v>12.5</v>
      </c>
      <c r="T74" s="32">
        <v>3.52</v>
      </c>
      <c r="U74" s="53">
        <f t="shared" si="2"/>
        <v>53.52</v>
      </c>
      <c r="V74" s="64" t="s">
        <v>7</v>
      </c>
      <c r="W74" s="2" t="s">
        <v>37</v>
      </c>
      <c r="X74" s="65" t="s">
        <v>17</v>
      </c>
      <c r="Y74" s="105"/>
      <c r="Z74" s="181"/>
    </row>
    <row r="75" spans="1:26" s="2" customFormat="1" ht="14.1" customHeight="1" x14ac:dyDescent="0.35">
      <c r="A75" s="256" t="s">
        <v>38</v>
      </c>
      <c r="B75" s="219" t="s">
        <v>64</v>
      </c>
      <c r="C75" s="232" t="s">
        <v>121</v>
      </c>
      <c r="D75" s="230">
        <v>7263102</v>
      </c>
      <c r="E75" s="186">
        <v>45133</v>
      </c>
      <c r="F75" s="189" t="s">
        <v>20</v>
      </c>
      <c r="G75" s="220">
        <v>45133</v>
      </c>
      <c r="H75" s="195"/>
      <c r="I75" s="193"/>
      <c r="J75" s="193"/>
      <c r="K75" s="193"/>
      <c r="L75" s="193"/>
      <c r="M75" s="195"/>
      <c r="N75" s="193"/>
      <c r="O75" s="195"/>
      <c r="P75" s="221"/>
      <c r="Q75" s="198"/>
      <c r="R75" s="195">
        <v>195</v>
      </c>
      <c r="S75" s="198">
        <v>37.5</v>
      </c>
      <c r="T75" s="201"/>
      <c r="U75" s="204">
        <f t="shared" si="2"/>
        <v>232.5</v>
      </c>
      <c r="V75" s="207" t="s">
        <v>65</v>
      </c>
      <c r="W75" s="223" t="s">
        <v>58</v>
      </c>
      <c r="X75" s="65" t="s">
        <v>17</v>
      </c>
      <c r="Y75" s="105"/>
      <c r="Z75" s="181"/>
    </row>
    <row r="76" spans="1:26" s="2" customFormat="1" ht="14.1" customHeight="1" x14ac:dyDescent="0.35">
      <c r="A76" s="247" t="s">
        <v>38</v>
      </c>
      <c r="B76" s="3" t="s">
        <v>130</v>
      </c>
      <c r="C76" s="4"/>
      <c r="D76" s="52">
        <v>9053102</v>
      </c>
      <c r="E76" s="98">
        <v>45174</v>
      </c>
      <c r="F76" s="44" t="s">
        <v>20</v>
      </c>
      <c r="G76" s="61">
        <v>45174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219</v>
      </c>
      <c r="S76" s="43">
        <v>62.5</v>
      </c>
      <c r="T76" s="32">
        <v>22.45</v>
      </c>
      <c r="U76" s="53">
        <f t="shared" si="2"/>
        <v>303.95</v>
      </c>
      <c r="V76" s="64" t="s">
        <v>65</v>
      </c>
      <c r="W76" s="2" t="s">
        <v>5</v>
      </c>
      <c r="X76" s="65" t="s">
        <v>17</v>
      </c>
      <c r="Y76" s="105"/>
      <c r="Z76" s="181"/>
    </row>
    <row r="77" spans="1:26" s="2" customFormat="1" ht="14.1" customHeight="1" x14ac:dyDescent="0.35">
      <c r="A77" s="247" t="s">
        <v>38</v>
      </c>
      <c r="B77" s="3" t="s">
        <v>142</v>
      </c>
      <c r="C77" s="4"/>
      <c r="D77" s="52">
        <v>9113041</v>
      </c>
      <c r="E77" s="98">
        <v>45180</v>
      </c>
      <c r="F77" s="44" t="s">
        <v>20</v>
      </c>
      <c r="G77" s="61">
        <v>45180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120</v>
      </c>
      <c r="S77" s="43">
        <v>25</v>
      </c>
      <c r="T77" s="32">
        <v>10.199999999999999</v>
      </c>
      <c r="U77" s="53">
        <f t="shared" si="2"/>
        <v>155.19999999999999</v>
      </c>
      <c r="V77" s="64" t="s">
        <v>65</v>
      </c>
      <c r="W77" s="2" t="s">
        <v>128</v>
      </c>
      <c r="X77" s="65" t="s">
        <v>17</v>
      </c>
      <c r="Y77" s="105"/>
      <c r="Z77" s="181"/>
    </row>
    <row r="78" spans="1:26" s="2" customFormat="1" ht="14.1" customHeight="1" x14ac:dyDescent="0.35">
      <c r="A78" s="247" t="s">
        <v>38</v>
      </c>
      <c r="B78" s="3" t="s">
        <v>60</v>
      </c>
      <c r="C78" s="4" t="s">
        <v>169</v>
      </c>
      <c r="D78" s="52">
        <v>9193101</v>
      </c>
      <c r="E78" s="98">
        <v>45188</v>
      </c>
      <c r="F78" s="44" t="s">
        <v>20</v>
      </c>
      <c r="G78" s="61">
        <v>45188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253</v>
      </c>
      <c r="S78" s="43">
        <v>50</v>
      </c>
      <c r="T78" s="32">
        <v>27.2</v>
      </c>
      <c r="U78" s="53">
        <f t="shared" si="2"/>
        <v>330.2</v>
      </c>
      <c r="V78" s="64" t="s">
        <v>65</v>
      </c>
      <c r="W78" s="2" t="s">
        <v>128</v>
      </c>
      <c r="X78" s="65" t="s">
        <v>17</v>
      </c>
      <c r="Y78" s="105"/>
      <c r="Z78" s="181"/>
    </row>
    <row r="79" spans="1:26" s="2" customFormat="1" ht="14.1" customHeight="1" x14ac:dyDescent="0.35">
      <c r="A79" s="247" t="s">
        <v>38</v>
      </c>
      <c r="B79" s="3" t="s">
        <v>60</v>
      </c>
      <c r="C79" s="4" t="s">
        <v>170</v>
      </c>
      <c r="D79" s="52">
        <v>9193102</v>
      </c>
      <c r="E79" s="98">
        <v>45188</v>
      </c>
      <c r="F79" s="44" t="s">
        <v>20</v>
      </c>
      <c r="G79" s="61">
        <v>45188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188</v>
      </c>
      <c r="S79" s="43">
        <v>37.5</v>
      </c>
      <c r="T79" s="32">
        <v>18.100000000000001</v>
      </c>
      <c r="U79" s="53">
        <f t="shared" si="2"/>
        <v>243.6</v>
      </c>
      <c r="V79" s="64" t="s">
        <v>65</v>
      </c>
      <c r="W79" s="2" t="s">
        <v>128</v>
      </c>
      <c r="X79" s="65" t="s">
        <v>17</v>
      </c>
      <c r="Y79" s="105"/>
      <c r="Z79" s="181"/>
    </row>
    <row r="80" spans="1:26" s="2" customFormat="1" ht="14.1" customHeight="1" x14ac:dyDescent="0.35">
      <c r="A80" s="247" t="s">
        <v>38</v>
      </c>
      <c r="B80" s="3" t="s">
        <v>60</v>
      </c>
      <c r="C80" s="4" t="s">
        <v>171</v>
      </c>
      <c r="D80" s="52">
        <v>9193103</v>
      </c>
      <c r="E80" s="98">
        <v>45188</v>
      </c>
      <c r="F80" s="44" t="s">
        <v>20</v>
      </c>
      <c r="G80" s="61">
        <v>45188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188</v>
      </c>
      <c r="S80" s="43">
        <v>37.5</v>
      </c>
      <c r="T80" s="32">
        <v>20.21</v>
      </c>
      <c r="U80" s="53">
        <f t="shared" si="2"/>
        <v>245.71</v>
      </c>
      <c r="V80" s="64" t="s">
        <v>65</v>
      </c>
      <c r="W80" s="2" t="s">
        <v>128</v>
      </c>
      <c r="X80" s="65" t="s">
        <v>17</v>
      </c>
      <c r="Y80" s="105"/>
      <c r="Z80" s="181"/>
    </row>
    <row r="81" spans="1:26" s="2" customFormat="1" ht="14.1" customHeight="1" x14ac:dyDescent="0.35">
      <c r="A81" s="247" t="s">
        <v>38</v>
      </c>
      <c r="B81" s="3" t="s">
        <v>60</v>
      </c>
      <c r="C81" s="4" t="s">
        <v>171</v>
      </c>
      <c r="D81" s="52">
        <v>9193104</v>
      </c>
      <c r="E81" s="98">
        <v>45188</v>
      </c>
      <c r="F81" s="44" t="s">
        <v>20</v>
      </c>
      <c r="G81" s="61">
        <v>45188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110</v>
      </c>
      <c r="S81" s="43">
        <v>25</v>
      </c>
      <c r="T81" s="32">
        <v>11.83</v>
      </c>
      <c r="U81" s="53">
        <f t="shared" si="2"/>
        <v>146.83000000000001</v>
      </c>
      <c r="V81" s="64" t="s">
        <v>65</v>
      </c>
      <c r="W81" s="2" t="s">
        <v>128</v>
      </c>
      <c r="X81" s="65" t="s">
        <v>17</v>
      </c>
      <c r="Y81" s="105"/>
      <c r="Z81" s="181"/>
    </row>
    <row r="82" spans="1:26" s="2" customFormat="1" ht="14.1" customHeight="1" x14ac:dyDescent="0.35">
      <c r="A82" s="247" t="s">
        <v>38</v>
      </c>
      <c r="B82" s="3" t="s">
        <v>60</v>
      </c>
      <c r="C82" s="4" t="s">
        <v>172</v>
      </c>
      <c r="D82" s="52">
        <v>9193105</v>
      </c>
      <c r="E82" s="98">
        <v>45188</v>
      </c>
      <c r="F82" s="44" t="s">
        <v>20</v>
      </c>
      <c r="G82" s="61">
        <v>45188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104</v>
      </c>
      <c r="S82" s="43">
        <v>25</v>
      </c>
      <c r="T82" s="32">
        <v>9.75</v>
      </c>
      <c r="U82" s="53">
        <f t="shared" si="2"/>
        <v>138.75</v>
      </c>
      <c r="V82" s="64" t="s">
        <v>65</v>
      </c>
      <c r="W82" s="2" t="s">
        <v>128</v>
      </c>
      <c r="X82" s="65" t="s">
        <v>17</v>
      </c>
      <c r="Y82" s="105"/>
      <c r="Z82" s="181"/>
    </row>
    <row r="83" spans="1:26" s="2" customFormat="1" ht="14.1" customHeight="1" x14ac:dyDescent="0.35">
      <c r="A83" s="247" t="s">
        <v>38</v>
      </c>
      <c r="B83" s="3" t="s">
        <v>60</v>
      </c>
      <c r="C83" s="4" t="s">
        <v>173</v>
      </c>
      <c r="D83" s="52">
        <v>9193106</v>
      </c>
      <c r="E83" s="98">
        <v>45188</v>
      </c>
      <c r="F83" s="44" t="s">
        <v>20</v>
      </c>
      <c r="G83" s="61">
        <v>45188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65</v>
      </c>
      <c r="S83" s="43">
        <v>12.5</v>
      </c>
      <c r="T83" s="32">
        <v>6.01</v>
      </c>
      <c r="U83" s="53">
        <f t="shared" si="2"/>
        <v>83.51</v>
      </c>
      <c r="V83" s="64" t="s">
        <v>65</v>
      </c>
      <c r="W83" s="2" t="s">
        <v>128</v>
      </c>
      <c r="X83" s="65" t="s">
        <v>17</v>
      </c>
      <c r="Y83" s="105"/>
      <c r="Z83" s="181"/>
    </row>
    <row r="84" spans="1:26" s="2" customFormat="1" ht="14.1" customHeight="1" x14ac:dyDescent="0.35">
      <c r="A84" s="247" t="s">
        <v>38</v>
      </c>
      <c r="B84" s="3" t="s">
        <v>60</v>
      </c>
      <c r="C84" s="4" t="s">
        <v>174</v>
      </c>
      <c r="D84" s="52">
        <v>9193107</v>
      </c>
      <c r="E84" s="98">
        <v>45188</v>
      </c>
      <c r="F84" s="44" t="s">
        <v>20</v>
      </c>
      <c r="G84" s="61">
        <v>45188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65</v>
      </c>
      <c r="S84" s="43">
        <v>12.5</v>
      </c>
      <c r="T84" s="32">
        <v>5.93</v>
      </c>
      <c r="U84" s="53">
        <f t="shared" si="2"/>
        <v>83.43</v>
      </c>
      <c r="V84" s="64" t="s">
        <v>65</v>
      </c>
      <c r="W84" s="2" t="s">
        <v>128</v>
      </c>
      <c r="X84" s="65" t="s">
        <v>17</v>
      </c>
      <c r="Y84" s="105"/>
      <c r="Z84" s="181"/>
    </row>
    <row r="85" spans="1:26" s="2" customFormat="1" ht="14.1" customHeight="1" x14ac:dyDescent="0.35">
      <c r="A85" s="247" t="s">
        <v>38</v>
      </c>
      <c r="B85" s="3" t="s">
        <v>183</v>
      </c>
      <c r="C85" s="4"/>
      <c r="D85" s="52">
        <v>9223101</v>
      </c>
      <c r="E85" s="98">
        <v>45191</v>
      </c>
      <c r="F85" s="44" t="s">
        <v>20</v>
      </c>
      <c r="G85" s="61">
        <v>45194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182</v>
      </c>
      <c r="S85" s="43">
        <v>50</v>
      </c>
      <c r="T85" s="32">
        <v>15.7</v>
      </c>
      <c r="U85" s="53">
        <f t="shared" si="2"/>
        <v>247.7</v>
      </c>
      <c r="V85" s="64" t="s">
        <v>65</v>
      </c>
      <c r="W85" s="2" t="s">
        <v>5</v>
      </c>
      <c r="X85" s="65" t="s">
        <v>17</v>
      </c>
      <c r="Y85" s="105"/>
      <c r="Z85" s="181"/>
    </row>
    <row r="86" spans="1:26" s="2" customFormat="1" ht="14.1" customHeight="1" x14ac:dyDescent="0.35">
      <c r="A86" s="255" t="s">
        <v>38</v>
      </c>
      <c r="B86" s="208" t="s">
        <v>69</v>
      </c>
      <c r="C86" s="231"/>
      <c r="D86" s="228">
        <v>8013062</v>
      </c>
      <c r="E86" s="184">
        <v>45139</v>
      </c>
      <c r="F86" s="187" t="s">
        <v>20</v>
      </c>
      <c r="G86" s="209">
        <v>45140</v>
      </c>
      <c r="H86" s="192"/>
      <c r="I86" s="190"/>
      <c r="J86" s="190"/>
      <c r="K86" s="190"/>
      <c r="L86" s="190"/>
      <c r="M86" s="192"/>
      <c r="N86" s="190"/>
      <c r="O86" s="192"/>
      <c r="P86" s="210"/>
      <c r="Q86" s="196"/>
      <c r="R86" s="192">
        <v>130</v>
      </c>
      <c r="S86" s="196">
        <v>25</v>
      </c>
      <c r="T86" s="199">
        <v>11.21</v>
      </c>
      <c r="U86" s="202">
        <f t="shared" si="2"/>
        <v>166.21</v>
      </c>
      <c r="V86" s="206" t="s">
        <v>65</v>
      </c>
      <c r="W86" s="218" t="s">
        <v>38</v>
      </c>
      <c r="X86" s="65" t="s">
        <v>17</v>
      </c>
      <c r="Y86" s="105"/>
      <c r="Z86" s="181"/>
    </row>
    <row r="87" spans="1:26" s="2" customFormat="1" ht="14.1" customHeight="1" x14ac:dyDescent="0.35">
      <c r="A87" s="256" t="s">
        <v>38</v>
      </c>
      <c r="B87" s="219" t="s">
        <v>89</v>
      </c>
      <c r="C87" s="232"/>
      <c r="D87" s="230">
        <v>7243102</v>
      </c>
      <c r="E87" s="186">
        <v>45131</v>
      </c>
      <c r="F87" s="189" t="s">
        <v>20</v>
      </c>
      <c r="G87" s="220">
        <v>45131</v>
      </c>
      <c r="H87" s="195"/>
      <c r="I87" s="193"/>
      <c r="J87" s="193"/>
      <c r="K87" s="193"/>
      <c r="L87" s="193"/>
      <c r="M87" s="195"/>
      <c r="N87" s="193"/>
      <c r="O87" s="195"/>
      <c r="P87" s="221"/>
      <c r="Q87" s="198"/>
      <c r="R87" s="195">
        <v>175</v>
      </c>
      <c r="S87" s="198">
        <v>37.5</v>
      </c>
      <c r="T87" s="201">
        <v>14.44</v>
      </c>
      <c r="U87" s="204">
        <f t="shared" si="2"/>
        <v>226.94</v>
      </c>
      <c r="V87" s="207" t="s">
        <v>65</v>
      </c>
      <c r="W87" s="223" t="s">
        <v>38</v>
      </c>
      <c r="X87" s="65" t="s">
        <v>17</v>
      </c>
      <c r="Y87" s="105"/>
      <c r="Z87" s="181"/>
    </row>
    <row r="88" spans="1:26" s="2" customFormat="1" ht="14.1" customHeight="1" x14ac:dyDescent="0.35">
      <c r="A88" s="247" t="s">
        <v>38</v>
      </c>
      <c r="B88" s="3" t="s">
        <v>152</v>
      </c>
      <c r="C88" s="4" t="s">
        <v>153</v>
      </c>
      <c r="D88" s="52">
        <v>9143101</v>
      </c>
      <c r="E88" s="98">
        <v>45183</v>
      </c>
      <c r="F88" s="44" t="s">
        <v>20</v>
      </c>
      <c r="G88" s="61">
        <v>45183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185</v>
      </c>
      <c r="S88" s="43">
        <v>37.5</v>
      </c>
      <c r="T88" s="32"/>
      <c r="U88" s="53">
        <f t="shared" si="2"/>
        <v>222.5</v>
      </c>
      <c r="V88" s="64" t="s">
        <v>65</v>
      </c>
      <c r="W88" s="2" t="s">
        <v>128</v>
      </c>
      <c r="X88" s="65" t="s">
        <v>17</v>
      </c>
      <c r="Y88" s="105"/>
      <c r="Z88" s="181"/>
    </row>
    <row r="89" spans="1:26" s="2" customFormat="1" ht="14.1" customHeight="1" x14ac:dyDescent="0.35">
      <c r="A89" s="255" t="s">
        <v>38</v>
      </c>
      <c r="B89" s="208" t="s">
        <v>104</v>
      </c>
      <c r="C89" s="231"/>
      <c r="D89" s="228">
        <v>8143102</v>
      </c>
      <c r="E89" s="184">
        <v>45152</v>
      </c>
      <c r="F89" s="187" t="s">
        <v>20</v>
      </c>
      <c r="G89" s="209">
        <v>45152</v>
      </c>
      <c r="H89" s="192"/>
      <c r="I89" s="190"/>
      <c r="J89" s="190"/>
      <c r="K89" s="190"/>
      <c r="L89" s="190"/>
      <c r="M89" s="192"/>
      <c r="N89" s="190"/>
      <c r="O89" s="192"/>
      <c r="P89" s="210"/>
      <c r="Q89" s="196"/>
      <c r="R89" s="192">
        <v>195</v>
      </c>
      <c r="S89" s="196">
        <v>25</v>
      </c>
      <c r="T89" s="199">
        <v>17.309999999999999</v>
      </c>
      <c r="U89" s="202">
        <f t="shared" si="2"/>
        <v>237.31</v>
      </c>
      <c r="V89" s="206" t="s">
        <v>65</v>
      </c>
      <c r="W89" s="218" t="s">
        <v>38</v>
      </c>
      <c r="X89" s="65" t="s">
        <v>17</v>
      </c>
      <c r="Y89" s="105"/>
      <c r="Z89" s="181"/>
    </row>
    <row r="90" spans="1:26" s="2" customFormat="1" ht="14.1" customHeight="1" x14ac:dyDescent="0.35">
      <c r="A90" s="247" t="s">
        <v>38</v>
      </c>
      <c r="B90" s="3" t="s">
        <v>147</v>
      </c>
      <c r="C90" s="4"/>
      <c r="D90" s="52">
        <v>9123104</v>
      </c>
      <c r="E90" s="98">
        <v>45181</v>
      </c>
      <c r="F90" s="44" t="s">
        <v>20</v>
      </c>
      <c r="G90" s="61">
        <v>45181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258</v>
      </c>
      <c r="S90" s="43">
        <v>62.5</v>
      </c>
      <c r="T90" s="32">
        <v>23.22</v>
      </c>
      <c r="U90" s="53">
        <f t="shared" si="2"/>
        <v>343.72</v>
      </c>
      <c r="V90" s="64" t="s">
        <v>65</v>
      </c>
      <c r="W90" s="2" t="s">
        <v>5</v>
      </c>
      <c r="X90" s="65" t="s">
        <v>17</v>
      </c>
      <c r="Y90" s="105"/>
      <c r="Z90" s="181"/>
    </row>
    <row r="91" spans="1:26" s="2" customFormat="1" ht="14.1" customHeight="1" x14ac:dyDescent="0.35">
      <c r="A91" s="247" t="s">
        <v>131</v>
      </c>
      <c r="B91" s="3" t="s">
        <v>132</v>
      </c>
      <c r="C91" s="4"/>
      <c r="D91" s="52">
        <v>9053105</v>
      </c>
      <c r="E91" s="98">
        <v>45174</v>
      </c>
      <c r="F91" s="44" t="s">
        <v>20</v>
      </c>
      <c r="G91" s="61">
        <v>45174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286</v>
      </c>
      <c r="S91" s="43">
        <v>75</v>
      </c>
      <c r="T91" s="32">
        <v>24.67</v>
      </c>
      <c r="U91" s="53">
        <f t="shared" si="2"/>
        <v>385.67</v>
      </c>
      <c r="V91" s="64" t="s">
        <v>65</v>
      </c>
      <c r="W91" s="2" t="s">
        <v>128</v>
      </c>
      <c r="X91" s="65" t="s">
        <v>17</v>
      </c>
      <c r="Y91" s="105"/>
      <c r="Z91" s="181"/>
    </row>
    <row r="92" spans="1:26" s="2" customFormat="1" ht="14.1" customHeight="1" x14ac:dyDescent="0.35">
      <c r="A92" s="247" t="s">
        <v>6</v>
      </c>
      <c r="B92" s="3" t="s">
        <v>164</v>
      </c>
      <c r="C92" s="4"/>
      <c r="D92" s="52">
        <v>9183062</v>
      </c>
      <c r="E92" s="98">
        <v>45187</v>
      </c>
      <c r="F92" s="44" t="s">
        <v>20</v>
      </c>
      <c r="G92" s="61">
        <v>45188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94</v>
      </c>
      <c r="S92" s="43"/>
      <c r="T92" s="32">
        <v>8.6999999999999993</v>
      </c>
      <c r="U92" s="53">
        <f t="shared" si="2"/>
        <v>102.7</v>
      </c>
      <c r="V92" s="64" t="s">
        <v>7</v>
      </c>
      <c r="W92" s="2" t="s">
        <v>6</v>
      </c>
      <c r="X92" s="65" t="s">
        <v>17</v>
      </c>
      <c r="Y92" s="105"/>
      <c r="Z92" s="181"/>
    </row>
    <row r="93" spans="1:26" s="2" customFormat="1" ht="14.1" customHeight="1" x14ac:dyDescent="0.35">
      <c r="A93" s="255" t="s">
        <v>6</v>
      </c>
      <c r="B93" s="208" t="s">
        <v>111</v>
      </c>
      <c r="C93" s="231"/>
      <c r="D93" s="228">
        <v>8083071</v>
      </c>
      <c r="E93" s="184">
        <v>45146</v>
      </c>
      <c r="F93" s="187" t="s">
        <v>108</v>
      </c>
      <c r="G93" s="209">
        <v>45159</v>
      </c>
      <c r="H93" s="192">
        <v>75</v>
      </c>
      <c r="I93" s="190"/>
      <c r="J93" s="190"/>
      <c r="K93" s="190"/>
      <c r="L93" s="190"/>
      <c r="M93" s="192"/>
      <c r="N93" s="190"/>
      <c r="O93" s="192"/>
      <c r="P93" s="210"/>
      <c r="Q93" s="196"/>
      <c r="R93" s="192"/>
      <c r="S93" s="196"/>
      <c r="T93" s="199">
        <v>6.19</v>
      </c>
      <c r="U93" s="202">
        <f t="shared" si="2"/>
        <v>81.19</v>
      </c>
      <c r="V93" s="206" t="s">
        <v>68</v>
      </c>
      <c r="W93" s="218" t="s">
        <v>6</v>
      </c>
      <c r="X93" s="65" t="s">
        <v>17</v>
      </c>
      <c r="Y93" s="105"/>
      <c r="Z93" s="181"/>
    </row>
    <row r="94" spans="1:26" s="2" customFormat="1" ht="14.1" customHeight="1" x14ac:dyDescent="0.35">
      <c r="A94" s="256" t="s">
        <v>6</v>
      </c>
      <c r="B94" s="219" t="s">
        <v>81</v>
      </c>
      <c r="C94" s="232"/>
      <c r="D94" s="230">
        <v>7103067</v>
      </c>
      <c r="E94" s="186">
        <v>45117</v>
      </c>
      <c r="F94" s="189" t="s">
        <v>20</v>
      </c>
      <c r="G94" s="220">
        <v>45117</v>
      </c>
      <c r="H94" s="195"/>
      <c r="I94" s="193"/>
      <c r="J94" s="193"/>
      <c r="K94" s="193"/>
      <c r="L94" s="193"/>
      <c r="M94" s="195"/>
      <c r="N94" s="193"/>
      <c r="O94" s="195"/>
      <c r="P94" s="221"/>
      <c r="Q94" s="198"/>
      <c r="R94" s="195">
        <v>726</v>
      </c>
      <c r="S94" s="198">
        <v>75</v>
      </c>
      <c r="T94" s="201">
        <v>67.16</v>
      </c>
      <c r="U94" s="204">
        <f t="shared" si="2"/>
        <v>868.16</v>
      </c>
      <c r="V94" s="207" t="s">
        <v>7</v>
      </c>
      <c r="W94" s="223" t="s">
        <v>6</v>
      </c>
      <c r="X94" s="65" t="s">
        <v>17</v>
      </c>
      <c r="Y94" s="105"/>
      <c r="Z94" s="181"/>
    </row>
    <row r="95" spans="1:26" s="2" customFormat="1" ht="14.1" customHeight="1" x14ac:dyDescent="0.35">
      <c r="A95" s="255" t="s">
        <v>37</v>
      </c>
      <c r="B95" s="208" t="s">
        <v>103</v>
      </c>
      <c r="C95" s="231"/>
      <c r="D95" s="228">
        <v>8143062</v>
      </c>
      <c r="E95" s="184">
        <v>45152</v>
      </c>
      <c r="F95" s="187" t="s">
        <v>20</v>
      </c>
      <c r="G95" s="209">
        <v>45152</v>
      </c>
      <c r="H95" s="192"/>
      <c r="I95" s="190"/>
      <c r="J95" s="190"/>
      <c r="K95" s="190"/>
      <c r="L95" s="190"/>
      <c r="M95" s="192"/>
      <c r="N95" s="190"/>
      <c r="O95" s="192"/>
      <c r="P95" s="210"/>
      <c r="Q95" s="196"/>
      <c r="R95" s="192">
        <v>855</v>
      </c>
      <c r="S95" s="196"/>
      <c r="T95" s="199"/>
      <c r="U95" s="202">
        <f t="shared" si="2"/>
        <v>855</v>
      </c>
      <c r="V95" s="206" t="s">
        <v>33</v>
      </c>
      <c r="W95" s="218" t="s">
        <v>106</v>
      </c>
      <c r="X95" s="65" t="s">
        <v>17</v>
      </c>
      <c r="Y95" s="105"/>
      <c r="Z95" s="181"/>
    </row>
    <row r="96" spans="1:26" s="2" customFormat="1" ht="14.1" customHeight="1" x14ac:dyDescent="0.35">
      <c r="A96" s="255" t="s">
        <v>37</v>
      </c>
      <c r="B96" s="208" t="s">
        <v>101</v>
      </c>
      <c r="C96" s="231"/>
      <c r="D96" s="228">
        <v>8113251</v>
      </c>
      <c r="E96" s="184">
        <v>45149</v>
      </c>
      <c r="F96" s="187" t="s">
        <v>102</v>
      </c>
      <c r="G96" s="209">
        <v>45152</v>
      </c>
      <c r="H96" s="192"/>
      <c r="I96" s="190"/>
      <c r="J96" s="190"/>
      <c r="K96" s="190"/>
      <c r="L96" s="190"/>
      <c r="M96" s="192"/>
      <c r="N96" s="190"/>
      <c r="O96" s="192"/>
      <c r="P96" s="210">
        <v>180</v>
      </c>
      <c r="Q96" s="196">
        <v>90</v>
      </c>
      <c r="R96" s="192"/>
      <c r="S96" s="196"/>
      <c r="T96" s="199"/>
      <c r="U96" s="202">
        <f t="shared" si="2"/>
        <v>270</v>
      </c>
      <c r="V96" s="206" t="s">
        <v>7</v>
      </c>
      <c r="W96" s="218" t="s">
        <v>37</v>
      </c>
      <c r="X96" s="65" t="s">
        <v>17</v>
      </c>
      <c r="Y96" s="105"/>
      <c r="Z96" s="181"/>
    </row>
    <row r="97" spans="1:26" s="2" customFormat="1" ht="14.1" customHeight="1" x14ac:dyDescent="0.35">
      <c r="A97" s="255" t="s">
        <v>37</v>
      </c>
      <c r="B97" s="208" t="s">
        <v>116</v>
      </c>
      <c r="C97" s="231" t="s">
        <v>117</v>
      </c>
      <c r="D97" s="228">
        <v>8253253</v>
      </c>
      <c r="E97" s="184">
        <v>45163</v>
      </c>
      <c r="F97" s="187" t="s">
        <v>102</v>
      </c>
      <c r="G97" s="209">
        <v>45166</v>
      </c>
      <c r="H97" s="192"/>
      <c r="I97" s="190"/>
      <c r="J97" s="190"/>
      <c r="K97" s="190"/>
      <c r="L97" s="190"/>
      <c r="M97" s="192"/>
      <c r="N97" s="190"/>
      <c r="O97" s="192"/>
      <c r="P97" s="210">
        <v>180</v>
      </c>
      <c r="Q97" s="196">
        <v>90</v>
      </c>
      <c r="R97" s="192"/>
      <c r="S97" s="196"/>
      <c r="T97" s="199"/>
      <c r="U97" s="202">
        <f t="shared" si="2"/>
        <v>270</v>
      </c>
      <c r="V97" s="206" t="s">
        <v>7</v>
      </c>
      <c r="W97" s="218" t="s">
        <v>37</v>
      </c>
      <c r="X97" s="65" t="s">
        <v>17</v>
      </c>
      <c r="Y97" s="105"/>
      <c r="Z97" s="181"/>
    </row>
    <row r="98" spans="1:26" s="2" customFormat="1" ht="14.1" customHeight="1" x14ac:dyDescent="0.35">
      <c r="A98" s="247" t="s">
        <v>37</v>
      </c>
      <c r="B98" s="3" t="s">
        <v>191</v>
      </c>
      <c r="C98" s="4" t="s">
        <v>192</v>
      </c>
      <c r="D98" s="52">
        <v>9263251</v>
      </c>
      <c r="E98" s="98">
        <v>45195</v>
      </c>
      <c r="F98" s="44" t="s">
        <v>193</v>
      </c>
      <c r="G98" s="61">
        <v>45195</v>
      </c>
      <c r="H98" s="42">
        <v>3512.67</v>
      </c>
      <c r="I98" s="28"/>
      <c r="J98" s="28">
        <v>1440</v>
      </c>
      <c r="K98" s="28"/>
      <c r="L98" s="28"/>
      <c r="M98" s="42"/>
      <c r="N98" s="28"/>
      <c r="O98" s="42"/>
      <c r="P98" s="7"/>
      <c r="Q98" s="43"/>
      <c r="R98" s="42"/>
      <c r="S98" s="43"/>
      <c r="T98" s="32">
        <v>377.61</v>
      </c>
      <c r="U98" s="53">
        <f t="shared" si="2"/>
        <v>5330.28</v>
      </c>
      <c r="V98" s="64" t="s">
        <v>7</v>
      </c>
      <c r="W98" s="2" t="s">
        <v>37</v>
      </c>
      <c r="X98" s="65" t="s">
        <v>17</v>
      </c>
      <c r="Y98" s="105"/>
      <c r="Z98" s="181"/>
    </row>
    <row r="99" spans="1:26" s="2" customFormat="1" ht="14.1" customHeight="1" x14ac:dyDescent="0.35">
      <c r="A99" s="247" t="s">
        <v>37</v>
      </c>
      <c r="B99" s="3" t="s">
        <v>191</v>
      </c>
      <c r="C99" s="4" t="s">
        <v>117</v>
      </c>
      <c r="D99" s="52">
        <v>9273253</v>
      </c>
      <c r="E99" s="98">
        <v>45196</v>
      </c>
      <c r="F99" s="44" t="s">
        <v>201</v>
      </c>
      <c r="G99" s="61">
        <v>45196</v>
      </c>
      <c r="H99" s="42"/>
      <c r="I99" s="28"/>
      <c r="J99" s="28"/>
      <c r="K99" s="28"/>
      <c r="L99" s="28"/>
      <c r="M99" s="42"/>
      <c r="N99" s="28"/>
      <c r="O99" s="42">
        <v>295</v>
      </c>
      <c r="P99" s="7">
        <v>180</v>
      </c>
      <c r="Q99" s="43">
        <v>90</v>
      </c>
      <c r="R99" s="42"/>
      <c r="S99" s="43"/>
      <c r="T99" s="32">
        <v>28.03</v>
      </c>
      <c r="U99" s="53">
        <f t="shared" si="2"/>
        <v>593.03</v>
      </c>
      <c r="V99" s="64" t="s">
        <v>7</v>
      </c>
      <c r="W99" s="2" t="s">
        <v>128</v>
      </c>
      <c r="X99" s="65" t="s">
        <v>17</v>
      </c>
      <c r="Y99" s="105"/>
      <c r="Z99" s="181"/>
    </row>
    <row r="100" spans="1:26" s="2" customFormat="1" ht="14.1" customHeight="1" x14ac:dyDescent="0.35">
      <c r="A100" s="247" t="s">
        <v>37</v>
      </c>
      <c r="B100" s="3" t="s">
        <v>198</v>
      </c>
      <c r="C100" s="4"/>
      <c r="D100" s="52">
        <v>9263052</v>
      </c>
      <c r="E100" s="98">
        <v>45195</v>
      </c>
      <c r="F100" s="44" t="s">
        <v>39</v>
      </c>
      <c r="G100" s="61">
        <v>45197</v>
      </c>
      <c r="H100" s="42"/>
      <c r="I100" s="28"/>
      <c r="J100" s="28"/>
      <c r="K100" s="28"/>
      <c r="L100" s="28"/>
      <c r="M100" s="42">
        <v>49</v>
      </c>
      <c r="N100" s="28"/>
      <c r="O100" s="42"/>
      <c r="P100" s="7"/>
      <c r="Q100" s="43"/>
      <c r="R100" s="42"/>
      <c r="S100" s="43"/>
      <c r="T100" s="32"/>
      <c r="U100" s="53">
        <f t="shared" ref="U100:U123" si="3">SUM(H100:T100)</f>
        <v>49</v>
      </c>
      <c r="V100" s="64" t="s">
        <v>25</v>
      </c>
      <c r="W100" s="2" t="s">
        <v>37</v>
      </c>
      <c r="X100" s="65" t="s">
        <v>17</v>
      </c>
      <c r="Y100" s="105"/>
      <c r="Z100" s="181"/>
    </row>
    <row r="101" spans="1:26" s="2" customFormat="1" ht="14.1" customHeight="1" x14ac:dyDescent="0.35">
      <c r="A101" s="257" t="s">
        <v>37</v>
      </c>
      <c r="B101" s="224" t="s">
        <v>71</v>
      </c>
      <c r="C101" s="239"/>
      <c r="D101" s="229">
        <v>5013262</v>
      </c>
      <c r="E101" s="185">
        <v>45047</v>
      </c>
      <c r="F101" s="188" t="s">
        <v>72</v>
      </c>
      <c r="G101" s="225">
        <v>45047</v>
      </c>
      <c r="H101" s="194"/>
      <c r="I101" s="191"/>
      <c r="J101" s="191"/>
      <c r="K101" s="191"/>
      <c r="L101" s="191"/>
      <c r="M101" s="194"/>
      <c r="N101" s="191"/>
      <c r="O101" s="194">
        <v>37.5</v>
      </c>
      <c r="P101" s="226"/>
      <c r="Q101" s="197"/>
      <c r="R101" s="194"/>
      <c r="S101" s="197">
        <v>12.5</v>
      </c>
      <c r="T101" s="200">
        <v>3.52</v>
      </c>
      <c r="U101" s="203">
        <f t="shared" si="3"/>
        <v>53.52</v>
      </c>
      <c r="V101" s="205" t="s">
        <v>7</v>
      </c>
      <c r="W101" s="227" t="s">
        <v>37</v>
      </c>
      <c r="X101" s="65" t="s">
        <v>17</v>
      </c>
      <c r="Y101" s="105"/>
      <c r="Z101" s="181"/>
    </row>
    <row r="102" spans="1:26" s="2" customFormat="1" ht="14.1" customHeight="1" x14ac:dyDescent="0.35">
      <c r="A102" s="257" t="s">
        <v>37</v>
      </c>
      <c r="B102" s="224" t="s">
        <v>71</v>
      </c>
      <c r="C102" s="239"/>
      <c r="D102" s="229">
        <v>6203051</v>
      </c>
      <c r="E102" s="185">
        <v>45097</v>
      </c>
      <c r="F102" s="188" t="s">
        <v>74</v>
      </c>
      <c r="G102" s="225">
        <v>45103</v>
      </c>
      <c r="H102" s="194"/>
      <c r="I102" s="191">
        <v>762</v>
      </c>
      <c r="J102" s="191"/>
      <c r="K102" s="191"/>
      <c r="L102" s="191"/>
      <c r="M102" s="194"/>
      <c r="N102" s="191"/>
      <c r="O102" s="194"/>
      <c r="P102" s="226"/>
      <c r="Q102" s="197"/>
      <c r="R102" s="194"/>
      <c r="S102" s="197"/>
      <c r="T102" s="200"/>
      <c r="U102" s="203">
        <f t="shared" si="3"/>
        <v>762</v>
      </c>
      <c r="V102" s="205" t="s">
        <v>25</v>
      </c>
      <c r="W102" s="227" t="s">
        <v>37</v>
      </c>
      <c r="X102" s="65" t="s">
        <v>17</v>
      </c>
      <c r="Y102" s="105"/>
      <c r="Z102" s="181"/>
    </row>
    <row r="103" spans="1:26" s="2" customFormat="1" ht="14.1" customHeight="1" x14ac:dyDescent="0.35">
      <c r="A103" s="247" t="s">
        <v>37</v>
      </c>
      <c r="B103" s="3" t="s">
        <v>166</v>
      </c>
      <c r="C103" s="4" t="s">
        <v>167</v>
      </c>
      <c r="D103" s="52">
        <v>9193051</v>
      </c>
      <c r="E103" s="98">
        <v>45188</v>
      </c>
      <c r="F103" s="44" t="s">
        <v>39</v>
      </c>
      <c r="G103" s="61">
        <v>45188</v>
      </c>
      <c r="H103" s="42"/>
      <c r="I103" s="28"/>
      <c r="J103" s="28"/>
      <c r="K103" s="28"/>
      <c r="L103" s="28"/>
      <c r="M103" s="42">
        <v>468</v>
      </c>
      <c r="N103" s="28"/>
      <c r="O103" s="42"/>
      <c r="P103" s="7"/>
      <c r="Q103" s="43"/>
      <c r="R103" s="42"/>
      <c r="S103" s="43"/>
      <c r="T103" s="32"/>
      <c r="U103" s="53">
        <f t="shared" si="3"/>
        <v>468</v>
      </c>
      <c r="V103" s="64" t="s">
        <v>25</v>
      </c>
      <c r="W103" s="2" t="s">
        <v>37</v>
      </c>
      <c r="X103" s="65" t="s">
        <v>17</v>
      </c>
      <c r="Y103" s="105"/>
      <c r="Z103" s="181"/>
    </row>
    <row r="104" spans="1:26" s="2" customFormat="1" ht="14.1" customHeight="1" x14ac:dyDescent="0.35">
      <c r="A104" s="255" t="s">
        <v>8</v>
      </c>
      <c r="B104" s="208" t="s">
        <v>70</v>
      </c>
      <c r="C104" s="231"/>
      <c r="D104" s="228">
        <v>8013051</v>
      </c>
      <c r="E104" s="184">
        <v>45139</v>
      </c>
      <c r="F104" s="187" t="s">
        <v>96</v>
      </c>
      <c r="G104" s="209">
        <v>45142</v>
      </c>
      <c r="H104" s="192"/>
      <c r="I104" s="190"/>
      <c r="J104" s="190"/>
      <c r="K104" s="190"/>
      <c r="L104" s="190"/>
      <c r="M104" s="192">
        <v>49</v>
      </c>
      <c r="N104" s="190">
        <v>39</v>
      </c>
      <c r="O104" s="192"/>
      <c r="P104" s="210"/>
      <c r="Q104" s="196"/>
      <c r="R104" s="192"/>
      <c r="S104" s="196"/>
      <c r="T104" s="199"/>
      <c r="U104" s="202">
        <f t="shared" si="3"/>
        <v>88</v>
      </c>
      <c r="V104" s="206" t="s">
        <v>25</v>
      </c>
      <c r="W104" s="218" t="s">
        <v>8</v>
      </c>
      <c r="X104" s="65" t="s">
        <v>17</v>
      </c>
      <c r="Y104" s="105"/>
      <c r="Z104" s="181"/>
    </row>
    <row r="105" spans="1:26" s="2" customFormat="1" ht="14.1" customHeight="1" x14ac:dyDescent="0.35">
      <c r="A105" s="247" t="s">
        <v>8</v>
      </c>
      <c r="B105" s="3" t="s">
        <v>70</v>
      </c>
      <c r="C105" s="4"/>
      <c r="D105" s="52">
        <v>9013051</v>
      </c>
      <c r="E105" s="98">
        <v>45170</v>
      </c>
      <c r="F105" s="44" t="s">
        <v>74</v>
      </c>
      <c r="G105" s="61">
        <v>45174</v>
      </c>
      <c r="H105" s="42"/>
      <c r="I105" s="28"/>
      <c r="J105" s="28"/>
      <c r="K105" s="28"/>
      <c r="L105" s="28"/>
      <c r="M105" s="42">
        <v>49</v>
      </c>
      <c r="N105" s="28">
        <v>39</v>
      </c>
      <c r="O105" s="42"/>
      <c r="P105" s="7"/>
      <c r="Q105" s="43"/>
      <c r="R105" s="42"/>
      <c r="S105" s="43"/>
      <c r="T105" s="32"/>
      <c r="U105" s="53">
        <f t="shared" si="3"/>
        <v>88</v>
      </c>
      <c r="V105" s="64" t="s">
        <v>25</v>
      </c>
      <c r="W105" s="2" t="s">
        <v>8</v>
      </c>
      <c r="X105" s="65" t="s">
        <v>17</v>
      </c>
      <c r="Y105" s="105"/>
      <c r="Z105" s="181"/>
    </row>
    <row r="106" spans="1:26" s="2" customFormat="1" ht="14.1" customHeight="1" x14ac:dyDescent="0.35">
      <c r="A106" s="247" t="s">
        <v>8</v>
      </c>
      <c r="B106" s="3" t="s">
        <v>168</v>
      </c>
      <c r="C106" s="4"/>
      <c r="D106" s="52">
        <v>9193052</v>
      </c>
      <c r="E106" s="98">
        <v>45188</v>
      </c>
      <c r="F106" s="44" t="s">
        <v>39</v>
      </c>
      <c r="G106" s="61">
        <v>45188</v>
      </c>
      <c r="H106" s="42"/>
      <c r="I106" s="28"/>
      <c r="J106" s="28"/>
      <c r="K106" s="28"/>
      <c r="L106" s="28"/>
      <c r="M106" s="42">
        <v>390</v>
      </c>
      <c r="N106" s="28">
        <v>600</v>
      </c>
      <c r="O106" s="42"/>
      <c r="P106" s="7"/>
      <c r="Q106" s="43"/>
      <c r="R106" s="42"/>
      <c r="S106" s="43"/>
      <c r="T106" s="32"/>
      <c r="U106" s="53">
        <f t="shared" si="3"/>
        <v>990</v>
      </c>
      <c r="V106" s="64" t="s">
        <v>25</v>
      </c>
      <c r="W106" s="2" t="s">
        <v>8</v>
      </c>
      <c r="X106" s="65" t="s">
        <v>17</v>
      </c>
      <c r="Y106" s="105"/>
      <c r="Z106" s="181"/>
    </row>
    <row r="107" spans="1:26" s="2" customFormat="1" ht="14.1" customHeight="1" x14ac:dyDescent="0.35">
      <c r="A107" s="247" t="s">
        <v>8</v>
      </c>
      <c r="B107" s="3" t="s">
        <v>161</v>
      </c>
      <c r="C107" s="4" t="s">
        <v>162</v>
      </c>
      <c r="D107" s="52">
        <v>9153053</v>
      </c>
      <c r="E107" s="98">
        <v>45184</v>
      </c>
      <c r="F107" s="44" t="s">
        <v>39</v>
      </c>
      <c r="G107" s="61">
        <v>45188</v>
      </c>
      <c r="H107" s="42"/>
      <c r="I107" s="28"/>
      <c r="J107" s="28"/>
      <c r="K107" s="28"/>
      <c r="L107" s="28"/>
      <c r="M107" s="42">
        <v>69</v>
      </c>
      <c r="N107" s="28">
        <v>39</v>
      </c>
      <c r="O107" s="42"/>
      <c r="P107" s="7"/>
      <c r="Q107" s="43"/>
      <c r="R107" s="42"/>
      <c r="S107" s="43"/>
      <c r="T107" s="32"/>
      <c r="U107" s="53">
        <f t="shared" si="3"/>
        <v>108</v>
      </c>
      <c r="V107" s="64" t="s">
        <v>25</v>
      </c>
      <c r="W107" s="2" t="s">
        <v>8</v>
      </c>
      <c r="X107" s="65" t="s">
        <v>17</v>
      </c>
      <c r="Y107" s="105"/>
      <c r="Z107" s="181"/>
    </row>
    <row r="108" spans="1:26" s="2" customFormat="1" ht="14.1" customHeight="1" x14ac:dyDescent="0.35">
      <c r="A108" s="247" t="s">
        <v>8</v>
      </c>
      <c r="B108" s="3" t="s">
        <v>161</v>
      </c>
      <c r="C108" s="4" t="s">
        <v>163</v>
      </c>
      <c r="D108" s="52">
        <v>9153054</v>
      </c>
      <c r="E108" s="98">
        <v>45184</v>
      </c>
      <c r="F108" s="44" t="s">
        <v>39</v>
      </c>
      <c r="G108" s="61">
        <v>45188</v>
      </c>
      <c r="H108" s="42"/>
      <c r="I108" s="28"/>
      <c r="J108" s="28"/>
      <c r="K108" s="28"/>
      <c r="L108" s="28"/>
      <c r="M108" s="42">
        <v>69</v>
      </c>
      <c r="N108" s="28">
        <v>39</v>
      </c>
      <c r="O108" s="42"/>
      <c r="P108" s="7"/>
      <c r="Q108" s="43"/>
      <c r="R108" s="42"/>
      <c r="S108" s="43"/>
      <c r="T108" s="32"/>
      <c r="U108" s="53">
        <f t="shared" si="3"/>
        <v>108</v>
      </c>
      <c r="V108" s="64" t="s">
        <v>25</v>
      </c>
      <c r="W108" s="2" t="s">
        <v>8</v>
      </c>
      <c r="X108" s="65" t="s">
        <v>17</v>
      </c>
      <c r="Y108" s="105"/>
      <c r="Z108" s="181"/>
    </row>
    <row r="109" spans="1:26" s="2" customFormat="1" ht="14.1" customHeight="1" x14ac:dyDescent="0.35">
      <c r="A109" s="247" t="s">
        <v>8</v>
      </c>
      <c r="B109" s="3" t="s">
        <v>175</v>
      </c>
      <c r="C109" s="4"/>
      <c r="D109" s="52">
        <v>9153057</v>
      </c>
      <c r="E109" s="98">
        <v>45184</v>
      </c>
      <c r="F109" s="44" t="s">
        <v>39</v>
      </c>
      <c r="G109" s="61">
        <v>45188</v>
      </c>
      <c r="H109" s="42"/>
      <c r="I109" s="28"/>
      <c r="J109" s="28"/>
      <c r="K109" s="28"/>
      <c r="L109" s="28"/>
      <c r="M109" s="42">
        <v>500</v>
      </c>
      <c r="N109" s="28">
        <v>2492</v>
      </c>
      <c r="O109" s="42"/>
      <c r="P109" s="7"/>
      <c r="Q109" s="43"/>
      <c r="R109" s="42"/>
      <c r="S109" s="43"/>
      <c r="T109" s="32"/>
      <c r="U109" s="53">
        <f t="shared" si="3"/>
        <v>2992</v>
      </c>
      <c r="V109" s="64" t="s">
        <v>25</v>
      </c>
      <c r="W109" s="2" t="s">
        <v>8</v>
      </c>
      <c r="X109" s="65" t="s">
        <v>17</v>
      </c>
      <c r="Y109" s="105"/>
      <c r="Z109" s="181"/>
    </row>
    <row r="110" spans="1:26" s="2" customFormat="1" ht="14.1" customHeight="1" x14ac:dyDescent="0.35">
      <c r="A110" s="247" t="s">
        <v>8</v>
      </c>
      <c r="B110" s="3" t="s">
        <v>88</v>
      </c>
      <c r="C110" s="4"/>
      <c r="D110" s="52">
        <v>9113067</v>
      </c>
      <c r="E110" s="98">
        <v>45180</v>
      </c>
      <c r="F110" s="44" t="s">
        <v>141</v>
      </c>
      <c r="G110" s="61">
        <v>45180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196</v>
      </c>
      <c r="S110" s="43">
        <v>20</v>
      </c>
      <c r="T110" s="32">
        <v>16.91</v>
      </c>
      <c r="U110" s="53">
        <f t="shared" si="3"/>
        <v>232.91</v>
      </c>
      <c r="V110" s="64" t="s">
        <v>68</v>
      </c>
      <c r="W110" s="2" t="s">
        <v>136</v>
      </c>
      <c r="X110" s="65" t="s">
        <v>17</v>
      </c>
      <c r="Y110" s="105"/>
      <c r="Z110" s="181"/>
    </row>
    <row r="111" spans="1:26" s="2" customFormat="1" ht="14.1" customHeight="1" x14ac:dyDescent="0.35">
      <c r="A111" s="256" t="s">
        <v>8</v>
      </c>
      <c r="B111" s="219" t="s">
        <v>93</v>
      </c>
      <c r="C111" s="232"/>
      <c r="D111" s="230">
        <v>7263051</v>
      </c>
      <c r="E111" s="186">
        <v>45133</v>
      </c>
      <c r="F111" s="189" t="s">
        <v>74</v>
      </c>
      <c r="G111" s="220">
        <v>45138</v>
      </c>
      <c r="H111" s="195"/>
      <c r="I111" s="193">
        <v>99</v>
      </c>
      <c r="J111" s="193"/>
      <c r="K111" s="193"/>
      <c r="L111" s="193"/>
      <c r="M111" s="195"/>
      <c r="N111" s="193"/>
      <c r="O111" s="195"/>
      <c r="P111" s="221"/>
      <c r="Q111" s="198"/>
      <c r="R111" s="195"/>
      <c r="S111" s="198"/>
      <c r="T111" s="201">
        <v>8.42</v>
      </c>
      <c r="U111" s="204">
        <f t="shared" si="3"/>
        <v>107.42</v>
      </c>
      <c r="V111" s="207" t="s">
        <v>25</v>
      </c>
      <c r="W111" s="223" t="s">
        <v>8</v>
      </c>
      <c r="X111" s="65" t="s">
        <v>17</v>
      </c>
      <c r="Y111" s="105"/>
      <c r="Z111" s="181"/>
    </row>
    <row r="112" spans="1:26" s="2" customFormat="1" ht="14.1" customHeight="1" x14ac:dyDescent="0.35">
      <c r="A112" s="255" t="s">
        <v>8</v>
      </c>
      <c r="B112" s="208" t="s">
        <v>93</v>
      </c>
      <c r="C112" s="231"/>
      <c r="D112" s="228">
        <v>8263051</v>
      </c>
      <c r="E112" s="184">
        <v>45164</v>
      </c>
      <c r="F112" s="187" t="s">
        <v>119</v>
      </c>
      <c r="G112" s="209">
        <v>45166</v>
      </c>
      <c r="H112" s="192">
        <v>99</v>
      </c>
      <c r="I112" s="190"/>
      <c r="J112" s="190"/>
      <c r="K112" s="190"/>
      <c r="L112" s="190"/>
      <c r="M112" s="192"/>
      <c r="N112" s="190"/>
      <c r="O112" s="192"/>
      <c r="P112" s="210"/>
      <c r="Q112" s="196"/>
      <c r="R112" s="192"/>
      <c r="S112" s="196"/>
      <c r="T112" s="199">
        <v>8.42</v>
      </c>
      <c r="U112" s="202">
        <f t="shared" si="3"/>
        <v>107.42</v>
      </c>
      <c r="V112" s="206" t="s">
        <v>7</v>
      </c>
      <c r="W112" s="218" t="s">
        <v>8</v>
      </c>
      <c r="X112" s="65" t="s">
        <v>17</v>
      </c>
      <c r="Y112" s="105"/>
      <c r="Z112" s="181"/>
    </row>
    <row r="113" spans="1:29" s="2" customFormat="1" ht="14.1" customHeight="1" x14ac:dyDescent="0.35">
      <c r="A113" s="247" t="s">
        <v>8</v>
      </c>
      <c r="B113" s="3" t="s">
        <v>93</v>
      </c>
      <c r="C113" s="4"/>
      <c r="D113" s="52">
        <v>9263051</v>
      </c>
      <c r="E113" s="98">
        <v>45195</v>
      </c>
      <c r="F113" s="44" t="s">
        <v>197</v>
      </c>
      <c r="G113" s="61">
        <v>45197</v>
      </c>
      <c r="H113" s="42">
        <v>99</v>
      </c>
      <c r="I113" s="28"/>
      <c r="J113" s="28"/>
      <c r="K113" s="28"/>
      <c r="L113" s="28"/>
      <c r="M113" s="42"/>
      <c r="N113" s="28"/>
      <c r="O113" s="42"/>
      <c r="P113" s="7"/>
      <c r="Q113" s="43"/>
      <c r="R113" s="42"/>
      <c r="S113" s="43"/>
      <c r="T113" s="32">
        <v>8.42</v>
      </c>
      <c r="U113" s="53">
        <f t="shared" si="3"/>
        <v>107.42</v>
      </c>
      <c r="V113" s="64" t="s">
        <v>7</v>
      </c>
      <c r="W113" s="2" t="s">
        <v>8</v>
      </c>
      <c r="X113" s="65" t="s">
        <v>17</v>
      </c>
      <c r="Y113" s="105"/>
      <c r="Z113" s="181"/>
    </row>
    <row r="114" spans="1:29" s="2" customFormat="1" ht="14.1" customHeight="1" x14ac:dyDescent="0.35">
      <c r="A114" s="247" t="s">
        <v>8</v>
      </c>
      <c r="B114" s="3" t="s">
        <v>199</v>
      </c>
      <c r="C114" s="4"/>
      <c r="D114" s="52">
        <v>9263053</v>
      </c>
      <c r="E114" s="98">
        <v>45195</v>
      </c>
      <c r="F114" s="44" t="s">
        <v>39</v>
      </c>
      <c r="G114" s="61">
        <v>45197</v>
      </c>
      <c r="H114" s="42"/>
      <c r="I114" s="28"/>
      <c r="J114" s="28"/>
      <c r="K114" s="28"/>
      <c r="L114" s="28"/>
      <c r="M114" s="42">
        <v>49</v>
      </c>
      <c r="N114" s="28"/>
      <c r="O114" s="42"/>
      <c r="P114" s="7"/>
      <c r="Q114" s="43"/>
      <c r="R114" s="42"/>
      <c r="S114" s="43"/>
      <c r="T114" s="32"/>
      <c r="U114" s="53">
        <f t="shared" si="3"/>
        <v>49</v>
      </c>
      <c r="V114" s="64" t="s">
        <v>25</v>
      </c>
      <c r="W114" s="2" t="s">
        <v>8</v>
      </c>
      <c r="X114" s="65" t="s">
        <v>17</v>
      </c>
      <c r="Y114" s="105"/>
      <c r="Z114" s="181"/>
    </row>
    <row r="115" spans="1:29" s="2" customFormat="1" ht="14.1" customHeight="1" x14ac:dyDescent="0.35">
      <c r="A115" s="255" t="s">
        <v>5</v>
      </c>
      <c r="B115" s="208" t="s">
        <v>34</v>
      </c>
      <c r="C115" s="231"/>
      <c r="D115" s="228">
        <v>8093064</v>
      </c>
      <c r="E115" s="184">
        <v>45147</v>
      </c>
      <c r="F115" s="187" t="s">
        <v>20</v>
      </c>
      <c r="G115" s="209">
        <v>45147</v>
      </c>
      <c r="H115" s="192"/>
      <c r="I115" s="190"/>
      <c r="J115" s="190"/>
      <c r="K115" s="190"/>
      <c r="L115" s="190"/>
      <c r="M115" s="192"/>
      <c r="N115" s="190"/>
      <c r="O115" s="192"/>
      <c r="P115" s="210"/>
      <c r="Q115" s="196"/>
      <c r="R115" s="192">
        <v>256</v>
      </c>
      <c r="S115" s="196"/>
      <c r="T115" s="199"/>
      <c r="U115" s="202">
        <f t="shared" si="3"/>
        <v>256</v>
      </c>
      <c r="V115" s="206" t="s">
        <v>65</v>
      </c>
      <c r="W115" s="218" t="s">
        <v>58</v>
      </c>
      <c r="X115" s="65" t="s">
        <v>17</v>
      </c>
      <c r="Y115" s="105"/>
      <c r="Z115" s="181"/>
    </row>
    <row r="116" spans="1:29" s="2" customFormat="1" ht="14.1" customHeight="1" x14ac:dyDescent="0.35">
      <c r="A116" s="255" t="s">
        <v>5</v>
      </c>
      <c r="B116" s="208" t="s">
        <v>34</v>
      </c>
      <c r="C116" s="231"/>
      <c r="D116" s="228">
        <v>8113064</v>
      </c>
      <c r="E116" s="184">
        <v>45149</v>
      </c>
      <c r="F116" s="187" t="s">
        <v>20</v>
      </c>
      <c r="G116" s="209">
        <v>45149</v>
      </c>
      <c r="H116" s="192"/>
      <c r="I116" s="190"/>
      <c r="J116" s="190"/>
      <c r="K116" s="190"/>
      <c r="L116" s="190"/>
      <c r="M116" s="192"/>
      <c r="N116" s="190"/>
      <c r="O116" s="192"/>
      <c r="P116" s="210"/>
      <c r="Q116" s="196"/>
      <c r="R116" s="192">
        <v>690</v>
      </c>
      <c r="S116" s="196"/>
      <c r="T116" s="199"/>
      <c r="U116" s="202">
        <f t="shared" si="3"/>
        <v>690</v>
      </c>
      <c r="V116" s="206" t="s">
        <v>65</v>
      </c>
      <c r="W116" s="218" t="s">
        <v>5</v>
      </c>
      <c r="X116" s="65" t="s">
        <v>17</v>
      </c>
      <c r="Y116" s="105"/>
      <c r="Z116" s="181"/>
    </row>
    <row r="117" spans="1:29" s="2" customFormat="1" ht="14.1" customHeight="1" x14ac:dyDescent="0.35">
      <c r="A117" s="247" t="s">
        <v>5</v>
      </c>
      <c r="B117" s="3" t="s">
        <v>34</v>
      </c>
      <c r="C117" s="4"/>
      <c r="D117" s="52">
        <v>9063062</v>
      </c>
      <c r="E117" s="98">
        <v>45175</v>
      </c>
      <c r="F117" s="44" t="s">
        <v>20</v>
      </c>
      <c r="G117" s="61">
        <v>45175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463</v>
      </c>
      <c r="S117" s="43"/>
      <c r="T117" s="32"/>
      <c r="U117" s="53">
        <f t="shared" si="3"/>
        <v>463</v>
      </c>
      <c r="V117" s="64" t="s">
        <v>65</v>
      </c>
      <c r="W117" s="2" t="s">
        <v>58</v>
      </c>
      <c r="X117" s="65" t="s">
        <v>17</v>
      </c>
      <c r="Y117" s="105"/>
      <c r="Z117" s="181"/>
    </row>
    <row r="118" spans="1:29" s="2" customFormat="1" ht="14.1" customHeight="1" x14ac:dyDescent="0.35">
      <c r="A118" s="247" t="s">
        <v>5</v>
      </c>
      <c r="B118" s="3" t="s">
        <v>34</v>
      </c>
      <c r="C118" s="4"/>
      <c r="D118" s="52">
        <v>9213062</v>
      </c>
      <c r="E118" s="98">
        <v>45190</v>
      </c>
      <c r="F118" s="44" t="s">
        <v>20</v>
      </c>
      <c r="G118" s="61">
        <v>45191</v>
      </c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>
        <v>651</v>
      </c>
      <c r="S118" s="43"/>
      <c r="T118" s="32"/>
      <c r="U118" s="53">
        <f t="shared" si="3"/>
        <v>651</v>
      </c>
      <c r="V118" s="64" t="s">
        <v>65</v>
      </c>
      <c r="W118" s="2" t="s">
        <v>58</v>
      </c>
      <c r="X118" s="65" t="s">
        <v>17</v>
      </c>
      <c r="Y118" s="105"/>
      <c r="Z118" s="181"/>
    </row>
    <row r="119" spans="1:29" s="2" customFormat="1" ht="14.1" customHeight="1" x14ac:dyDescent="0.35">
      <c r="A119" s="247" t="s">
        <v>5</v>
      </c>
      <c r="B119" s="3" t="s">
        <v>138</v>
      </c>
      <c r="C119" s="4"/>
      <c r="D119" s="52">
        <v>9113065</v>
      </c>
      <c r="E119" s="98">
        <v>45180</v>
      </c>
      <c r="F119" s="44" t="s">
        <v>139</v>
      </c>
      <c r="G119" s="61">
        <v>45180</v>
      </c>
      <c r="H119" s="42">
        <v>41500</v>
      </c>
      <c r="I119" s="28"/>
      <c r="J119" s="28"/>
      <c r="K119" s="28"/>
      <c r="L119" s="28"/>
      <c r="M119" s="42"/>
      <c r="N119" s="28"/>
      <c r="O119" s="42"/>
      <c r="P119" s="7"/>
      <c r="Q119" s="43"/>
      <c r="R119" s="42"/>
      <c r="S119" s="43">
        <v>475</v>
      </c>
      <c r="T119" s="32">
        <v>3942.5</v>
      </c>
      <c r="U119" s="53">
        <f t="shared" si="3"/>
        <v>45917.5</v>
      </c>
      <c r="V119" s="64" t="s">
        <v>68</v>
      </c>
      <c r="W119" s="2" t="s">
        <v>140</v>
      </c>
      <c r="X119" s="65" t="s">
        <v>17</v>
      </c>
      <c r="Y119" s="105"/>
      <c r="Z119" s="181"/>
    </row>
    <row r="120" spans="1:29" s="2" customFormat="1" ht="14.1" customHeight="1" x14ac:dyDescent="0.35">
      <c r="A120" s="247" t="s">
        <v>5</v>
      </c>
      <c r="B120" s="3" t="s">
        <v>138</v>
      </c>
      <c r="C120" s="4"/>
      <c r="D120" s="52">
        <v>9273065</v>
      </c>
      <c r="E120" s="98">
        <v>45196</v>
      </c>
      <c r="F120" s="44" t="s">
        <v>195</v>
      </c>
      <c r="G120" s="61">
        <v>45196</v>
      </c>
      <c r="H120" s="42">
        <v>2160</v>
      </c>
      <c r="I120" s="28"/>
      <c r="J120" s="28"/>
      <c r="K120" s="28"/>
      <c r="L120" s="28"/>
      <c r="M120" s="42"/>
      <c r="N120" s="28"/>
      <c r="O120" s="42"/>
      <c r="P120" s="7"/>
      <c r="Q120" s="43"/>
      <c r="R120" s="42"/>
      <c r="S120" s="43">
        <v>36</v>
      </c>
      <c r="T120" s="32">
        <v>205.2</v>
      </c>
      <c r="U120" s="53">
        <f t="shared" si="3"/>
        <v>2401.1999999999998</v>
      </c>
      <c r="V120" s="64" t="s">
        <v>68</v>
      </c>
      <c r="W120" s="2" t="s">
        <v>5</v>
      </c>
      <c r="X120" s="65" t="s">
        <v>17</v>
      </c>
      <c r="Y120" s="105"/>
      <c r="Z120" s="181"/>
    </row>
    <row r="121" spans="1:29" s="2" customFormat="1" ht="14.1" customHeight="1" x14ac:dyDescent="0.35">
      <c r="A121" s="247" t="s">
        <v>5</v>
      </c>
      <c r="B121" s="3" t="s">
        <v>159</v>
      </c>
      <c r="C121" s="4" t="s">
        <v>160</v>
      </c>
      <c r="D121" s="52">
        <v>9153051</v>
      </c>
      <c r="E121" s="98">
        <v>45184</v>
      </c>
      <c r="F121" s="44" t="s">
        <v>39</v>
      </c>
      <c r="G121" s="61">
        <v>45188</v>
      </c>
      <c r="H121" s="42"/>
      <c r="I121" s="28"/>
      <c r="J121" s="28"/>
      <c r="K121" s="28"/>
      <c r="L121" s="28"/>
      <c r="M121" s="42">
        <v>95</v>
      </c>
      <c r="N121" s="28"/>
      <c r="O121" s="42"/>
      <c r="P121" s="7"/>
      <c r="Q121" s="43"/>
      <c r="R121" s="42"/>
      <c r="S121" s="43"/>
      <c r="T121" s="32"/>
      <c r="U121" s="53">
        <f t="shared" si="3"/>
        <v>95</v>
      </c>
      <c r="V121" s="64" t="s">
        <v>25</v>
      </c>
      <c r="W121" s="2" t="s">
        <v>5</v>
      </c>
      <c r="X121" s="65" t="s">
        <v>17</v>
      </c>
      <c r="Y121" s="105"/>
      <c r="Z121" s="181"/>
    </row>
    <row r="122" spans="1:29" s="2" customFormat="1" ht="14.1" customHeight="1" x14ac:dyDescent="0.35">
      <c r="A122" s="255" t="s">
        <v>5</v>
      </c>
      <c r="B122" s="208" t="s">
        <v>69</v>
      </c>
      <c r="C122" s="231"/>
      <c r="D122" s="228">
        <v>8043068</v>
      </c>
      <c r="E122" s="184">
        <v>45142</v>
      </c>
      <c r="F122" s="187" t="s">
        <v>20</v>
      </c>
      <c r="G122" s="209">
        <v>45142</v>
      </c>
      <c r="H122" s="192"/>
      <c r="I122" s="190"/>
      <c r="J122" s="190"/>
      <c r="K122" s="190"/>
      <c r="L122" s="190"/>
      <c r="M122" s="192"/>
      <c r="N122" s="190"/>
      <c r="O122" s="192"/>
      <c r="P122" s="210"/>
      <c r="Q122" s="196"/>
      <c r="R122" s="192">
        <v>-65</v>
      </c>
      <c r="S122" s="196"/>
      <c r="T122" s="199">
        <v>-5.61</v>
      </c>
      <c r="U122" s="202">
        <f t="shared" si="3"/>
        <v>-70.61</v>
      </c>
      <c r="V122" s="206" t="s">
        <v>33</v>
      </c>
      <c r="W122" s="218" t="s">
        <v>8</v>
      </c>
      <c r="X122" s="65" t="s">
        <v>17</v>
      </c>
      <c r="Y122" s="105"/>
      <c r="Z122" s="181"/>
    </row>
    <row r="123" spans="1:29" s="2" customFormat="1" ht="14.1" customHeight="1" thickBot="1" x14ac:dyDescent="0.4">
      <c r="A123" s="247" t="s">
        <v>5</v>
      </c>
      <c r="B123" s="3" t="s">
        <v>151</v>
      </c>
      <c r="C123" s="4" t="s">
        <v>150</v>
      </c>
      <c r="D123" s="52">
        <v>9143062</v>
      </c>
      <c r="E123" s="98">
        <v>45183</v>
      </c>
      <c r="F123" s="44" t="s">
        <v>20</v>
      </c>
      <c r="G123" s="61">
        <v>45183</v>
      </c>
      <c r="H123" s="42"/>
      <c r="I123" s="28"/>
      <c r="J123" s="28"/>
      <c r="K123" s="28"/>
      <c r="L123" s="28"/>
      <c r="M123" s="42"/>
      <c r="N123" s="28"/>
      <c r="O123" s="42"/>
      <c r="P123" s="7"/>
      <c r="Q123" s="43"/>
      <c r="R123" s="42">
        <v>305</v>
      </c>
      <c r="S123" s="43">
        <v>62.5</v>
      </c>
      <c r="T123" s="32">
        <v>27.83</v>
      </c>
      <c r="U123" s="53">
        <f t="shared" si="3"/>
        <v>395.33</v>
      </c>
      <c r="V123" s="64" t="s">
        <v>65</v>
      </c>
      <c r="W123" s="2" t="s">
        <v>128</v>
      </c>
      <c r="X123" s="65" t="s">
        <v>17</v>
      </c>
      <c r="Y123" s="105"/>
      <c r="Z123" s="181"/>
    </row>
    <row r="124" spans="1:29" s="2" customFormat="1" ht="14.1" customHeight="1" thickBot="1" x14ac:dyDescent="0.25">
      <c r="A124" s="176"/>
      <c r="B124" s="177"/>
      <c r="C124" s="178"/>
      <c r="D124" s="178"/>
      <c r="E124" s="211"/>
      <c r="F124" s="212"/>
      <c r="G124" s="179"/>
      <c r="H124" s="213"/>
      <c r="I124" s="213"/>
      <c r="J124" s="214"/>
      <c r="K124" s="214"/>
      <c r="L124" s="214"/>
      <c r="M124" s="213"/>
      <c r="N124" s="213"/>
      <c r="O124" s="213"/>
      <c r="P124" s="50"/>
      <c r="Q124" s="222"/>
      <c r="R124" s="213"/>
      <c r="S124" s="222"/>
      <c r="T124" s="215"/>
      <c r="U124" s="216"/>
      <c r="V124" s="217"/>
      <c r="W124" s="84"/>
      <c r="X124" s="84"/>
      <c r="Y124" s="258">
        <f>SUM(U57:U123)</f>
        <v>73203.429999999993</v>
      </c>
      <c r="Z124" s="237">
        <f>Y124/V126</f>
        <v>0.86949492669919193</v>
      </c>
      <c r="AA124" s="181"/>
    </row>
    <row r="125" spans="1:29" s="2" customFormat="1" ht="19.5" customHeight="1" thickBot="1" x14ac:dyDescent="0.5">
      <c r="A125" s="158"/>
      <c r="B125" s="159"/>
      <c r="C125" s="159"/>
      <c r="D125" s="41"/>
      <c r="E125" s="41"/>
      <c r="F125" s="167"/>
      <c r="G125" s="41"/>
      <c r="H125" s="160">
        <f t="shared" ref="H125:U125" si="4">SUM(H4:H123)</f>
        <v>47445.67</v>
      </c>
      <c r="I125" s="160">
        <f t="shared" si="4"/>
        <v>861</v>
      </c>
      <c r="J125" s="160">
        <f t="shared" si="4"/>
        <v>1440</v>
      </c>
      <c r="K125" s="160">
        <f t="shared" si="4"/>
        <v>0</v>
      </c>
      <c r="L125" s="160">
        <f t="shared" si="4"/>
        <v>0</v>
      </c>
      <c r="M125" s="160">
        <f t="shared" si="4"/>
        <v>1836</v>
      </c>
      <c r="N125" s="160">
        <f t="shared" si="4"/>
        <v>3248</v>
      </c>
      <c r="O125" s="160">
        <f t="shared" si="4"/>
        <v>419</v>
      </c>
      <c r="P125" s="160">
        <f t="shared" si="4"/>
        <v>540</v>
      </c>
      <c r="Q125" s="160">
        <f t="shared" si="4"/>
        <v>270</v>
      </c>
      <c r="R125" s="160">
        <f t="shared" si="4"/>
        <v>18553</v>
      </c>
      <c r="S125" s="160">
        <f t="shared" si="4"/>
        <v>3646</v>
      </c>
      <c r="T125" s="160">
        <f t="shared" si="4"/>
        <v>5932.0800000000008</v>
      </c>
      <c r="U125" s="160">
        <f t="shared" si="4"/>
        <v>84190.75</v>
      </c>
      <c r="V125" s="161"/>
      <c r="W125" s="26"/>
      <c r="X125" s="26"/>
      <c r="Y125" s="4"/>
      <c r="Z125" s="3"/>
      <c r="AA125" s="135"/>
      <c r="AB125" s="135"/>
      <c r="AC125" s="135"/>
    </row>
    <row r="126" spans="1:29" s="2" customFormat="1" ht="14.1" customHeight="1" thickBot="1" x14ac:dyDescent="0.3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238">
        <f>SUM(H125:T125)</f>
        <v>84190.75</v>
      </c>
      <c r="Y126" s="169"/>
      <c r="Z126" s="182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35">
      <c r="A135" s="3"/>
      <c r="B135" s="3"/>
      <c r="C135" s="130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6"/>
      <c r="T135" s="6"/>
      <c r="V135" s="131"/>
      <c r="W135" s="129"/>
      <c r="X135" s="129"/>
      <c r="Y135" s="235"/>
      <c r="Z135" s="3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82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82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82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82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82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82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82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82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82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82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82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82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82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82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82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82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82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82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82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82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82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82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82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82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82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82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82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82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82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82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82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82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82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82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82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82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82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82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82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82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82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82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82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82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82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82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82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82"/>
    </row>
    <row r="323" spans="1:26" s="2" customFormat="1" ht="14.1" customHeight="1" x14ac:dyDescent="0.2">
      <c r="A323" s="3"/>
      <c r="B323" s="3"/>
      <c r="C323" s="4"/>
      <c r="D323" s="4"/>
      <c r="E323" s="5"/>
      <c r="F323" s="4"/>
      <c r="G323" s="6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6"/>
      <c r="U323" s="81"/>
      <c r="V323" s="3"/>
      <c r="Y323" s="169"/>
      <c r="Z323" s="182"/>
    </row>
    <row r="324" spans="1:26" s="2" customFormat="1" ht="14.1" customHeight="1" x14ac:dyDescent="0.2">
      <c r="A324" s="3"/>
      <c r="B324" s="3"/>
      <c r="C324" s="4"/>
      <c r="D324" s="4"/>
      <c r="E324" s="5"/>
      <c r="F324" s="4"/>
      <c r="G324" s="6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6"/>
      <c r="U324" s="81"/>
      <c r="V324" s="3"/>
      <c r="Y324" s="169"/>
      <c r="Z324" s="182"/>
    </row>
    <row r="325" spans="1:26" s="2" customFormat="1" ht="14.1" customHeight="1" x14ac:dyDescent="0.35">
      <c r="A325" s="3"/>
      <c r="B325" s="3"/>
      <c r="C325" s="130"/>
      <c r="D325" s="4"/>
      <c r="E325" s="5"/>
      <c r="F325" s="4"/>
      <c r="G325" s="61"/>
      <c r="H325" s="7"/>
      <c r="I325" s="7"/>
      <c r="J325" s="7"/>
      <c r="K325" s="134"/>
      <c r="L325" s="7"/>
      <c r="M325" s="7"/>
      <c r="N325" s="7"/>
      <c r="O325" s="7"/>
      <c r="P325" s="7"/>
      <c r="Q325" s="7"/>
      <c r="R325" s="7"/>
      <c r="S325" s="6"/>
      <c r="T325" s="6"/>
      <c r="V325" s="131"/>
      <c r="W325" s="129"/>
      <c r="X325" s="129"/>
      <c r="Y325" s="235"/>
      <c r="Z325" s="3"/>
    </row>
    <row r="326" spans="1:26" s="135" customFormat="1" ht="26.25" customHeight="1" x14ac:dyDescent="0.45">
      <c r="A326" s="132"/>
      <c r="B326" s="133"/>
      <c r="C326" s="133"/>
      <c r="D326" s="2"/>
      <c r="E326" s="2"/>
      <c r="F326" s="169"/>
      <c r="G326" s="2"/>
      <c r="H326" s="134"/>
      <c r="I326" s="134"/>
      <c r="J326" s="134"/>
      <c r="K326" s="7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37"/>
      <c r="W326" s="26"/>
      <c r="X326" s="26"/>
      <c r="Y326" s="4"/>
      <c r="Z326" s="3"/>
    </row>
    <row r="327" spans="1:26" ht="15" customHeight="1" x14ac:dyDescent="0.35">
      <c r="V327" s="136"/>
      <c r="W327" s="3"/>
      <c r="X327" s="3"/>
    </row>
    <row r="328" spans="1:26" ht="9.75" customHeight="1" x14ac:dyDescent="0.35"/>
    <row r="329" spans="1:26" ht="9.75" customHeight="1" x14ac:dyDescent="0.35"/>
    <row r="330" spans="1:26" ht="9.75" customHeight="1" x14ac:dyDescent="0.35"/>
    <row r="331" spans="1:26" ht="9.75" customHeight="1" x14ac:dyDescent="0.35"/>
    <row r="332" spans="1:26" ht="9.75" customHeight="1" x14ac:dyDescent="0.35"/>
    <row r="333" spans="1:26" ht="9.75" customHeight="1" x14ac:dyDescent="0.35"/>
    <row r="334" spans="1:26" ht="9.75" customHeight="1" x14ac:dyDescent="0.35"/>
    <row r="335" spans="1:26" ht="9.75" customHeight="1" x14ac:dyDescent="0.2"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</row>
    <row r="336" spans="1:26" ht="10.5" customHeight="1" x14ac:dyDescent="0.2">
      <c r="D336" s="3"/>
      <c r="E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</row>
    <row r="337" spans="4:25" ht="9.75" customHeight="1" x14ac:dyDescent="0.2">
      <c r="D337" s="3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</row>
    <row r="338" spans="4:25" ht="9.75" customHeight="1" x14ac:dyDescent="0.35"/>
    <row r="339" spans="4:25" ht="9.75" customHeight="1" x14ac:dyDescent="0.35"/>
    <row r="340" spans="4:25" ht="9.75" customHeight="1" x14ac:dyDescent="0.35"/>
    <row r="341" spans="4:25" ht="9.75" customHeight="1" x14ac:dyDescent="0.35"/>
    <row r="342" spans="4:25" ht="9.75" customHeight="1" x14ac:dyDescent="0.35"/>
    <row r="343" spans="4:25" ht="9.75" customHeight="1" x14ac:dyDescent="0.35"/>
    <row r="344" spans="4:25" ht="9.75" customHeight="1" x14ac:dyDescent="0.35"/>
    <row r="345" spans="4:25" ht="9.75" customHeight="1" x14ac:dyDescent="0.35"/>
    <row r="346" spans="4:25" ht="9.75" customHeight="1" x14ac:dyDescent="0.35"/>
    <row r="347" spans="4:25" ht="9.75" customHeight="1" x14ac:dyDescent="0.35"/>
    <row r="348" spans="4:25" ht="9.75" customHeight="1" x14ac:dyDescent="0.35"/>
    <row r="349" spans="4:25" ht="9.75" customHeight="1" x14ac:dyDescent="0.35"/>
    <row r="350" spans="4:25" ht="9.75" customHeight="1" x14ac:dyDescent="0.2">
      <c r="D350" s="3"/>
      <c r="E350" s="3"/>
      <c r="F350" s="3"/>
      <c r="G350" s="3"/>
      <c r="H350" s="3"/>
      <c r="I350" s="3"/>
      <c r="J350" s="5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</row>
    <row r="351" spans="4:25" ht="9.75" customHeight="1" x14ac:dyDescent="0.35"/>
    <row r="352" spans="4:25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60" ht="9.75" customHeight="1" x14ac:dyDescent="0.35"/>
    <row r="363" ht="9.75" customHeight="1" x14ac:dyDescent="0.35"/>
    <row r="364" ht="9.75" customHeight="1" x14ac:dyDescent="0.35"/>
    <row r="365" ht="9.75" customHeight="1" x14ac:dyDescent="0.35"/>
    <row r="371" ht="9.75" customHeight="1" x14ac:dyDescent="0.35"/>
    <row r="378" ht="9.75" customHeight="1" x14ac:dyDescent="0.35"/>
  </sheetData>
  <sortState xmlns:xlrd2="http://schemas.microsoft.com/office/spreadsheetml/2017/richdata2" ref="A4:AC123">
    <sortCondition ref="A4:A12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G9" sqref="G9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45201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40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OCT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2023-10-02T16:41:56Z</dcterms:modified>
</cp:coreProperties>
</file>