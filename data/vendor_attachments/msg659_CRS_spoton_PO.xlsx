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1f2e39bdb45401/"/>
    </mc:Choice>
  </mc:AlternateContent>
  <xr:revisionPtr revIDLastSave="5" documentId="8_{BACB9AD8-873E-41B6-B768-75BD6A3CD3B5}" xr6:coauthVersionLast="47" xr6:coauthVersionMax="47" xr10:uidLastSave="{F0719C37-6DC7-4283-A4B6-3D255FF03BF2}"/>
  <bookViews>
    <workbookView xWindow="135" yWindow="600" windowWidth="28110" windowHeight="14880" xr2:uid="{00000000-000D-0000-FFFF-FFFF00000000}"/>
  </bookViews>
  <sheets>
    <sheet name="SW" sheetId="5" r:id="rId1"/>
    <sheet name="P.O." sheetId="1" r:id="rId2"/>
    <sheet name="NCC" sheetId="4" r:id="rId3"/>
    <sheet name="Drop" sheetId="3" r:id="rId4"/>
    <sheet name="item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5" l="1"/>
  <c r="F34" i="5" s="1"/>
  <c r="F22" i="1" l="1"/>
  <c r="F181" i="2" l="1"/>
  <c r="F191" i="2" l="1"/>
  <c r="F189" i="2" l="1"/>
  <c r="F187" i="2" l="1"/>
  <c r="F186" i="2"/>
  <c r="F185" i="2"/>
  <c r="F183" i="2" l="1"/>
  <c r="F180" i="2" l="1"/>
  <c r="F178" i="2" l="1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34" i="1" l="1"/>
  <c r="F23" i="4"/>
  <c r="F22" i="4"/>
  <c r="F29" i="4" s="1"/>
  <c r="F157" i="2" l="1"/>
  <c r="F156" i="2"/>
  <c r="F155" i="2"/>
  <c r="F154" i="2"/>
  <c r="F152" i="2" l="1"/>
  <c r="F151" i="2"/>
  <c r="F150" i="2"/>
  <c r="F149" i="2"/>
  <c r="F144" i="2"/>
  <c r="F143" i="2"/>
  <c r="F141" i="2"/>
  <c r="F139" i="2"/>
  <c r="F138" i="2"/>
  <c r="F136" i="2"/>
  <c r="F133" i="2"/>
  <c r="F132" i="2"/>
  <c r="F131" i="2"/>
  <c r="F129" i="2"/>
  <c r="F128" i="2"/>
  <c r="F127" i="2"/>
  <c r="F125" i="2"/>
  <c r="F124" i="2"/>
  <c r="F123" i="2"/>
  <c r="F121" i="2"/>
  <c r="F120" i="2"/>
  <c r="F118" i="2"/>
  <c r="F117" i="2"/>
  <c r="F116" i="2"/>
  <c r="F114" i="2"/>
  <c r="F112" i="2"/>
  <c r="F111" i="2"/>
  <c r="F110" i="2"/>
  <c r="F109" i="2"/>
  <c r="F108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0" i="2"/>
  <c r="F89" i="2"/>
  <c r="F88" i="2"/>
  <c r="F87" i="2"/>
  <c r="F86" i="2"/>
  <c r="F85" i="2"/>
  <c r="F84" i="2"/>
  <c r="F82" i="2"/>
  <c r="F81" i="2"/>
  <c r="F80" i="2"/>
  <c r="F76" i="2"/>
  <c r="F72" i="2"/>
  <c r="F71" i="2"/>
  <c r="F70" i="2"/>
  <c r="F69" i="2"/>
  <c r="F68" i="2"/>
  <c r="F67" i="2"/>
  <c r="F66" i="2"/>
  <c r="F64" i="2"/>
  <c r="F63" i="2"/>
  <c r="F61" i="2"/>
  <c r="F60" i="2"/>
  <c r="F59" i="2"/>
  <c r="F58" i="2"/>
  <c r="F57" i="2"/>
  <c r="F56" i="2"/>
  <c r="F54" i="2"/>
  <c r="F53" i="2"/>
  <c r="F51" i="2"/>
  <c r="F50" i="2"/>
  <c r="F49" i="2"/>
  <c r="F48" i="2"/>
  <c r="F47" i="2"/>
  <c r="F46" i="2"/>
  <c r="F45" i="2"/>
  <c r="F44" i="2"/>
  <c r="F43" i="2"/>
  <c r="F42" i="2"/>
  <c r="F41" i="2"/>
  <c r="F39" i="2"/>
  <c r="F38" i="2"/>
  <c r="F36" i="2"/>
  <c r="F35" i="2"/>
  <c r="F33" i="2"/>
  <c r="F32" i="2"/>
  <c r="F30" i="2"/>
  <c r="F29" i="2"/>
  <c r="F27" i="2"/>
  <c r="F26" i="2"/>
  <c r="F24" i="2"/>
  <c r="F23" i="2"/>
  <c r="F161" i="2" l="1"/>
  <c r="F40" i="3"/>
</calcChain>
</file>

<file path=xl/sharedStrings.xml><?xml version="1.0" encoding="utf-8"?>
<sst xmlns="http://schemas.openxmlformats.org/spreadsheetml/2006/main" count="376" uniqueCount="178">
  <si>
    <t>P.O. #___________________</t>
  </si>
  <si>
    <t>PURCHASE ORDER</t>
  </si>
  <si>
    <t>TO:</t>
  </si>
  <si>
    <t>DATE:</t>
  </si>
  <si>
    <t>PHONE:</t>
  </si>
  <si>
    <t>DATE REQ:</t>
  </si>
  <si>
    <t>FAX:</t>
  </si>
  <si>
    <t>TERMS"</t>
  </si>
  <si>
    <t>CONTACT:</t>
  </si>
  <si>
    <t>SHIP VIA;</t>
  </si>
  <si>
    <t>SHIP TO:</t>
  </si>
  <si>
    <t>ADDRESS;</t>
  </si>
  <si>
    <t>CITY/STATE</t>
  </si>
  <si>
    <t>ROB FREANEY</t>
  </si>
  <si>
    <t>QUANTITY</t>
  </si>
  <si>
    <t xml:space="preserve">  VENDOR #</t>
  </si>
  <si>
    <t>UNIT</t>
  </si>
  <si>
    <t>EXTENSION</t>
  </si>
  <si>
    <t xml:space="preserve"> </t>
  </si>
  <si>
    <t>TOTAL</t>
  </si>
  <si>
    <t>BILL TO</t>
  </si>
  <si>
    <t>PERFORMANCE POS</t>
  </si>
  <si>
    <t>SAN RAFAEL, CA 94901</t>
  </si>
  <si>
    <t>ACCT MGR:</t>
  </si>
  <si>
    <t>NET 30</t>
  </si>
  <si>
    <t>ground</t>
  </si>
  <si>
    <t>100 PELICAN WAY  SUITE A</t>
  </si>
  <si>
    <t>ASAP</t>
  </si>
  <si>
    <t>** free shipping **</t>
  </si>
  <si>
    <t>C.R.S.- USA</t>
  </si>
  <si>
    <t>Smart Dock HM618 w/printer</t>
  </si>
  <si>
    <t>ER-5240M</t>
  </si>
  <si>
    <t>Memory-6meg ram for SPS-500</t>
  </si>
  <si>
    <t>kit- 40 single keys ER-5200</t>
  </si>
  <si>
    <t>KIT- 40 single keys SPS-500</t>
  </si>
  <si>
    <t>TITAN 360 WORKSTATION</t>
  </si>
  <si>
    <t>703112-SSD</t>
  </si>
  <si>
    <t>NCC SOFTWARE- EMBEDDED SSD</t>
  </si>
  <si>
    <t>BTP-R180II PRINTER SER/USB/ETH</t>
  </si>
  <si>
    <t>RSL-1701</t>
  </si>
  <si>
    <t>REBATE FOR R180 PRINTER - NCC PROMO</t>
  </si>
  <si>
    <t>RSL-1204</t>
  </si>
  <si>
    <t>SCALE CAS PDII 15 LBS</t>
  </si>
  <si>
    <t xml:space="preserve">CABLE- CAS PDII </t>
  </si>
  <si>
    <t>TABLET- HM618 WIN 10 IOT</t>
  </si>
  <si>
    <t>TITAN- REAR DISPLAY 2 X 20</t>
  </si>
  <si>
    <t>CASH DRAWER- MODEL 60 BLACK 24V</t>
  </si>
  <si>
    <t>ER-5215M</t>
  </si>
  <si>
    <t>BTP-L580-II  BLACK LABEL PRINTER USB/SER</t>
  </si>
  <si>
    <t>Bundle promo discount-  ws DISPLAY</t>
  </si>
  <si>
    <t>POLE DISPLAY SAN4S 7IN MULTI-LINE ML700</t>
  </si>
  <si>
    <t>POWER SUPPLY  SPT-4500</t>
  </si>
  <si>
    <t>POWER SUPPLY- SPT-4700</t>
  </si>
  <si>
    <t>SCREEN PROTECTOR SPT-15"</t>
  </si>
  <si>
    <t>REAR DISPLAY- SPT-4500/4700</t>
  </si>
  <si>
    <t>LM048SPA2 SERIAL PRINTER</t>
  </si>
  <si>
    <t>TOUCH PANEL- SPS-2000</t>
  </si>
  <si>
    <t>POWER SUPPLY- SPS-2000</t>
  </si>
  <si>
    <t>Fernando Arellano</t>
  </si>
  <si>
    <t>Email</t>
  </si>
  <si>
    <t>fernando.arellano@crs-usa.com</t>
  </si>
  <si>
    <t>800-333-4949 x 2722</t>
  </si>
  <si>
    <t>QTY</t>
  </si>
  <si>
    <t>DUAL CD CABLE SPLITTER</t>
  </si>
  <si>
    <t>DB9F - DB25M  PRINTER CABLE</t>
  </si>
  <si>
    <t>DB9F- DB9M  PRINTER CABLE</t>
  </si>
  <si>
    <t>ER-945 RAISED CASH REGISTER R/J</t>
  </si>
  <si>
    <t>ER-940 FLAT CASH REGISTER R/J</t>
  </si>
  <si>
    <t>TPH- THERMAL PRINT HEAD, BTP-R180ii</t>
  </si>
  <si>
    <t>FEED LABEL- BTP-2002</t>
  </si>
  <si>
    <t>FEED LABEL- R880NP</t>
  </si>
  <si>
    <t>TPH- THERMAL PRINT HEAD, CF BTP-R880NP</t>
  </si>
  <si>
    <t>MSR FOR SPS-500</t>
  </si>
  <si>
    <t>Cash Drawer Extension Cable</t>
  </si>
  <si>
    <t>TOUCHSCREEN FOR SPS-520/530</t>
  </si>
  <si>
    <t>MICROPLUS E-PAD KITCHEN VIDEO</t>
  </si>
  <si>
    <t>TITAN 360 WORKSTATION- WINDOWS SSD</t>
  </si>
  <si>
    <t>703112-WIN</t>
  </si>
  <si>
    <t>NCC SOFTWARE- WINDOWS</t>
  </si>
  <si>
    <t>730238-WIN-SSD</t>
  </si>
  <si>
    <t>TITAN- REAR DISPLAY 9.7"</t>
  </si>
  <si>
    <t>POLE DISPLAY serial 2 x 20</t>
  </si>
  <si>
    <t>Locking Lid for Model 60 Till</t>
  </si>
  <si>
    <t>Till for Model 60 Cash Drawer</t>
  </si>
  <si>
    <t>Solenoid for Model 57/60 Cash Drawer</t>
  </si>
  <si>
    <t>703115-WIN</t>
  </si>
  <si>
    <t>NCC SOFTWARE- EMBEDDED</t>
  </si>
  <si>
    <t>9.7 REAR DISPLAY LCD</t>
  </si>
  <si>
    <t>703113-SSD</t>
  </si>
  <si>
    <t>SPS-530-RT</t>
  </si>
  <si>
    <t>SPS-530-FT</t>
  </si>
  <si>
    <t>730191-WIN-SSD</t>
  </si>
  <si>
    <t>SPT-S270J WINDOWS WORKSTATION</t>
  </si>
  <si>
    <t>This is a blind drop-ship</t>
  </si>
  <si>
    <t>Thank You!</t>
  </si>
  <si>
    <t>HK570  WORKSTATION</t>
  </si>
  <si>
    <t>703108-SSD</t>
  </si>
  <si>
    <t>2 X 20 REAR DISPLAY FOR HK-570</t>
  </si>
  <si>
    <t>HK570  WORKSTATION, WINDOWS</t>
  </si>
  <si>
    <t>703108- WIN</t>
  </si>
  <si>
    <t>10"  NON-TOUCH REAR DISPLAY</t>
  </si>
  <si>
    <t>720328-WIN-SSD</t>
  </si>
  <si>
    <t>Till for Model 57 Cash Drawer</t>
  </si>
  <si>
    <t>ER-265EJ</t>
  </si>
  <si>
    <t>SAM4POS</t>
  </si>
  <si>
    <t>SAM4 POS</t>
  </si>
  <si>
    <t>SOFTWARE- 1YEAR</t>
  </si>
  <si>
    <t>SOFTWARE- 2YEAR</t>
  </si>
  <si>
    <t>SAM4POS  SAP-630-RT   RAISED KB</t>
  </si>
  <si>
    <t>FLAT  SAP-630- FT</t>
  </si>
  <si>
    <t xml:space="preserve">HISENSE TABLET </t>
  </si>
  <si>
    <t>DOCKING STATION</t>
  </si>
  <si>
    <t>WITH PRINTER</t>
  </si>
  <si>
    <t>SAP-6600 WHITE 15"</t>
  </si>
  <si>
    <t>ER-260EJ</t>
  </si>
  <si>
    <t>FLAT KB</t>
  </si>
  <si>
    <t>RAISED KB</t>
  </si>
  <si>
    <t>NCC REFLECTIONS POS SW FOR HM618</t>
  </si>
  <si>
    <t>Smart Dock HM618  ( NO PRINTER)</t>
  </si>
  <si>
    <t>DB9- RJ-POWER ADAPTOR FOR POLE DISPLAY</t>
  </si>
  <si>
    <t>SPS-345 RAISED CASH REGISTER R/J</t>
  </si>
  <si>
    <t>SOFTWARE- 5 YEAR(UNLIM)</t>
  </si>
  <si>
    <t>SPS-340 FLAT KB CASH REGISTER R/J</t>
  </si>
  <si>
    <t>POWER BUTTON-TITAN</t>
  </si>
  <si>
    <t>OSD BOARD- TITAN0</t>
  </si>
  <si>
    <t>MOBILE APP-5 YEAR</t>
  </si>
  <si>
    <t>132063-E-BLK</t>
  </si>
  <si>
    <t>BTP-L520 LABEL PRINTER, ETHERNET, BLACK</t>
  </si>
  <si>
    <t>HK718 TERMINAL WITH PRINTER (BLACK)</t>
  </si>
  <si>
    <t>SPOT ON, (PERFORMANCE POS)</t>
  </si>
  <si>
    <t>SPOTON TRANSACT</t>
  </si>
  <si>
    <t>A/P contact = Yvonne</t>
  </si>
  <si>
    <t>Goodwill Redwood Empire</t>
  </si>
  <si>
    <t>651 Yolanda Ave</t>
  </si>
  <si>
    <t>Santa Rosa,  Ca  95404</t>
  </si>
  <si>
    <t>Linda Wood</t>
  </si>
  <si>
    <t>**  FREE SHIPPING AS PER FERNANDO  **</t>
  </si>
  <si>
    <t>call for CC</t>
  </si>
  <si>
    <t>SAP-6600II</t>
  </si>
  <si>
    <t>SAM 4S ANDROID TOUCH WS</t>
  </si>
  <si>
    <t>2 x 20 rear display for SAP-6600II</t>
  </si>
  <si>
    <t>Keys for Model 57/60 cash drawer, set of 2</t>
  </si>
  <si>
    <t>SAM4S POS SW, ANNUAL</t>
  </si>
  <si>
    <t>15" lcd ( for sap-6600)</t>
  </si>
  <si>
    <t>503104-sam4s</t>
  </si>
  <si>
    <t>decals</t>
  </si>
  <si>
    <t>tablet- sam4pos- android</t>
  </si>
  <si>
    <t>TABLET- HM628 WIN 10 IOT</t>
  </si>
  <si>
    <t>NCC REFLECTIONS POS SW FOR HM628</t>
  </si>
  <si>
    <t>Charging Cradle- Hisense 628 tablet</t>
  </si>
  <si>
    <t>100 California St, Suite 900</t>
  </si>
  <si>
    <t>San Francisco, Ca  94111</t>
  </si>
  <si>
    <t>Acct#   C101414</t>
  </si>
  <si>
    <t>101 Glacier point, Suite B</t>
  </si>
  <si>
    <t>Net 30</t>
  </si>
  <si>
    <t>CA-60223</t>
  </si>
  <si>
    <t>Acct#   5562</t>
  </si>
  <si>
    <t>Performance POS/ SpotOn</t>
  </si>
  <si>
    <t>132063-e-Blk</t>
  </si>
  <si>
    <t>Label Printer for SAM4pos- ethernet- black</t>
  </si>
  <si>
    <t>SAM4s Android Software- 5 year</t>
  </si>
  <si>
    <t>Tablet 626R  Android ( for Sam4POS)</t>
  </si>
  <si>
    <t>2d scanner for 626r Tablet</t>
  </si>
  <si>
    <t>Database Maint SW for 626rTablet/ Sam4POS-5yr</t>
  </si>
  <si>
    <t>Charger cradle for 626R tablet</t>
  </si>
  <si>
    <t>ATTN:  ROB FREANEY</t>
  </si>
  <si>
    <t>Ground</t>
  </si>
  <si>
    <t>FREE FREIGHT</t>
  </si>
  <si>
    <t>SAM4POS   5 year license</t>
  </si>
  <si>
    <t>snbc L580 Label Printer, Serial/Usb</t>
  </si>
  <si>
    <t>SAM4s Android Software- 1 year</t>
  </si>
  <si>
    <t>Product=  SAP 630 raised</t>
  </si>
  <si>
    <t>CA-4012201</t>
  </si>
  <si>
    <t>Power Supply for SPT 4740</t>
  </si>
  <si>
    <t>CA-4051701</t>
  </si>
  <si>
    <t>Client=  Sonoma Valley Market</t>
  </si>
  <si>
    <t>License=  53614285</t>
  </si>
  <si>
    <t>new license, new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</si>
</sst>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4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2" fontId="12" fillId="0" borderId="0" xfId="0" applyNumberFormat="1" applyFont="1"/>
    <xf numFmtId="0" fontId="14" fillId="0" borderId="0" xfId="0" applyFont="1"/>
    <xf numFmtId="16" fontId="0" fillId="0" borderId="0" xfId="0" quotePrefix="1" applyNumberFormat="1"/>
    <xf numFmtId="0" fontId="15" fillId="0" borderId="0" xfId="0" applyFont="1"/>
    <xf numFmtId="0" fontId="16" fillId="0" borderId="0" xfId="0" applyFont="1"/>
    <xf numFmtId="2" fontId="16" fillId="0" borderId="0" xfId="0" applyNumberFormat="1" applyFont="1"/>
    <xf numFmtId="0" fontId="14" fillId="0" borderId="0" xfId="0" quotePrefix="1" applyFont="1"/>
    <xf numFmtId="14" fontId="0" fillId="0" borderId="0" xfId="0" applyNumberFormat="1"/>
    <xf numFmtId="0" fontId="17" fillId="0" borderId="0" xfId="0" applyFont="1"/>
    <xf numFmtId="0" fontId="12" fillId="0" borderId="0" xfId="0" applyFont="1"/>
    <xf numFmtId="0" fontId="13" fillId="0" borderId="0" xfId="1" applyAlignment="1" applyProtection="1"/>
    <xf numFmtId="9" fontId="5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6" fillId="0" borderId="1" xfId="0" applyFont="1" applyBorder="1"/>
    <xf numFmtId="0" fontId="16" fillId="0" borderId="2" xfId="0" applyFont="1" applyBorder="1"/>
    <xf numFmtId="0" fontId="12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16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3" xfId="0" applyFont="1" applyBorder="1"/>
    <xf numFmtId="0" fontId="2" fillId="0" borderId="0" xfId="0" applyFont="1" applyAlignment="1">
      <alignment horizontal="left"/>
    </xf>
    <xf numFmtId="2" fontId="7" fillId="0" borderId="0" xfId="0" applyNumberFormat="1" applyFont="1"/>
    <xf numFmtId="2" fontId="1" fillId="0" borderId="0" xfId="0" applyNumberFormat="1" applyFont="1"/>
    <xf numFmtId="0" fontId="7" fillId="0" borderId="7" xfId="0" applyFont="1" applyBorder="1"/>
    <xf numFmtId="0" fontId="7" fillId="0" borderId="8" xfId="0" applyFont="1" applyBorder="1"/>
    <xf numFmtId="0" fontId="8" fillId="0" borderId="0" xfId="0" applyFont="1"/>
    <xf numFmtId="2" fontId="1" fillId="0" borderId="0" xfId="0" quotePrefix="1" applyNumberFormat="1" applyFont="1"/>
    <xf numFmtId="0" fontId="18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313B-7F03-4425-B578-7E56B33E62A1}">
  <dimension ref="A1:G38"/>
  <sheetViews>
    <sheetView tabSelected="1" workbookViewId="0">
      <selection activeCell="J26" sqref="J26"/>
    </sheetView>
  </sheetViews>
  <sheetFormatPr defaultRowHeight="12.75" x14ac:dyDescent="0.2"/>
  <cols>
    <col min="1" max="1" width="4.7109375" customWidth="1"/>
    <col min="2" max="2" width="19" customWidth="1"/>
    <col min="3" max="3" width="17.5703125" customWidth="1"/>
    <col min="4" max="4" width="22.7109375" customWidth="1"/>
    <col min="5" max="5" width="9.5703125" customWidth="1"/>
    <col min="6" max="6" width="14.5703125" customWidth="1"/>
  </cols>
  <sheetData>
    <row r="1" spans="1:6" ht="30" x14ac:dyDescent="0.4">
      <c r="B1" s="1"/>
      <c r="C1" s="1"/>
      <c r="E1" t="s">
        <v>0</v>
      </c>
      <c r="F1" s="6" t="s">
        <v>174</v>
      </c>
    </row>
    <row r="2" spans="1:6" ht="30" x14ac:dyDescent="0.4">
      <c r="A2" s="7"/>
      <c r="B2" s="8" t="s">
        <v>1</v>
      </c>
      <c r="C2" s="8"/>
      <c r="D2" s="7"/>
      <c r="E2" s="7"/>
    </row>
    <row r="4" spans="1:6" ht="23.25" x14ac:dyDescent="0.35">
      <c r="A4" t="s">
        <v>2</v>
      </c>
      <c r="B4" s="5"/>
      <c r="C4" s="5" t="s">
        <v>29</v>
      </c>
      <c r="D4" s="5"/>
      <c r="E4" t="s">
        <v>3</v>
      </c>
      <c r="F4" s="44">
        <v>45429</v>
      </c>
    </row>
    <row r="5" spans="1:6" x14ac:dyDescent="0.2">
      <c r="A5" t="s">
        <v>4</v>
      </c>
      <c r="C5" t="s">
        <v>61</v>
      </c>
      <c r="E5" t="s">
        <v>5</v>
      </c>
      <c r="F5" s="33" t="s">
        <v>27</v>
      </c>
    </row>
    <row r="6" spans="1:6" x14ac:dyDescent="0.2">
      <c r="A6" t="s">
        <v>6</v>
      </c>
      <c r="C6" s="23" t="s">
        <v>60</v>
      </c>
      <c r="E6" t="s">
        <v>7</v>
      </c>
      <c r="F6" s="45" t="s">
        <v>154</v>
      </c>
    </row>
    <row r="7" spans="1:6" x14ac:dyDescent="0.2">
      <c r="A7" t="s">
        <v>23</v>
      </c>
      <c r="C7" t="s">
        <v>58</v>
      </c>
      <c r="E7" t="s">
        <v>9</v>
      </c>
      <c r="F7" s="35" t="s">
        <v>166</v>
      </c>
    </row>
    <row r="9" spans="1:6" ht="15.75" x14ac:dyDescent="0.25">
      <c r="A9" t="s">
        <v>20</v>
      </c>
      <c r="B9" s="4"/>
      <c r="C9" s="6" t="s">
        <v>130</v>
      </c>
      <c r="D9" s="17"/>
      <c r="E9" s="50" t="s">
        <v>152</v>
      </c>
      <c r="F9" s="51"/>
    </row>
    <row r="10" spans="1:6" ht="15.75" x14ac:dyDescent="0.25">
      <c r="A10" t="s">
        <v>11</v>
      </c>
      <c r="B10" s="4"/>
      <c r="C10" s="6" t="s">
        <v>150</v>
      </c>
      <c r="D10" s="17"/>
    </row>
    <row r="11" spans="1:6" ht="15.75" x14ac:dyDescent="0.25">
      <c r="A11" t="s">
        <v>12</v>
      </c>
      <c r="B11" s="4"/>
      <c r="C11" s="6" t="s">
        <v>151</v>
      </c>
      <c r="D11" s="17"/>
    </row>
    <row r="12" spans="1:6" x14ac:dyDescent="0.2">
      <c r="A12" t="s">
        <v>8</v>
      </c>
      <c r="C12" s="4" t="s">
        <v>131</v>
      </c>
      <c r="D12" s="22"/>
    </row>
    <row r="13" spans="1:6" x14ac:dyDescent="0.2">
      <c r="C13" s="12"/>
      <c r="D13" s="12"/>
    </row>
    <row r="15" spans="1:6" ht="15.75" x14ac:dyDescent="0.25">
      <c r="A15" t="s">
        <v>10</v>
      </c>
      <c r="B15" s="4"/>
      <c r="C15" s="6" t="s">
        <v>129</v>
      </c>
      <c r="D15" s="17"/>
    </row>
    <row r="16" spans="1:6" ht="15.75" x14ac:dyDescent="0.25">
      <c r="A16" t="s">
        <v>11</v>
      </c>
      <c r="B16" s="4"/>
      <c r="C16" s="6" t="s">
        <v>153</v>
      </c>
      <c r="D16" s="17"/>
    </row>
    <row r="17" spans="1:7" ht="15.75" x14ac:dyDescent="0.25">
      <c r="A17" t="s">
        <v>12</v>
      </c>
      <c r="B17" s="4"/>
      <c r="C17" s="17" t="s">
        <v>22</v>
      </c>
      <c r="D17" s="17"/>
    </row>
    <row r="18" spans="1:7" ht="18" x14ac:dyDescent="0.25">
      <c r="A18" t="s">
        <v>8</v>
      </c>
      <c r="C18" s="52" t="s">
        <v>165</v>
      </c>
      <c r="D18" s="22"/>
    </row>
    <row r="19" spans="1:7" ht="9" customHeight="1" x14ac:dyDescent="0.25">
      <c r="C19" s="6"/>
    </row>
    <row r="20" spans="1:7" s="10" customFormat="1" ht="25.5" customHeight="1" x14ac:dyDescent="0.2">
      <c r="A20" s="11" t="s">
        <v>62</v>
      </c>
      <c r="B20" s="11" t="s">
        <v>15</v>
      </c>
      <c r="C20" s="11"/>
      <c r="D20" s="11"/>
      <c r="E20" s="11" t="s">
        <v>16</v>
      </c>
      <c r="F20" s="11" t="s">
        <v>17</v>
      </c>
      <c r="G20" s="11"/>
    </row>
    <row r="21" spans="1:7" s="10" customFormat="1" ht="12.75" customHeight="1" x14ac:dyDescent="0.25">
      <c r="A21" s="11"/>
      <c r="B21" s="11"/>
      <c r="C21" s="21"/>
      <c r="D21" s="11"/>
      <c r="E21" s="11"/>
      <c r="F21" s="11"/>
      <c r="G21" s="11"/>
    </row>
    <row r="22" spans="1:7" s="32" customFormat="1" x14ac:dyDescent="0.2">
      <c r="A22" s="32">
        <v>1</v>
      </c>
      <c r="B22" s="36">
        <v>951055</v>
      </c>
      <c r="C22" s="32" t="s">
        <v>168</v>
      </c>
      <c r="E22" s="32">
        <v>450</v>
      </c>
      <c r="F22" s="32">
        <f t="shared" ref="F22" si="0">E22*A22</f>
        <v>450</v>
      </c>
    </row>
    <row r="23" spans="1:7" s="32" customFormat="1" x14ac:dyDescent="0.2">
      <c r="B23" s="36"/>
    </row>
    <row r="24" spans="1:7" s="10" customFormat="1" ht="14.25" customHeight="1" x14ac:dyDescent="0.2">
      <c r="A24" s="32"/>
      <c r="B24" s="36"/>
      <c r="C24" s="32" t="s">
        <v>175</v>
      </c>
      <c r="D24" s="32"/>
      <c r="E24" s="32"/>
      <c r="F24" s="32"/>
    </row>
    <row r="25" spans="1:7" s="32" customFormat="1" x14ac:dyDescent="0.2">
      <c r="B25" s="36"/>
      <c r="C25" s="32" t="s">
        <v>176</v>
      </c>
    </row>
    <row r="26" spans="1:7" s="32" customFormat="1" x14ac:dyDescent="0.2">
      <c r="B26" s="36"/>
      <c r="C26" s="32" t="s">
        <v>171</v>
      </c>
    </row>
    <row r="27" spans="1:7" s="32" customFormat="1" x14ac:dyDescent="0.2">
      <c r="B27" s="36"/>
    </row>
    <row r="28" spans="1:7" ht="20.25" customHeight="1" x14ac:dyDescent="0.35">
      <c r="A28" s="32"/>
      <c r="B28" s="36"/>
      <c r="C28" s="32" t="s">
        <v>177</v>
      </c>
      <c r="D28" s="32"/>
      <c r="E28" s="32"/>
      <c r="F28" s="32"/>
      <c r="G28" s="2"/>
    </row>
    <row r="29" spans="1:7" s="32" customFormat="1" x14ac:dyDescent="0.2">
      <c r="B29" s="36"/>
    </row>
    <row r="30" spans="1:7" s="10" customFormat="1" ht="12.75" customHeight="1" x14ac:dyDescent="0.2">
      <c r="A30" s="32"/>
      <c r="B30" s="36"/>
      <c r="C30" s="54"/>
      <c r="D30" s="32"/>
      <c r="E30" s="32"/>
      <c r="F30" s="32"/>
    </row>
    <row r="31" spans="1:7" s="10" customFormat="1" ht="10.5" customHeight="1" x14ac:dyDescent="0.2">
      <c r="A31" s="32"/>
      <c r="B31" s="36"/>
      <c r="C31" s="32"/>
      <c r="D31" s="32"/>
      <c r="E31" s="32"/>
      <c r="F31" s="32"/>
    </row>
    <row r="32" spans="1:7" s="32" customFormat="1" x14ac:dyDescent="0.2">
      <c r="B32" s="36"/>
    </row>
    <row r="33" spans="2:7" s="32" customFormat="1" x14ac:dyDescent="0.2">
      <c r="B33" s="36"/>
      <c r="C33" s="4" t="s">
        <v>167</v>
      </c>
    </row>
    <row r="34" spans="2:7" s="14" customFormat="1" ht="15.75" x14ac:dyDescent="0.25">
      <c r="B34" s="14" t="s">
        <v>18</v>
      </c>
      <c r="D34" s="17" t="s">
        <v>19</v>
      </c>
      <c r="E34" s="14" t="s">
        <v>18</v>
      </c>
      <c r="F34" s="18">
        <f>SUM(F22:F33)</f>
        <v>450</v>
      </c>
      <c r="G34" s="19"/>
    </row>
    <row r="35" spans="2:7" ht="23.25" x14ac:dyDescent="0.35">
      <c r="B35" s="12"/>
      <c r="D35" s="16"/>
      <c r="E35" s="24"/>
      <c r="F35" s="53"/>
      <c r="G35" s="2"/>
    </row>
    <row r="36" spans="2:7" x14ac:dyDescent="0.2">
      <c r="D36" s="4"/>
    </row>
    <row r="37" spans="2:7" s="4" customFormat="1" ht="15.75" x14ac:dyDescent="0.25">
      <c r="C37" s="16"/>
      <c r="D37"/>
      <c r="F37" s="18"/>
    </row>
    <row r="38" spans="2:7" x14ac:dyDescent="0.2">
      <c r="D3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E23" sqref="E23"/>
    </sheetView>
  </sheetViews>
  <sheetFormatPr defaultRowHeight="12.75" x14ac:dyDescent="0.2"/>
  <cols>
    <col min="1" max="1" width="4.7109375" customWidth="1"/>
    <col min="2" max="2" width="19" customWidth="1"/>
    <col min="3" max="3" width="17.5703125" customWidth="1"/>
    <col min="4" max="4" width="22.7109375" customWidth="1"/>
    <col min="5" max="5" width="9.5703125" customWidth="1"/>
    <col min="6" max="6" width="14.5703125" customWidth="1"/>
  </cols>
  <sheetData>
    <row r="1" spans="1:6" ht="30" x14ac:dyDescent="0.4">
      <c r="B1" s="1"/>
      <c r="C1" s="1"/>
      <c r="E1" t="s">
        <v>0</v>
      </c>
      <c r="F1" s="6" t="s">
        <v>172</v>
      </c>
    </row>
    <row r="2" spans="1:6" ht="30" x14ac:dyDescent="0.4">
      <c r="A2" s="7"/>
      <c r="B2" s="8" t="s">
        <v>1</v>
      </c>
      <c r="C2" s="8"/>
      <c r="D2" s="7"/>
      <c r="E2" s="7"/>
    </row>
    <row r="4" spans="1:6" ht="23.25" x14ac:dyDescent="0.35">
      <c r="A4" t="s">
        <v>2</v>
      </c>
      <c r="B4" s="5"/>
      <c r="C4" s="5" t="s">
        <v>29</v>
      </c>
      <c r="D4" s="5"/>
      <c r="E4" t="s">
        <v>3</v>
      </c>
      <c r="F4" s="44">
        <v>45313</v>
      </c>
    </row>
    <row r="5" spans="1:6" x14ac:dyDescent="0.2">
      <c r="A5" t="s">
        <v>4</v>
      </c>
      <c r="C5" t="s">
        <v>61</v>
      </c>
      <c r="E5" t="s">
        <v>5</v>
      </c>
      <c r="F5" s="33" t="s">
        <v>27</v>
      </c>
    </row>
    <row r="6" spans="1:6" x14ac:dyDescent="0.2">
      <c r="A6" t="s">
        <v>6</v>
      </c>
      <c r="C6" s="23" t="s">
        <v>60</v>
      </c>
      <c r="E6" t="s">
        <v>7</v>
      </c>
      <c r="F6" s="45" t="s">
        <v>154</v>
      </c>
    </row>
    <row r="7" spans="1:6" x14ac:dyDescent="0.2">
      <c r="A7" t="s">
        <v>23</v>
      </c>
      <c r="C7" t="s">
        <v>58</v>
      </c>
      <c r="E7" t="s">
        <v>9</v>
      </c>
      <c r="F7" s="35" t="s">
        <v>166</v>
      </c>
    </row>
    <row r="9" spans="1:6" ht="15.75" x14ac:dyDescent="0.25">
      <c r="A9" t="s">
        <v>20</v>
      </c>
      <c r="B9" s="4"/>
      <c r="C9" s="6" t="s">
        <v>130</v>
      </c>
      <c r="D9" s="17"/>
      <c r="E9" s="50" t="s">
        <v>152</v>
      </c>
      <c r="F9" s="51"/>
    </row>
    <row r="10" spans="1:6" ht="15.75" x14ac:dyDescent="0.25">
      <c r="A10" t="s">
        <v>11</v>
      </c>
      <c r="B10" s="4"/>
      <c r="C10" s="6" t="s">
        <v>150</v>
      </c>
      <c r="D10" s="17"/>
    </row>
    <row r="11" spans="1:6" ht="15.75" x14ac:dyDescent="0.25">
      <c r="A11" t="s">
        <v>12</v>
      </c>
      <c r="B11" s="4"/>
      <c r="C11" s="6" t="s">
        <v>151</v>
      </c>
      <c r="D11" s="17"/>
    </row>
    <row r="12" spans="1:6" x14ac:dyDescent="0.2">
      <c r="A12" t="s">
        <v>8</v>
      </c>
      <c r="C12" s="4" t="s">
        <v>131</v>
      </c>
      <c r="D12" s="22"/>
    </row>
    <row r="13" spans="1:6" x14ac:dyDescent="0.2">
      <c r="C13" s="12"/>
      <c r="D13" s="12"/>
    </row>
    <row r="15" spans="1:6" ht="15.75" x14ac:dyDescent="0.25">
      <c r="A15" t="s">
        <v>10</v>
      </c>
      <c r="B15" s="4"/>
      <c r="C15" s="6" t="s">
        <v>129</v>
      </c>
      <c r="D15" s="17"/>
    </row>
    <row r="16" spans="1:6" ht="15.75" x14ac:dyDescent="0.25">
      <c r="A16" t="s">
        <v>11</v>
      </c>
      <c r="B16" s="4"/>
      <c r="C16" s="6" t="s">
        <v>153</v>
      </c>
      <c r="D16" s="17"/>
    </row>
    <row r="17" spans="1:7" ht="15.75" x14ac:dyDescent="0.25">
      <c r="A17" t="s">
        <v>12</v>
      </c>
      <c r="B17" s="4"/>
      <c r="C17" s="17" t="s">
        <v>22</v>
      </c>
      <c r="D17" s="17"/>
    </row>
    <row r="18" spans="1:7" ht="18" x14ac:dyDescent="0.25">
      <c r="A18" t="s">
        <v>8</v>
      </c>
      <c r="C18" s="52" t="s">
        <v>165</v>
      </c>
      <c r="D18" s="22"/>
    </row>
    <row r="19" spans="1:7" ht="9" customHeight="1" x14ac:dyDescent="0.25">
      <c r="C19" s="6"/>
    </row>
    <row r="20" spans="1:7" s="10" customFormat="1" ht="25.5" customHeight="1" x14ac:dyDescent="0.2">
      <c r="A20" s="11" t="s">
        <v>62</v>
      </c>
      <c r="B20" s="11" t="s">
        <v>15</v>
      </c>
      <c r="C20" s="11"/>
      <c r="D20" s="11"/>
      <c r="E20" s="11" t="s">
        <v>16</v>
      </c>
      <c r="F20" s="11" t="s">
        <v>17</v>
      </c>
      <c r="G20" s="11"/>
    </row>
    <row r="21" spans="1:7" s="10" customFormat="1" ht="12.75" customHeight="1" x14ac:dyDescent="0.25">
      <c r="A21" s="11"/>
      <c r="B21" s="11"/>
      <c r="C21" s="21"/>
      <c r="D21" s="11"/>
      <c r="E21" s="11"/>
      <c r="F21" s="11"/>
      <c r="G21" s="11"/>
    </row>
    <row r="22" spans="1:7" s="32" customFormat="1" x14ac:dyDescent="0.2">
      <c r="A22" s="32">
        <v>4</v>
      </c>
      <c r="B22" s="36">
        <v>503112</v>
      </c>
      <c r="C22" s="32" t="s">
        <v>173</v>
      </c>
      <c r="E22" s="32">
        <v>40</v>
      </c>
      <c r="F22" s="32">
        <f t="shared" ref="F22" si="0">E22*A22</f>
        <v>160</v>
      </c>
    </row>
    <row r="23" spans="1:7" s="32" customFormat="1" x14ac:dyDescent="0.2">
      <c r="B23" s="36"/>
    </row>
    <row r="24" spans="1:7" s="10" customFormat="1" ht="14.25" customHeight="1" x14ac:dyDescent="0.2">
      <c r="A24" s="32"/>
      <c r="B24" s="36"/>
      <c r="C24" s="32"/>
      <c r="D24" s="32"/>
      <c r="E24" s="32"/>
      <c r="F24" s="32"/>
    </row>
    <row r="25" spans="1:7" s="32" customFormat="1" x14ac:dyDescent="0.2">
      <c r="B25" s="36"/>
    </row>
    <row r="26" spans="1:7" s="32" customFormat="1" x14ac:dyDescent="0.2">
      <c r="B26" s="36"/>
    </row>
    <row r="27" spans="1:7" s="32" customFormat="1" x14ac:dyDescent="0.2">
      <c r="B27" s="36"/>
    </row>
    <row r="28" spans="1:7" ht="20.25" customHeight="1" x14ac:dyDescent="0.35">
      <c r="A28" s="32"/>
      <c r="B28" s="36"/>
      <c r="C28" s="32"/>
      <c r="D28" s="32"/>
      <c r="E28" s="32"/>
      <c r="F28" s="32"/>
      <c r="G28" s="2"/>
    </row>
    <row r="29" spans="1:7" s="32" customFormat="1" x14ac:dyDescent="0.2">
      <c r="B29" s="36"/>
    </row>
    <row r="30" spans="1:7" s="10" customFormat="1" ht="12.75" customHeight="1" x14ac:dyDescent="0.2">
      <c r="A30" s="32"/>
      <c r="B30" s="36"/>
      <c r="C30" s="54"/>
      <c r="D30" s="32"/>
      <c r="E30" s="32"/>
      <c r="F30" s="32"/>
    </row>
    <row r="31" spans="1:7" s="10" customFormat="1" ht="10.5" customHeight="1" x14ac:dyDescent="0.2">
      <c r="A31" s="32"/>
      <c r="B31" s="36"/>
      <c r="C31" s="32"/>
      <c r="D31" s="32"/>
      <c r="E31" s="32"/>
      <c r="F31" s="32"/>
    </row>
    <row r="32" spans="1:7" s="32" customFormat="1" x14ac:dyDescent="0.2">
      <c r="B32" s="36"/>
    </row>
    <row r="33" spans="2:7" s="32" customFormat="1" x14ac:dyDescent="0.2">
      <c r="B33" s="36"/>
      <c r="C33" s="4"/>
    </row>
    <row r="34" spans="2:7" s="14" customFormat="1" ht="15.75" x14ac:dyDescent="0.25">
      <c r="B34" s="14" t="s">
        <v>18</v>
      </c>
      <c r="D34" s="17" t="s">
        <v>19</v>
      </c>
      <c r="E34" s="14" t="s">
        <v>18</v>
      </c>
      <c r="F34" s="18">
        <f>SUM(F22:F33)</f>
        <v>160</v>
      </c>
      <c r="G34" s="19"/>
    </row>
    <row r="35" spans="2:7" ht="23.25" x14ac:dyDescent="0.35">
      <c r="B35" s="12"/>
      <c r="D35" s="16"/>
      <c r="E35" s="24"/>
      <c r="F35" s="53"/>
      <c r="G35" s="2"/>
    </row>
    <row r="36" spans="2:7" x14ac:dyDescent="0.2">
      <c r="D36" s="4"/>
    </row>
    <row r="37" spans="2:7" s="4" customFormat="1" ht="15.75" x14ac:dyDescent="0.25">
      <c r="C37" s="16"/>
      <c r="D37"/>
      <c r="F37" s="18"/>
    </row>
    <row r="38" spans="2:7" x14ac:dyDescent="0.2">
      <c r="D38" s="15"/>
    </row>
  </sheetData>
  <phoneticPr fontId="0" type="noConversion"/>
  <pageMargins left="0.75" right="0.75" top="1" bottom="1" header="0.5" footer="0.5"/>
  <pageSetup orientation="portrait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5D22-5C73-4909-8E43-5668B31C0DB0}">
  <dimension ref="A1:G33"/>
  <sheetViews>
    <sheetView workbookViewId="0">
      <selection activeCell="C10" sqref="C10"/>
    </sheetView>
  </sheetViews>
  <sheetFormatPr defaultRowHeight="12.75" x14ac:dyDescent="0.2"/>
  <cols>
    <col min="1" max="1" width="4.7109375" customWidth="1"/>
    <col min="2" max="2" width="22.7109375" customWidth="1"/>
    <col min="3" max="3" width="17.5703125" customWidth="1"/>
    <col min="4" max="4" width="23.85546875" customWidth="1"/>
    <col min="5" max="5" width="9.5703125" customWidth="1"/>
    <col min="6" max="6" width="11.5703125" customWidth="1"/>
  </cols>
  <sheetData>
    <row r="1" spans="1:6" ht="30" x14ac:dyDescent="0.4">
      <c r="B1" s="1"/>
      <c r="C1" s="1"/>
      <c r="E1" t="s">
        <v>0</v>
      </c>
      <c r="F1" s="6" t="s">
        <v>155</v>
      </c>
    </row>
    <row r="2" spans="1:6" ht="30" x14ac:dyDescent="0.4">
      <c r="A2" s="7"/>
      <c r="B2" s="8" t="s">
        <v>1</v>
      </c>
      <c r="C2" s="8"/>
      <c r="D2" s="7"/>
      <c r="E2" s="7"/>
    </row>
    <row r="4" spans="1:6" ht="23.25" x14ac:dyDescent="0.35">
      <c r="A4" t="s">
        <v>2</v>
      </c>
      <c r="B4" s="5"/>
      <c r="C4" s="5" t="s">
        <v>29</v>
      </c>
      <c r="D4" s="5"/>
      <c r="E4" t="s">
        <v>3</v>
      </c>
      <c r="F4" s="44">
        <v>44734</v>
      </c>
    </row>
    <row r="5" spans="1:6" x14ac:dyDescent="0.2">
      <c r="A5" t="s">
        <v>4</v>
      </c>
      <c r="C5" t="s">
        <v>61</v>
      </c>
      <c r="E5" t="s">
        <v>5</v>
      </c>
      <c r="F5" s="33" t="s">
        <v>27</v>
      </c>
    </row>
    <row r="6" spans="1:6" x14ac:dyDescent="0.2">
      <c r="A6" t="s">
        <v>6</v>
      </c>
      <c r="C6" s="23" t="s">
        <v>60</v>
      </c>
      <c r="E6" t="s">
        <v>7</v>
      </c>
      <c r="F6" s="45" t="s">
        <v>154</v>
      </c>
    </row>
    <row r="7" spans="1:6" x14ac:dyDescent="0.2">
      <c r="A7" t="s">
        <v>23</v>
      </c>
      <c r="C7" t="s">
        <v>58</v>
      </c>
      <c r="E7" t="s">
        <v>9</v>
      </c>
      <c r="F7" s="35" t="s">
        <v>25</v>
      </c>
    </row>
    <row r="9" spans="1:6" ht="15.75" x14ac:dyDescent="0.25">
      <c r="A9" t="s">
        <v>20</v>
      </c>
      <c r="B9" s="4"/>
      <c r="C9" s="6" t="s">
        <v>157</v>
      </c>
      <c r="D9" s="17"/>
      <c r="E9" s="50" t="s">
        <v>156</v>
      </c>
      <c r="F9" s="51"/>
    </row>
    <row r="10" spans="1:6" ht="15.75" x14ac:dyDescent="0.25">
      <c r="A10" t="s">
        <v>11</v>
      </c>
      <c r="B10" s="4"/>
      <c r="C10" s="6" t="s">
        <v>150</v>
      </c>
      <c r="D10" s="17"/>
    </row>
    <row r="11" spans="1:6" ht="15.75" x14ac:dyDescent="0.25">
      <c r="A11" t="s">
        <v>12</v>
      </c>
      <c r="B11" s="4"/>
      <c r="C11" s="6" t="s">
        <v>151</v>
      </c>
      <c r="D11" s="17"/>
    </row>
    <row r="12" spans="1:6" x14ac:dyDescent="0.2">
      <c r="A12" t="s">
        <v>8</v>
      </c>
      <c r="C12" s="4" t="s">
        <v>131</v>
      </c>
      <c r="D12" s="22"/>
    </row>
    <row r="13" spans="1:6" x14ac:dyDescent="0.2">
      <c r="C13" s="12"/>
      <c r="D13" s="12"/>
    </row>
    <row r="15" spans="1:6" ht="15.75" x14ac:dyDescent="0.25">
      <c r="A15" t="s">
        <v>10</v>
      </c>
      <c r="B15" s="4"/>
      <c r="C15" s="6" t="s">
        <v>157</v>
      </c>
      <c r="D15" s="17"/>
    </row>
    <row r="16" spans="1:6" ht="15.75" x14ac:dyDescent="0.25">
      <c r="A16" t="s">
        <v>11</v>
      </c>
      <c r="B16" s="4"/>
      <c r="C16" s="6" t="s">
        <v>153</v>
      </c>
      <c r="D16" s="17"/>
    </row>
    <row r="17" spans="1:7" ht="15.75" x14ac:dyDescent="0.25">
      <c r="A17" t="s">
        <v>12</v>
      </c>
      <c r="B17" s="4"/>
      <c r="C17" s="17" t="s">
        <v>22</v>
      </c>
      <c r="D17" s="17"/>
    </row>
    <row r="18" spans="1:7" x14ac:dyDescent="0.2">
      <c r="A18" t="s">
        <v>8</v>
      </c>
      <c r="C18" s="22" t="s">
        <v>13</v>
      </c>
      <c r="D18" s="22"/>
    </row>
    <row r="19" spans="1:7" ht="9" customHeight="1" x14ac:dyDescent="0.25">
      <c r="C19" s="6"/>
    </row>
    <row r="20" spans="1:7" s="10" customFormat="1" ht="25.5" customHeight="1" x14ac:dyDescent="0.2">
      <c r="A20" s="11" t="s">
        <v>62</v>
      </c>
      <c r="B20" s="11" t="s">
        <v>15</v>
      </c>
      <c r="C20" s="11"/>
      <c r="D20" s="11"/>
      <c r="E20" s="11" t="s">
        <v>16</v>
      </c>
      <c r="F20" s="11" t="s">
        <v>17</v>
      </c>
      <c r="G20" s="11"/>
    </row>
    <row r="21" spans="1:7" s="10" customFormat="1" ht="12.75" customHeight="1" x14ac:dyDescent="0.25">
      <c r="A21" s="11"/>
      <c r="B21" s="11"/>
      <c r="C21" s="21"/>
      <c r="D21" s="11"/>
      <c r="E21" s="11"/>
      <c r="F21" s="11"/>
      <c r="G21" s="11"/>
    </row>
    <row r="22" spans="1:7" s="32" customFormat="1" x14ac:dyDescent="0.2">
      <c r="A22" s="32">
        <v>1</v>
      </c>
      <c r="B22" s="36">
        <v>720328</v>
      </c>
      <c r="C22" s="32" t="s">
        <v>95</v>
      </c>
      <c r="E22" s="32">
        <v>619</v>
      </c>
      <c r="F22" s="32">
        <f>E22*A22</f>
        <v>619</v>
      </c>
    </row>
    <row r="23" spans="1:7" s="32" customFormat="1" x14ac:dyDescent="0.2">
      <c r="A23" s="32">
        <v>1</v>
      </c>
      <c r="B23" s="36" t="s">
        <v>96</v>
      </c>
      <c r="C23" s="32" t="s">
        <v>86</v>
      </c>
      <c r="E23" s="32">
        <v>395</v>
      </c>
      <c r="F23" s="32">
        <f>E23*A23</f>
        <v>395</v>
      </c>
    </row>
    <row r="24" spans="1:7" s="12" customFormat="1" x14ac:dyDescent="0.2">
      <c r="B24" s="30"/>
    </row>
    <row r="25" spans="1:7" s="12" customFormat="1" x14ac:dyDescent="0.2">
      <c r="B25" s="30"/>
      <c r="C25" s="32"/>
    </row>
    <row r="26" spans="1:7" s="12" customFormat="1" x14ac:dyDescent="0.2">
      <c r="B26" s="30"/>
    </row>
    <row r="27" spans="1:7" s="10" customFormat="1" ht="10.5" customHeight="1" x14ac:dyDescent="0.2">
      <c r="A27" s="12"/>
      <c r="B27" s="12"/>
      <c r="C27" s="12" t="s">
        <v>28</v>
      </c>
      <c r="D27" s="12"/>
      <c r="E27" s="12"/>
      <c r="F27" s="12"/>
    </row>
    <row r="28" spans="1:7" ht="23.25" x14ac:dyDescent="0.35">
      <c r="D28" s="3"/>
      <c r="E28" s="3"/>
      <c r="F28" s="9"/>
      <c r="G28" s="2"/>
    </row>
    <row r="29" spans="1:7" s="14" customFormat="1" ht="15.75" x14ac:dyDescent="0.25">
      <c r="B29" s="14" t="s">
        <v>18</v>
      </c>
      <c r="D29" s="17" t="s">
        <v>19</v>
      </c>
      <c r="E29" s="14" t="s">
        <v>18</v>
      </c>
      <c r="F29" s="18">
        <f>SUM(F22:F27)</f>
        <v>1014</v>
      </c>
      <c r="G29" s="19"/>
    </row>
    <row r="30" spans="1:7" ht="23.25" x14ac:dyDescent="0.35">
      <c r="B30" s="12"/>
      <c r="D30" s="16"/>
      <c r="E30" s="24"/>
      <c r="F30" s="13"/>
      <c r="G30" s="2"/>
    </row>
    <row r="31" spans="1:7" x14ac:dyDescent="0.2">
      <c r="D31" s="4"/>
    </row>
    <row r="32" spans="1:7" s="4" customFormat="1" ht="15.75" x14ac:dyDescent="0.25">
      <c r="C32" s="16"/>
      <c r="D32"/>
      <c r="F32" s="18"/>
    </row>
    <row r="33" spans="4:4" x14ac:dyDescent="0.2">
      <c r="D3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>
      <selection activeCell="A22" sqref="A22:XFD22"/>
    </sheetView>
  </sheetViews>
  <sheetFormatPr defaultRowHeight="12.75" x14ac:dyDescent="0.2"/>
  <cols>
    <col min="1" max="1" width="4.7109375" customWidth="1"/>
    <col min="2" max="2" width="22.7109375" customWidth="1"/>
    <col min="3" max="3" width="17.5703125" customWidth="1"/>
    <col min="4" max="4" width="23.85546875" customWidth="1"/>
    <col min="5" max="5" width="9.5703125" customWidth="1"/>
    <col min="6" max="6" width="11.5703125" customWidth="1"/>
  </cols>
  <sheetData>
    <row r="1" spans="1:6" ht="30" x14ac:dyDescent="0.4">
      <c r="B1" s="1"/>
      <c r="C1" s="1"/>
      <c r="E1" t="s">
        <v>0</v>
      </c>
      <c r="F1" s="6">
        <v>60009</v>
      </c>
    </row>
    <row r="2" spans="1:6" ht="30" x14ac:dyDescent="0.4">
      <c r="A2" s="7"/>
      <c r="B2" s="8" t="s">
        <v>1</v>
      </c>
      <c r="C2" s="8"/>
      <c r="D2" s="7"/>
      <c r="E2" s="7"/>
    </row>
    <row r="4" spans="1:6" ht="23.25" x14ac:dyDescent="0.35">
      <c r="A4" t="s">
        <v>2</v>
      </c>
      <c r="B4" s="5"/>
      <c r="C4" s="5" t="s">
        <v>29</v>
      </c>
      <c r="D4" s="5"/>
      <c r="E4" t="s">
        <v>3</v>
      </c>
      <c r="F4" s="20">
        <v>44355</v>
      </c>
    </row>
    <row r="5" spans="1:6" x14ac:dyDescent="0.2">
      <c r="A5" t="s">
        <v>4</v>
      </c>
      <c r="C5" t="s">
        <v>61</v>
      </c>
      <c r="E5" t="s">
        <v>5</v>
      </c>
      <c r="F5" s="33" t="s">
        <v>27</v>
      </c>
    </row>
    <row r="6" spans="1:6" x14ac:dyDescent="0.2">
      <c r="A6" t="s">
        <v>6</v>
      </c>
      <c r="C6" s="23" t="s">
        <v>60</v>
      </c>
      <c r="E6" t="s">
        <v>7</v>
      </c>
      <c r="F6" s="34" t="s">
        <v>137</v>
      </c>
    </row>
    <row r="7" spans="1:6" x14ac:dyDescent="0.2">
      <c r="A7" t="s">
        <v>23</v>
      </c>
      <c r="C7" t="s">
        <v>58</v>
      </c>
      <c r="E7" t="s">
        <v>9</v>
      </c>
      <c r="F7" s="35" t="s">
        <v>25</v>
      </c>
    </row>
    <row r="9" spans="1:6" ht="15.75" x14ac:dyDescent="0.25">
      <c r="A9" t="s">
        <v>20</v>
      </c>
      <c r="B9" s="4"/>
      <c r="C9" s="6" t="s">
        <v>130</v>
      </c>
      <c r="D9" s="17"/>
      <c r="E9" s="50" t="s">
        <v>152</v>
      </c>
      <c r="F9" s="51"/>
    </row>
    <row r="10" spans="1:6" ht="15.75" x14ac:dyDescent="0.25">
      <c r="A10" t="s">
        <v>11</v>
      </c>
      <c r="B10" s="4"/>
      <c r="C10" s="6" t="s">
        <v>150</v>
      </c>
      <c r="D10" s="17"/>
    </row>
    <row r="11" spans="1:6" ht="15.75" x14ac:dyDescent="0.25">
      <c r="A11" t="s">
        <v>12</v>
      </c>
      <c r="B11" s="4"/>
      <c r="C11" s="6" t="s">
        <v>151</v>
      </c>
      <c r="D11" s="17"/>
    </row>
    <row r="12" spans="1:6" x14ac:dyDescent="0.2">
      <c r="A12" t="s">
        <v>8</v>
      </c>
      <c r="C12" s="4" t="s">
        <v>131</v>
      </c>
      <c r="D12" s="22"/>
    </row>
    <row r="13" spans="1:6" x14ac:dyDescent="0.2">
      <c r="C13" s="12"/>
      <c r="D13" s="12"/>
    </row>
    <row r="14" spans="1:6" ht="13.5" thickBot="1" x14ac:dyDescent="0.25"/>
    <row r="15" spans="1:6" ht="15.75" x14ac:dyDescent="0.25">
      <c r="A15" t="s">
        <v>10</v>
      </c>
      <c r="B15" s="4"/>
      <c r="C15" s="40" t="s">
        <v>132</v>
      </c>
      <c r="D15" s="37"/>
    </row>
    <row r="16" spans="1:6" ht="15.75" x14ac:dyDescent="0.25">
      <c r="A16" t="s">
        <v>11</v>
      </c>
      <c r="B16" s="4"/>
      <c r="C16" s="41" t="s">
        <v>133</v>
      </c>
      <c r="D16" s="38"/>
    </row>
    <row r="17" spans="1:7" ht="15.75" x14ac:dyDescent="0.25">
      <c r="A17" t="s">
        <v>12</v>
      </c>
      <c r="B17" s="4"/>
      <c r="C17" s="41" t="s">
        <v>134</v>
      </c>
      <c r="D17" s="42"/>
    </row>
    <row r="18" spans="1:7" ht="13.5" thickBot="1" x14ac:dyDescent="0.25">
      <c r="A18" t="s">
        <v>8</v>
      </c>
      <c r="C18" s="46" t="s">
        <v>135</v>
      </c>
      <c r="D18" s="39"/>
    </row>
    <row r="19" spans="1:7" ht="9" customHeight="1" x14ac:dyDescent="0.25">
      <c r="C19" s="6"/>
    </row>
    <row r="20" spans="1:7" s="10" customFormat="1" ht="25.5" customHeight="1" x14ac:dyDescent="0.2">
      <c r="A20" s="11" t="s">
        <v>62</v>
      </c>
      <c r="B20" s="11" t="s">
        <v>15</v>
      </c>
      <c r="C20" s="11"/>
      <c r="D20" s="11"/>
      <c r="E20" s="11" t="s">
        <v>16</v>
      </c>
      <c r="F20" s="11" t="s">
        <v>17</v>
      </c>
      <c r="G20" s="11"/>
    </row>
    <row r="21" spans="1:7" s="10" customFormat="1" ht="12.75" customHeight="1" x14ac:dyDescent="0.25">
      <c r="A21" s="11"/>
      <c r="B21" s="11"/>
      <c r="C21" s="21"/>
      <c r="D21" s="11"/>
      <c r="E21" s="11"/>
      <c r="F21" s="11"/>
      <c r="G21" s="11"/>
    </row>
    <row r="22" spans="1:7" s="12" customFormat="1" x14ac:dyDescent="0.2">
      <c r="B22" s="30"/>
    </row>
    <row r="23" spans="1:7" s="12" customFormat="1" x14ac:dyDescent="0.2">
      <c r="B23" s="30"/>
      <c r="C23" s="32"/>
      <c r="D23" s="32"/>
    </row>
    <row r="24" spans="1:7" s="12" customFormat="1" x14ac:dyDescent="0.2">
      <c r="B24" s="36"/>
      <c r="C24" s="32"/>
      <c r="D24" s="32"/>
    </row>
    <row r="25" spans="1:7" s="12" customFormat="1" x14ac:dyDescent="0.2">
      <c r="B25" s="36"/>
      <c r="C25" s="32"/>
    </row>
    <row r="26" spans="1:7" s="12" customFormat="1" x14ac:dyDescent="0.2">
      <c r="B26" s="36"/>
      <c r="C26" s="32"/>
    </row>
    <row r="27" spans="1:7" s="12" customFormat="1" x14ac:dyDescent="0.2">
      <c r="A27" s="32"/>
      <c r="B27" s="47" t="s">
        <v>136</v>
      </c>
      <c r="C27" s="32"/>
      <c r="E27" s="32"/>
    </row>
    <row r="28" spans="1:7" s="12" customFormat="1" x14ac:dyDescent="0.2">
      <c r="B28" s="30"/>
    </row>
    <row r="29" spans="1:7" s="12" customFormat="1" x14ac:dyDescent="0.2">
      <c r="B29" s="30"/>
    </row>
    <row r="30" spans="1:7" s="12" customFormat="1" x14ac:dyDescent="0.2">
      <c r="B30" s="30"/>
    </row>
    <row r="31" spans="1:7" s="12" customFormat="1" ht="15" x14ac:dyDescent="0.2">
      <c r="B31" s="55" t="s">
        <v>93</v>
      </c>
      <c r="C31" s="56"/>
      <c r="D31" s="56"/>
    </row>
    <row r="32" spans="1:7" s="12" customFormat="1" ht="10.5" customHeight="1" x14ac:dyDescent="0.2">
      <c r="A32" s="32"/>
      <c r="B32" s="30"/>
    </row>
    <row r="33" spans="1:7" s="12" customFormat="1" x14ac:dyDescent="0.2">
      <c r="A33" s="32"/>
      <c r="B33" s="36"/>
    </row>
    <row r="34" spans="1:7" s="12" customFormat="1" x14ac:dyDescent="0.2">
      <c r="A34" s="32"/>
      <c r="B34" s="30"/>
    </row>
    <row r="35" spans="1:7" s="12" customFormat="1" ht="15" x14ac:dyDescent="0.2">
      <c r="B35" s="55"/>
      <c r="C35" s="56"/>
      <c r="D35" s="56"/>
    </row>
    <row r="36" spans="1:7" s="12" customFormat="1" x14ac:dyDescent="0.2">
      <c r="B36" s="30"/>
    </row>
    <row r="37" spans="1:7" s="12" customFormat="1" x14ac:dyDescent="0.2">
      <c r="B37" s="30"/>
    </row>
    <row r="38" spans="1:7" s="10" customFormat="1" ht="10.5" customHeight="1" x14ac:dyDescent="0.2">
      <c r="A38" s="12"/>
      <c r="B38" s="12"/>
      <c r="C38" s="12"/>
      <c r="D38" s="12"/>
      <c r="E38" s="12"/>
      <c r="F38" s="12"/>
    </row>
    <row r="39" spans="1:7" ht="23.25" x14ac:dyDescent="0.35">
      <c r="B39" s="32" t="s">
        <v>94</v>
      </c>
      <c r="D39" s="3"/>
      <c r="E39" s="3"/>
      <c r="F39" s="9"/>
      <c r="G39" s="2"/>
    </row>
    <row r="40" spans="1:7" s="14" customFormat="1" ht="15.75" x14ac:dyDescent="0.25">
      <c r="B40" s="14" t="s">
        <v>18</v>
      </c>
      <c r="D40" s="17" t="s">
        <v>19</v>
      </c>
      <c r="E40" s="14" t="s">
        <v>18</v>
      </c>
      <c r="F40" s="18">
        <f>SUM(F22:F35)</f>
        <v>0</v>
      </c>
      <c r="G40" s="19"/>
    </row>
    <row r="41" spans="1:7" ht="23.25" x14ac:dyDescent="0.35">
      <c r="B41" s="12"/>
      <c r="D41" s="16"/>
      <c r="E41" s="24"/>
      <c r="F41" s="13"/>
      <c r="G41" s="2"/>
    </row>
    <row r="42" spans="1:7" x14ac:dyDescent="0.2">
      <c r="D42" s="4"/>
    </row>
    <row r="43" spans="1:7" s="4" customFormat="1" ht="15.75" x14ac:dyDescent="0.25">
      <c r="C43" s="16"/>
      <c r="D43"/>
      <c r="F43" s="18"/>
    </row>
    <row r="44" spans="1:7" x14ac:dyDescent="0.2">
      <c r="D44" s="15"/>
    </row>
  </sheetData>
  <mergeCells count="2">
    <mergeCell ref="B35:D35"/>
    <mergeCell ref="B31:D3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1"/>
  <sheetViews>
    <sheetView topLeftCell="A142" workbookViewId="0">
      <selection activeCell="L172" sqref="L172"/>
    </sheetView>
  </sheetViews>
  <sheetFormatPr defaultRowHeight="12.75" x14ac:dyDescent="0.2"/>
  <cols>
    <col min="1" max="1" width="4.7109375" customWidth="1"/>
    <col min="2" max="2" width="16.7109375" style="26" customWidth="1"/>
    <col min="3" max="3" width="17.5703125" customWidth="1"/>
    <col min="4" max="4" width="23.85546875" customWidth="1"/>
    <col min="5" max="5" width="9.7109375" customWidth="1"/>
    <col min="6" max="6" width="14.28515625" customWidth="1"/>
  </cols>
  <sheetData>
    <row r="1" spans="1:6" ht="30" x14ac:dyDescent="0.4">
      <c r="B1" s="25"/>
      <c r="C1" s="1"/>
      <c r="E1" t="s">
        <v>0</v>
      </c>
    </row>
    <row r="2" spans="1:6" ht="30" x14ac:dyDescent="0.4">
      <c r="A2" s="7"/>
      <c r="B2" s="43" t="s">
        <v>1</v>
      </c>
      <c r="C2" s="8"/>
      <c r="D2" s="7"/>
      <c r="E2" s="7"/>
    </row>
    <row r="4" spans="1:6" ht="23.25" x14ac:dyDescent="0.35">
      <c r="A4" t="s">
        <v>2</v>
      </c>
      <c r="B4" s="27"/>
      <c r="C4" s="5" t="s">
        <v>29</v>
      </c>
      <c r="D4" s="5"/>
      <c r="E4" t="s">
        <v>3</v>
      </c>
      <c r="F4" s="20"/>
    </row>
    <row r="5" spans="1:6" x14ac:dyDescent="0.2">
      <c r="A5" t="s">
        <v>4</v>
      </c>
      <c r="C5" t="s">
        <v>61</v>
      </c>
      <c r="E5" t="s">
        <v>5</v>
      </c>
      <c r="F5" s="20" t="s">
        <v>27</v>
      </c>
    </row>
    <row r="6" spans="1:6" x14ac:dyDescent="0.2">
      <c r="A6" t="s">
        <v>59</v>
      </c>
      <c r="C6" s="23" t="s">
        <v>60</v>
      </c>
      <c r="E6" t="s">
        <v>7</v>
      </c>
      <c r="F6" t="s">
        <v>24</v>
      </c>
    </row>
    <row r="7" spans="1:6" x14ac:dyDescent="0.2">
      <c r="A7" t="s">
        <v>23</v>
      </c>
      <c r="C7" t="s">
        <v>58</v>
      </c>
      <c r="E7" t="s">
        <v>9</v>
      </c>
      <c r="F7" s="4" t="s">
        <v>25</v>
      </c>
    </row>
    <row r="9" spans="1:6" ht="15.75" x14ac:dyDescent="0.25">
      <c r="A9" t="s">
        <v>20</v>
      </c>
      <c r="B9" s="28"/>
      <c r="C9" s="6" t="s">
        <v>21</v>
      </c>
      <c r="D9" s="6"/>
    </row>
    <row r="10" spans="1:6" ht="15.75" x14ac:dyDescent="0.25">
      <c r="A10" t="s">
        <v>11</v>
      </c>
      <c r="B10" s="28"/>
      <c r="C10" s="6" t="s">
        <v>26</v>
      </c>
      <c r="D10" s="6"/>
    </row>
    <row r="11" spans="1:6" ht="15.75" x14ac:dyDescent="0.25">
      <c r="A11" t="s">
        <v>12</v>
      </c>
      <c r="B11" s="28"/>
      <c r="C11" s="6" t="s">
        <v>22</v>
      </c>
      <c r="D11" s="6"/>
    </row>
    <row r="12" spans="1:6" x14ac:dyDescent="0.2">
      <c r="A12" t="s">
        <v>8</v>
      </c>
      <c r="C12" s="4" t="s">
        <v>13</v>
      </c>
      <c r="D12" s="4"/>
    </row>
    <row r="13" spans="1:6" x14ac:dyDescent="0.2">
      <c r="C13" s="32"/>
      <c r="D13" s="32"/>
    </row>
    <row r="15" spans="1:6" ht="15.75" x14ac:dyDescent="0.25">
      <c r="A15" t="s">
        <v>10</v>
      </c>
      <c r="B15" s="28"/>
      <c r="C15" s="6" t="s">
        <v>21</v>
      </c>
      <c r="D15" s="6"/>
    </row>
    <row r="16" spans="1:6" ht="15.75" x14ac:dyDescent="0.25">
      <c r="A16" t="s">
        <v>11</v>
      </c>
      <c r="B16" s="28"/>
      <c r="C16" s="6" t="s">
        <v>26</v>
      </c>
      <c r="D16" s="6"/>
    </row>
    <row r="17" spans="1:7" ht="15.75" x14ac:dyDescent="0.25">
      <c r="A17" t="s">
        <v>12</v>
      </c>
      <c r="B17" s="28"/>
      <c r="C17" s="6" t="s">
        <v>22</v>
      </c>
      <c r="D17" s="6"/>
    </row>
    <row r="18" spans="1:7" x14ac:dyDescent="0.2">
      <c r="A18" t="s">
        <v>8</v>
      </c>
      <c r="C18" s="4" t="s">
        <v>13</v>
      </c>
      <c r="D18" s="4"/>
    </row>
    <row r="19" spans="1:7" ht="15.75" x14ac:dyDescent="0.25">
      <c r="C19" s="6"/>
    </row>
    <row r="20" spans="1:7" s="10" customFormat="1" ht="25.5" customHeight="1" x14ac:dyDescent="0.2">
      <c r="A20" s="11" t="s">
        <v>14</v>
      </c>
      <c r="B20" s="29" t="s">
        <v>15</v>
      </c>
      <c r="C20" s="11"/>
      <c r="D20" s="11"/>
      <c r="E20" s="11" t="s">
        <v>16</v>
      </c>
      <c r="F20" s="11" t="s">
        <v>17</v>
      </c>
      <c r="G20" s="11"/>
    </row>
    <row r="21" spans="1:7" s="10" customFormat="1" ht="25.5" customHeight="1" x14ac:dyDescent="0.25">
      <c r="A21" s="11"/>
      <c r="B21" s="29"/>
      <c r="C21" s="21"/>
      <c r="D21" s="11"/>
      <c r="E21" s="11"/>
      <c r="F21" s="11"/>
      <c r="G21" s="11"/>
    </row>
    <row r="22" spans="1:7" s="32" customFormat="1" x14ac:dyDescent="0.2">
      <c r="B22" s="36"/>
    </row>
    <row r="23" spans="1:7" s="32" customFormat="1" x14ac:dyDescent="0.2">
      <c r="A23" s="32">
        <v>2</v>
      </c>
      <c r="B23" s="36">
        <v>730238</v>
      </c>
      <c r="C23" s="32" t="s">
        <v>35</v>
      </c>
      <c r="E23" s="32">
        <v>704</v>
      </c>
      <c r="F23" s="32">
        <f>E23*A23</f>
        <v>1408</v>
      </c>
    </row>
    <row r="24" spans="1:7" s="32" customFormat="1" x14ac:dyDescent="0.2">
      <c r="A24" s="32">
        <v>2</v>
      </c>
      <c r="B24" s="36" t="s">
        <v>36</v>
      </c>
      <c r="C24" s="32" t="s">
        <v>37</v>
      </c>
      <c r="E24" s="32">
        <v>395</v>
      </c>
      <c r="F24" s="32">
        <f>E24*A24</f>
        <v>790</v>
      </c>
    </row>
    <row r="25" spans="1:7" s="32" customFormat="1" x14ac:dyDescent="0.2">
      <c r="B25" s="36"/>
    </row>
    <row r="26" spans="1:7" s="32" customFormat="1" x14ac:dyDescent="0.2">
      <c r="A26" s="32">
        <v>2</v>
      </c>
      <c r="B26" s="36" t="s">
        <v>79</v>
      </c>
      <c r="C26" s="32" t="s">
        <v>76</v>
      </c>
      <c r="E26" s="32">
        <v>804</v>
      </c>
      <c r="F26" s="32">
        <f>E26*A26</f>
        <v>1608</v>
      </c>
    </row>
    <row r="27" spans="1:7" s="32" customFormat="1" x14ac:dyDescent="0.2">
      <c r="A27" s="32">
        <v>2</v>
      </c>
      <c r="B27" s="36" t="s">
        <v>77</v>
      </c>
      <c r="C27" s="32" t="s">
        <v>78</v>
      </c>
      <c r="E27" s="32">
        <v>395</v>
      </c>
      <c r="F27" s="32">
        <f>E27*A27</f>
        <v>790</v>
      </c>
    </row>
    <row r="28" spans="1:7" s="32" customFormat="1" x14ac:dyDescent="0.2">
      <c r="B28" s="36"/>
    </row>
    <row r="29" spans="1:7" s="32" customFormat="1" x14ac:dyDescent="0.2">
      <c r="A29" s="32">
        <v>2</v>
      </c>
      <c r="B29" s="36">
        <v>503132</v>
      </c>
      <c r="C29" s="32" t="s">
        <v>45</v>
      </c>
      <c r="E29" s="32">
        <v>109</v>
      </c>
      <c r="F29" s="32">
        <f>E29*A29</f>
        <v>218</v>
      </c>
    </row>
    <row r="30" spans="1:7" s="32" customFormat="1" x14ac:dyDescent="0.2">
      <c r="A30" s="32">
        <v>2</v>
      </c>
      <c r="B30" s="36">
        <v>503130</v>
      </c>
      <c r="C30" s="32" t="s">
        <v>80</v>
      </c>
      <c r="E30" s="32">
        <v>199</v>
      </c>
      <c r="F30" s="32">
        <f>E30*A30</f>
        <v>398</v>
      </c>
    </row>
    <row r="31" spans="1:7" s="32" customFormat="1" x14ac:dyDescent="0.2">
      <c r="A31" s="32">
        <v>2</v>
      </c>
      <c r="B31" s="36" t="s">
        <v>41</v>
      </c>
      <c r="C31" s="32" t="s">
        <v>49</v>
      </c>
      <c r="E31" s="32">
        <v>-10</v>
      </c>
      <c r="F31" s="32">
        <v>-10</v>
      </c>
    </row>
    <row r="32" spans="1:7" s="32" customFormat="1" x14ac:dyDescent="0.2">
      <c r="A32" s="32">
        <v>2</v>
      </c>
      <c r="B32" s="36">
        <v>503011</v>
      </c>
      <c r="C32" s="32" t="s">
        <v>50</v>
      </c>
      <c r="E32" s="32">
        <v>169</v>
      </c>
      <c r="F32" s="32">
        <f>E32*A32</f>
        <v>338</v>
      </c>
    </row>
    <row r="33" spans="1:6" s="32" customFormat="1" x14ac:dyDescent="0.2">
      <c r="A33" s="32">
        <v>2</v>
      </c>
      <c r="B33" s="36">
        <v>503000</v>
      </c>
      <c r="C33" s="32" t="s">
        <v>81</v>
      </c>
      <c r="E33" s="32">
        <v>139</v>
      </c>
      <c r="F33" s="32">
        <f>E33*A33</f>
        <v>278</v>
      </c>
    </row>
    <row r="34" spans="1:6" s="32" customFormat="1" x14ac:dyDescent="0.2">
      <c r="B34" s="36"/>
    </row>
    <row r="35" spans="1:6" s="32" customFormat="1" x14ac:dyDescent="0.2">
      <c r="A35" s="32">
        <v>2</v>
      </c>
      <c r="B35" s="36">
        <v>132085</v>
      </c>
      <c r="C35" s="32" t="s">
        <v>38</v>
      </c>
      <c r="E35" s="32">
        <v>99</v>
      </c>
      <c r="F35" s="32">
        <f>E35*A35</f>
        <v>198</v>
      </c>
    </row>
    <row r="36" spans="1:6" s="32" customFormat="1" x14ac:dyDescent="0.2">
      <c r="A36" s="32">
        <v>2</v>
      </c>
      <c r="B36" s="36" t="s">
        <v>39</v>
      </c>
      <c r="C36" s="32" t="s">
        <v>40</v>
      </c>
      <c r="E36" s="32">
        <v>-99</v>
      </c>
      <c r="F36" s="32">
        <f>E36*A36</f>
        <v>-198</v>
      </c>
    </row>
    <row r="37" spans="1:6" s="32" customFormat="1" x14ac:dyDescent="0.2">
      <c r="B37" s="36"/>
    </row>
    <row r="38" spans="1:6" s="32" customFormat="1" x14ac:dyDescent="0.2">
      <c r="A38" s="32">
        <v>2</v>
      </c>
      <c r="B38" s="36">
        <v>160360</v>
      </c>
      <c r="C38" s="32" t="s">
        <v>46</v>
      </c>
      <c r="E38" s="32">
        <v>50</v>
      </c>
      <c r="F38" s="32">
        <f>E38*A38</f>
        <v>100</v>
      </c>
    </row>
    <row r="39" spans="1:6" s="32" customFormat="1" x14ac:dyDescent="0.2">
      <c r="A39" s="32">
        <v>2</v>
      </c>
      <c r="B39" s="36">
        <v>522125</v>
      </c>
      <c r="C39" s="32" t="s">
        <v>63</v>
      </c>
      <c r="E39" s="32">
        <v>13</v>
      </c>
      <c r="F39" s="32">
        <f>E39*A39</f>
        <v>26</v>
      </c>
    </row>
    <row r="40" spans="1:6" s="32" customFormat="1" x14ac:dyDescent="0.2">
      <c r="B40" s="36"/>
    </row>
    <row r="41" spans="1:6" s="32" customFormat="1" x14ac:dyDescent="0.2">
      <c r="A41" s="32">
        <v>1</v>
      </c>
      <c r="B41" s="36">
        <v>720345</v>
      </c>
      <c r="C41" s="32" t="s">
        <v>44</v>
      </c>
      <c r="E41" s="32">
        <v>679</v>
      </c>
      <c r="F41" s="32">
        <f t="shared" ref="F41:F51" si="0">E41*A41</f>
        <v>679</v>
      </c>
    </row>
    <row r="42" spans="1:6" s="32" customFormat="1" x14ac:dyDescent="0.2">
      <c r="A42" s="32">
        <v>1</v>
      </c>
      <c r="B42" s="36">
        <v>703114</v>
      </c>
      <c r="C42" s="32" t="s">
        <v>117</v>
      </c>
      <c r="E42" s="32">
        <v>395</v>
      </c>
      <c r="F42" s="32">
        <f t="shared" si="0"/>
        <v>395</v>
      </c>
    </row>
    <row r="43" spans="1:6" s="32" customFormat="1" x14ac:dyDescent="0.2">
      <c r="A43" s="32">
        <v>1</v>
      </c>
      <c r="B43" s="36">
        <v>720358</v>
      </c>
      <c r="C43" s="32" t="s">
        <v>118</v>
      </c>
      <c r="E43" s="32">
        <v>119</v>
      </c>
      <c r="F43" s="32">
        <f>E43*A43</f>
        <v>119</v>
      </c>
    </row>
    <row r="44" spans="1:6" s="32" customFormat="1" x14ac:dyDescent="0.2">
      <c r="B44" s="36">
        <v>720359</v>
      </c>
      <c r="C44" s="32" t="s">
        <v>30</v>
      </c>
      <c r="E44" s="32">
        <v>149</v>
      </c>
      <c r="F44" s="32">
        <f t="shared" si="0"/>
        <v>0</v>
      </c>
    </row>
    <row r="45" spans="1:6" s="32" customFormat="1" ht="21" customHeight="1" x14ac:dyDescent="0.2">
      <c r="B45" s="36"/>
      <c r="F45" s="32">
        <f t="shared" si="0"/>
        <v>0</v>
      </c>
    </row>
    <row r="46" spans="1:6" s="32" customFormat="1" x14ac:dyDescent="0.2">
      <c r="B46" s="36">
        <v>950014</v>
      </c>
      <c r="C46" s="32" t="s">
        <v>67</v>
      </c>
      <c r="E46" s="32">
        <v>395.97</v>
      </c>
      <c r="F46" s="32">
        <f t="shared" si="0"/>
        <v>0</v>
      </c>
    </row>
    <row r="47" spans="1:6" s="32" customFormat="1" x14ac:dyDescent="0.2">
      <c r="B47" s="36">
        <v>950019</v>
      </c>
      <c r="C47" s="32" t="s">
        <v>66</v>
      </c>
      <c r="E47" s="32">
        <v>395.97</v>
      </c>
      <c r="F47" s="32">
        <f t="shared" si="0"/>
        <v>0</v>
      </c>
    </row>
    <row r="48" spans="1:6" s="32" customFormat="1" x14ac:dyDescent="0.2">
      <c r="B48" s="36">
        <v>950060</v>
      </c>
      <c r="C48" s="32" t="s">
        <v>120</v>
      </c>
      <c r="E48" s="32">
        <v>455.97</v>
      </c>
      <c r="F48" s="32">
        <f t="shared" si="0"/>
        <v>0</v>
      </c>
    </row>
    <row r="49" spans="1:6" s="32" customFormat="1" x14ac:dyDescent="0.2">
      <c r="B49" s="36">
        <v>950037</v>
      </c>
      <c r="C49" s="32" t="s">
        <v>122</v>
      </c>
      <c r="E49" s="32">
        <v>455.97</v>
      </c>
      <c r="F49" s="32">
        <f>E49*A49</f>
        <v>0</v>
      </c>
    </row>
    <row r="50" spans="1:6" s="32" customFormat="1" x14ac:dyDescent="0.2">
      <c r="B50" s="36">
        <v>950058</v>
      </c>
      <c r="C50" s="32" t="s">
        <v>31</v>
      </c>
      <c r="E50" s="32">
        <v>389.97</v>
      </c>
      <c r="F50" s="32">
        <f t="shared" si="0"/>
        <v>0</v>
      </c>
    </row>
    <row r="51" spans="1:6" s="32" customFormat="1" x14ac:dyDescent="0.2">
      <c r="B51" s="36">
        <v>537401</v>
      </c>
      <c r="C51" s="32" t="s">
        <v>33</v>
      </c>
      <c r="E51" s="32">
        <v>23.5</v>
      </c>
      <c r="F51" s="32">
        <f t="shared" si="0"/>
        <v>0</v>
      </c>
    </row>
    <row r="52" spans="1:6" s="32" customFormat="1" x14ac:dyDescent="0.2">
      <c r="B52" s="36"/>
    </row>
    <row r="53" spans="1:6" s="32" customFormat="1" x14ac:dyDescent="0.2">
      <c r="B53" s="36">
        <v>950056</v>
      </c>
      <c r="C53" s="32" t="s">
        <v>89</v>
      </c>
      <c r="E53" s="32">
        <v>629.97</v>
      </c>
      <c r="F53" s="32">
        <f t="shared" ref="F53:F61" si="1">E53*A53</f>
        <v>0</v>
      </c>
    </row>
    <row r="54" spans="1:6" s="32" customFormat="1" x14ac:dyDescent="0.2">
      <c r="A54" s="32">
        <v>2</v>
      </c>
      <c r="B54" s="36">
        <v>950055</v>
      </c>
      <c r="C54" s="32" t="s">
        <v>90</v>
      </c>
      <c r="E54" s="32">
        <v>629.97</v>
      </c>
      <c r="F54" s="32">
        <f>E54*A54</f>
        <v>1259.94</v>
      </c>
    </row>
    <row r="55" spans="1:6" s="32" customFormat="1" x14ac:dyDescent="0.2">
      <c r="B55" s="36"/>
    </row>
    <row r="56" spans="1:6" s="32" customFormat="1" x14ac:dyDescent="0.2">
      <c r="B56" s="36">
        <v>520050</v>
      </c>
      <c r="C56" s="32" t="s">
        <v>32</v>
      </c>
      <c r="E56" s="32">
        <v>37</v>
      </c>
      <c r="F56" s="32">
        <f t="shared" si="1"/>
        <v>0</v>
      </c>
    </row>
    <row r="57" spans="1:6" s="32" customFormat="1" x14ac:dyDescent="0.2">
      <c r="B57" s="36">
        <v>537402</v>
      </c>
      <c r="C57" s="32" t="s">
        <v>34</v>
      </c>
      <c r="E57" s="32">
        <v>23.5</v>
      </c>
      <c r="F57" s="32">
        <f t="shared" si="1"/>
        <v>0</v>
      </c>
    </row>
    <row r="58" spans="1:6" s="32" customFormat="1" x14ac:dyDescent="0.2">
      <c r="B58" s="36">
        <v>520051</v>
      </c>
      <c r="C58" s="32" t="s">
        <v>72</v>
      </c>
      <c r="E58" s="32">
        <v>23</v>
      </c>
      <c r="F58" s="32">
        <f t="shared" si="1"/>
        <v>0</v>
      </c>
    </row>
    <row r="59" spans="1:6" s="32" customFormat="1" x14ac:dyDescent="0.2">
      <c r="B59" s="36">
        <v>565154</v>
      </c>
      <c r="C59" s="32" t="s">
        <v>73</v>
      </c>
      <c r="E59" s="32">
        <v>15</v>
      </c>
      <c r="F59" s="32">
        <f t="shared" si="1"/>
        <v>0</v>
      </c>
    </row>
    <row r="60" spans="1:6" s="32" customFormat="1" x14ac:dyDescent="0.2">
      <c r="B60" s="36"/>
      <c r="F60" s="32">
        <f t="shared" si="1"/>
        <v>0</v>
      </c>
    </row>
    <row r="61" spans="1:6" s="32" customFormat="1" x14ac:dyDescent="0.2">
      <c r="B61" s="36">
        <v>950057</v>
      </c>
      <c r="C61" s="32" t="s">
        <v>47</v>
      </c>
      <c r="E61" s="32">
        <v>365.97</v>
      </c>
      <c r="F61" s="32">
        <f t="shared" si="1"/>
        <v>0</v>
      </c>
    </row>
    <row r="62" spans="1:6" s="32" customFormat="1" x14ac:dyDescent="0.2">
      <c r="B62" s="36"/>
    </row>
    <row r="63" spans="1:6" s="32" customFormat="1" x14ac:dyDescent="0.2">
      <c r="B63" s="36">
        <v>950084</v>
      </c>
      <c r="C63" s="32" t="s">
        <v>114</v>
      </c>
      <c r="D63" s="32" t="s">
        <v>116</v>
      </c>
      <c r="E63" s="32">
        <v>319</v>
      </c>
      <c r="F63" s="32">
        <f>E63*A63</f>
        <v>0</v>
      </c>
    </row>
    <row r="64" spans="1:6" s="32" customFormat="1" x14ac:dyDescent="0.2">
      <c r="B64" s="36">
        <v>950085</v>
      </c>
      <c r="C64" s="32" t="s">
        <v>103</v>
      </c>
      <c r="D64" s="32" t="s">
        <v>115</v>
      </c>
      <c r="E64" s="32">
        <v>319</v>
      </c>
      <c r="F64" s="32">
        <f>E64*A64</f>
        <v>0</v>
      </c>
    </row>
    <row r="65" spans="1:6" s="32" customFormat="1" x14ac:dyDescent="0.2">
      <c r="B65" s="36"/>
    </row>
    <row r="66" spans="1:6" s="32" customFormat="1" x14ac:dyDescent="0.2">
      <c r="A66" s="32">
        <v>1</v>
      </c>
      <c r="B66" s="36">
        <v>950089</v>
      </c>
      <c r="C66" s="32" t="s">
        <v>108</v>
      </c>
      <c r="E66" s="32">
        <v>859</v>
      </c>
      <c r="F66" s="32">
        <f t="shared" ref="F66:F70" si="2">E66*A66</f>
        <v>859</v>
      </c>
    </row>
    <row r="67" spans="1:6" s="32" customFormat="1" x14ac:dyDescent="0.2">
      <c r="A67" s="32">
        <v>1</v>
      </c>
      <c r="B67" s="36">
        <v>950088</v>
      </c>
      <c r="C67" s="32" t="s">
        <v>104</v>
      </c>
      <c r="D67" s="32" t="s">
        <v>109</v>
      </c>
      <c r="E67" s="32">
        <v>699</v>
      </c>
      <c r="F67" s="32">
        <f t="shared" si="2"/>
        <v>699</v>
      </c>
    </row>
    <row r="68" spans="1:6" s="32" customFormat="1" x14ac:dyDescent="0.2">
      <c r="A68" s="32">
        <v>1</v>
      </c>
      <c r="B68" s="36">
        <v>720346</v>
      </c>
      <c r="C68" s="32" t="s">
        <v>104</v>
      </c>
      <c r="D68" s="32" t="s">
        <v>110</v>
      </c>
      <c r="E68" s="32">
        <v>579</v>
      </c>
      <c r="F68" s="32">
        <f t="shared" si="2"/>
        <v>579</v>
      </c>
    </row>
    <row r="69" spans="1:6" s="32" customFormat="1" x14ac:dyDescent="0.2">
      <c r="A69" s="32">
        <v>1</v>
      </c>
      <c r="B69" s="36">
        <v>720359</v>
      </c>
      <c r="C69" s="32" t="s">
        <v>111</v>
      </c>
      <c r="D69" s="32" t="s">
        <v>112</v>
      </c>
      <c r="E69" s="32">
        <v>149</v>
      </c>
      <c r="F69" s="32">
        <f t="shared" si="2"/>
        <v>149</v>
      </c>
    </row>
    <row r="70" spans="1:6" s="32" customFormat="1" x14ac:dyDescent="0.2">
      <c r="A70" s="32">
        <v>1</v>
      </c>
      <c r="B70" s="36">
        <v>731006</v>
      </c>
      <c r="C70" s="32" t="s">
        <v>104</v>
      </c>
      <c r="D70" s="32" t="s">
        <v>113</v>
      </c>
      <c r="E70" s="32">
        <v>599</v>
      </c>
      <c r="F70" s="32">
        <f t="shared" si="2"/>
        <v>599</v>
      </c>
    </row>
    <row r="71" spans="1:6" s="10" customFormat="1" ht="14.25" customHeight="1" x14ac:dyDescent="0.2">
      <c r="A71" s="32">
        <v>2</v>
      </c>
      <c r="B71" s="36" t="s">
        <v>138</v>
      </c>
      <c r="C71" s="32" t="s">
        <v>139</v>
      </c>
      <c r="D71" s="32"/>
      <c r="E71" s="32">
        <v>739</v>
      </c>
      <c r="F71" s="32">
        <f>E71*A71</f>
        <v>1478</v>
      </c>
    </row>
    <row r="72" spans="1:6" s="10" customFormat="1" ht="14.25" customHeight="1" x14ac:dyDescent="0.2">
      <c r="A72" s="32">
        <v>2</v>
      </c>
      <c r="B72" s="36">
        <v>50335</v>
      </c>
      <c r="C72" s="32" t="s">
        <v>140</v>
      </c>
      <c r="D72" s="32"/>
      <c r="E72" s="32">
        <v>129</v>
      </c>
      <c r="F72" s="32">
        <f>E72*A72</f>
        <v>258</v>
      </c>
    </row>
    <row r="73" spans="1:6" s="32" customFormat="1" x14ac:dyDescent="0.2">
      <c r="B73" s="36"/>
    </row>
    <row r="74" spans="1:6" s="32" customFormat="1" x14ac:dyDescent="0.2">
      <c r="B74" s="36"/>
      <c r="C74" s="32" t="s">
        <v>105</v>
      </c>
      <c r="D74" s="32" t="s">
        <v>106</v>
      </c>
    </row>
    <row r="75" spans="1:6" s="32" customFormat="1" x14ac:dyDescent="0.2">
      <c r="B75" s="36"/>
      <c r="C75" s="32" t="s">
        <v>105</v>
      </c>
      <c r="D75" s="32" t="s">
        <v>107</v>
      </c>
    </row>
    <row r="76" spans="1:6" s="32" customFormat="1" x14ac:dyDescent="0.2">
      <c r="A76" s="32">
        <v>1</v>
      </c>
      <c r="B76" s="36">
        <v>951055</v>
      </c>
      <c r="C76" s="32" t="s">
        <v>105</v>
      </c>
      <c r="D76" s="32" t="s">
        <v>121</v>
      </c>
      <c r="E76" s="32">
        <v>450</v>
      </c>
      <c r="F76" s="32">
        <f>E76*A76</f>
        <v>450</v>
      </c>
    </row>
    <row r="77" spans="1:6" s="32" customFormat="1" x14ac:dyDescent="0.2">
      <c r="B77" s="36">
        <v>951065</v>
      </c>
      <c r="C77" s="32" t="s">
        <v>104</v>
      </c>
      <c r="D77" s="32" t="s">
        <v>125</v>
      </c>
      <c r="E77" s="32">
        <v>50</v>
      </c>
    </row>
    <row r="78" spans="1:6" s="32" customFormat="1" x14ac:dyDescent="0.2">
      <c r="B78" s="36"/>
    </row>
    <row r="79" spans="1:6" s="32" customFormat="1" x14ac:dyDescent="0.2">
      <c r="B79" s="36"/>
    </row>
    <row r="80" spans="1:6" s="32" customFormat="1" x14ac:dyDescent="0.2">
      <c r="B80" s="36">
        <v>132077</v>
      </c>
      <c r="C80" s="32" t="s">
        <v>48</v>
      </c>
      <c r="E80" s="32">
        <v>185</v>
      </c>
      <c r="F80" s="32">
        <f>E80*A80</f>
        <v>0</v>
      </c>
    </row>
    <row r="81" spans="2:6" s="32" customFormat="1" x14ac:dyDescent="0.2">
      <c r="B81" s="36">
        <v>130250</v>
      </c>
      <c r="C81" s="32" t="s">
        <v>55</v>
      </c>
      <c r="E81" s="32">
        <v>139</v>
      </c>
      <c r="F81" s="32">
        <f>E81*A81</f>
        <v>0</v>
      </c>
    </row>
    <row r="82" spans="2:6" s="32" customFormat="1" x14ac:dyDescent="0.2">
      <c r="B82" s="36" t="s">
        <v>126</v>
      </c>
      <c r="C82" s="32" t="s">
        <v>127</v>
      </c>
      <c r="E82" s="32">
        <v>193</v>
      </c>
      <c r="F82" s="32">
        <f>E82*A82</f>
        <v>0</v>
      </c>
    </row>
    <row r="83" spans="2:6" s="32" customFormat="1" x14ac:dyDescent="0.2">
      <c r="B83" s="36"/>
    </row>
    <row r="84" spans="2:6" s="32" customFormat="1" x14ac:dyDescent="0.2">
      <c r="B84" s="36">
        <v>150102</v>
      </c>
      <c r="C84" s="32" t="s">
        <v>42</v>
      </c>
      <c r="E84" s="32">
        <v>309</v>
      </c>
      <c r="F84" s="32">
        <f t="shared" ref="F84:F101" si="3">E84*A84</f>
        <v>0</v>
      </c>
    </row>
    <row r="85" spans="2:6" s="32" customFormat="1" x14ac:dyDescent="0.2">
      <c r="B85" s="36">
        <v>522143</v>
      </c>
      <c r="C85" s="32" t="s">
        <v>43</v>
      </c>
      <c r="E85" s="32">
        <v>23</v>
      </c>
      <c r="F85" s="32">
        <f t="shared" si="3"/>
        <v>0</v>
      </c>
    </row>
    <row r="86" spans="2:6" s="32" customFormat="1" x14ac:dyDescent="0.2">
      <c r="B86" s="36"/>
      <c r="F86" s="32">
        <f t="shared" si="3"/>
        <v>0</v>
      </c>
    </row>
    <row r="87" spans="2:6" s="32" customFormat="1" x14ac:dyDescent="0.2">
      <c r="B87" s="36">
        <v>501559</v>
      </c>
      <c r="C87" s="32" t="s">
        <v>71</v>
      </c>
      <c r="E87" s="32">
        <v>43</v>
      </c>
      <c r="F87" s="32">
        <f t="shared" si="3"/>
        <v>0</v>
      </c>
    </row>
    <row r="88" spans="2:6" s="32" customFormat="1" x14ac:dyDescent="0.2">
      <c r="B88" s="36">
        <v>132533</v>
      </c>
      <c r="C88" s="32" t="s">
        <v>68</v>
      </c>
      <c r="E88" s="32">
        <v>30</v>
      </c>
      <c r="F88" s="32">
        <f>E88*A88</f>
        <v>0</v>
      </c>
    </row>
    <row r="89" spans="2:6" s="32" customFormat="1" x14ac:dyDescent="0.2">
      <c r="B89" s="36">
        <v>501457</v>
      </c>
      <c r="C89" s="32" t="s">
        <v>69</v>
      </c>
      <c r="E89" s="32">
        <v>1.1000000000000001</v>
      </c>
      <c r="F89" s="32">
        <f>E89*A89</f>
        <v>0</v>
      </c>
    </row>
    <row r="90" spans="2:6" s="32" customFormat="1" x14ac:dyDescent="0.2">
      <c r="B90" s="36">
        <v>501493</v>
      </c>
      <c r="C90" s="32" t="s">
        <v>70</v>
      </c>
      <c r="E90" s="32">
        <v>2</v>
      </c>
      <c r="F90" s="32">
        <f>E90*A90</f>
        <v>0</v>
      </c>
    </row>
    <row r="91" spans="2:6" s="32" customFormat="1" x14ac:dyDescent="0.2">
      <c r="B91" s="36"/>
    </row>
    <row r="92" spans="2:6" s="32" customFormat="1" x14ac:dyDescent="0.2">
      <c r="B92" s="36"/>
      <c r="F92" s="32">
        <f t="shared" si="3"/>
        <v>0</v>
      </c>
    </row>
    <row r="93" spans="2:6" s="32" customFormat="1" x14ac:dyDescent="0.2">
      <c r="B93" s="36">
        <v>503055</v>
      </c>
      <c r="C93" s="32" t="s">
        <v>51</v>
      </c>
      <c r="E93" s="32">
        <v>25</v>
      </c>
      <c r="F93" s="32">
        <f t="shared" si="3"/>
        <v>0</v>
      </c>
    </row>
    <row r="94" spans="2:6" s="32" customFormat="1" x14ac:dyDescent="0.2">
      <c r="B94" s="36">
        <v>503112</v>
      </c>
      <c r="C94" s="32" t="s">
        <v>52</v>
      </c>
      <c r="E94" s="32">
        <v>35</v>
      </c>
      <c r="F94" s="32">
        <f t="shared" si="3"/>
        <v>0</v>
      </c>
    </row>
    <row r="95" spans="2:6" s="32" customFormat="1" x14ac:dyDescent="0.2">
      <c r="B95" s="36"/>
      <c r="F95" s="32">
        <f t="shared" si="3"/>
        <v>0</v>
      </c>
    </row>
    <row r="96" spans="2:6" s="32" customFormat="1" x14ac:dyDescent="0.2">
      <c r="B96" s="36">
        <v>350148</v>
      </c>
      <c r="C96" s="32" t="s">
        <v>53</v>
      </c>
      <c r="E96" s="32">
        <v>16</v>
      </c>
      <c r="F96" s="32">
        <f t="shared" si="3"/>
        <v>0</v>
      </c>
    </row>
    <row r="97" spans="1:6" s="32" customFormat="1" x14ac:dyDescent="0.2">
      <c r="B97" s="36"/>
      <c r="F97" s="32">
        <f t="shared" si="3"/>
        <v>0</v>
      </c>
    </row>
    <row r="98" spans="1:6" s="32" customFormat="1" x14ac:dyDescent="0.2">
      <c r="B98" s="36">
        <v>503050</v>
      </c>
      <c r="C98" s="32" t="s">
        <v>54</v>
      </c>
      <c r="E98" s="32">
        <v>109</v>
      </c>
      <c r="F98" s="32">
        <f t="shared" si="3"/>
        <v>0</v>
      </c>
    </row>
    <row r="99" spans="1:6" s="32" customFormat="1" x14ac:dyDescent="0.2">
      <c r="B99" s="36"/>
      <c r="F99" s="32">
        <f t="shared" si="3"/>
        <v>0</v>
      </c>
    </row>
    <row r="100" spans="1:6" s="32" customFormat="1" x14ac:dyDescent="0.2">
      <c r="B100" s="36">
        <v>520006</v>
      </c>
      <c r="C100" s="32" t="s">
        <v>56</v>
      </c>
      <c r="E100" s="32">
        <v>113</v>
      </c>
      <c r="F100" s="32">
        <f t="shared" si="3"/>
        <v>0</v>
      </c>
    </row>
    <row r="101" spans="1:6" s="32" customFormat="1" x14ac:dyDescent="0.2">
      <c r="B101" s="36">
        <v>520053</v>
      </c>
      <c r="C101" s="32" t="s">
        <v>57</v>
      </c>
      <c r="E101" s="32">
        <v>45</v>
      </c>
      <c r="F101" s="32">
        <f t="shared" si="3"/>
        <v>0</v>
      </c>
    </row>
    <row r="102" spans="1:6" s="32" customFormat="1" x14ac:dyDescent="0.2">
      <c r="B102" s="36"/>
      <c r="F102" s="32">
        <f>E102*A102</f>
        <v>0</v>
      </c>
    </row>
    <row r="103" spans="1:6" s="32" customFormat="1" x14ac:dyDescent="0.2">
      <c r="B103" s="36">
        <v>132200</v>
      </c>
      <c r="C103" s="32" t="s">
        <v>64</v>
      </c>
      <c r="E103" s="32">
        <v>3.75</v>
      </c>
      <c r="F103" s="32">
        <f>E103*A103</f>
        <v>0</v>
      </c>
    </row>
    <row r="104" spans="1:6" s="32" customFormat="1" x14ac:dyDescent="0.2">
      <c r="B104" s="36">
        <v>132215</v>
      </c>
      <c r="C104" s="32" t="s">
        <v>65</v>
      </c>
      <c r="E104" s="32">
        <v>5</v>
      </c>
      <c r="F104" s="32">
        <f>E104*A104</f>
        <v>0</v>
      </c>
    </row>
    <row r="105" spans="1:6" s="32" customFormat="1" x14ac:dyDescent="0.2">
      <c r="B105" s="36"/>
    </row>
    <row r="106" spans="1:6" s="32" customFormat="1" x14ac:dyDescent="0.2">
      <c r="B106" s="36">
        <v>501726</v>
      </c>
      <c r="C106" s="32" t="s">
        <v>74</v>
      </c>
      <c r="E106" s="32">
        <v>49</v>
      </c>
      <c r="F106" s="32">
        <f>E106*A106</f>
        <v>0</v>
      </c>
    </row>
    <row r="107" spans="1:6" s="32" customFormat="1" x14ac:dyDescent="0.2">
      <c r="B107" s="36"/>
    </row>
    <row r="108" spans="1:6" ht="10.5" customHeight="1" x14ac:dyDescent="0.2">
      <c r="B108" s="26">
        <v>71000</v>
      </c>
      <c r="C108" s="32" t="s">
        <v>75</v>
      </c>
      <c r="E108" s="32">
        <v>699</v>
      </c>
      <c r="F108" s="32">
        <f>E108*A108</f>
        <v>0</v>
      </c>
    </row>
    <row r="109" spans="1:6" s="10" customFormat="1" ht="10.5" customHeight="1" x14ac:dyDescent="0.2">
      <c r="A109" s="32"/>
      <c r="B109" s="36"/>
      <c r="C109" s="32"/>
      <c r="D109" s="32"/>
      <c r="E109" s="32"/>
      <c r="F109" s="32">
        <f>E109*A109</f>
        <v>0</v>
      </c>
    </row>
    <row r="110" spans="1:6" s="10" customFormat="1" ht="10.5" customHeight="1" x14ac:dyDescent="0.2">
      <c r="A110" s="32"/>
      <c r="B110" s="36">
        <v>100223</v>
      </c>
      <c r="C110" s="32" t="s">
        <v>82</v>
      </c>
      <c r="D110" s="32"/>
      <c r="E110" s="32">
        <v>20</v>
      </c>
      <c r="F110" s="32">
        <f>E110*A110</f>
        <v>0</v>
      </c>
    </row>
    <row r="111" spans="1:6" s="10" customFormat="1" ht="10.5" customHeight="1" x14ac:dyDescent="0.2">
      <c r="A111" s="32"/>
      <c r="B111" s="36">
        <v>100224</v>
      </c>
      <c r="C111" s="32" t="s">
        <v>83</v>
      </c>
      <c r="D111" s="32"/>
      <c r="E111" s="32">
        <v>23.99</v>
      </c>
      <c r="F111" s="32">
        <f>E111*A111</f>
        <v>0</v>
      </c>
    </row>
    <row r="112" spans="1:6" s="10" customFormat="1" ht="10.5" customHeight="1" x14ac:dyDescent="0.2">
      <c r="A112" s="32"/>
      <c r="B112" s="36">
        <v>100220</v>
      </c>
      <c r="C112" s="32" t="s">
        <v>102</v>
      </c>
      <c r="D112" s="32"/>
      <c r="E112" s="32">
        <v>23.99</v>
      </c>
      <c r="F112" s="32">
        <f>E112*A112</f>
        <v>0</v>
      </c>
    </row>
    <row r="113" spans="1:6" s="10" customFormat="1" ht="10.5" customHeight="1" x14ac:dyDescent="0.2">
      <c r="A113" s="32"/>
      <c r="B113" s="36"/>
      <c r="C113" s="32"/>
      <c r="D113" s="32"/>
      <c r="E113" s="32"/>
      <c r="F113" s="32"/>
    </row>
    <row r="114" spans="1:6" s="10" customFormat="1" ht="10.5" customHeight="1" x14ac:dyDescent="0.2">
      <c r="A114" s="32"/>
      <c r="B114" s="36">
        <v>102044</v>
      </c>
      <c r="C114" s="32" t="s">
        <v>84</v>
      </c>
      <c r="D114" s="32"/>
      <c r="E114" s="32">
        <v>23.75</v>
      </c>
      <c r="F114" s="32">
        <f>E114*A114</f>
        <v>0</v>
      </c>
    </row>
    <row r="115" spans="1:6" s="10" customFormat="1" x14ac:dyDescent="0.2">
      <c r="A115" s="32"/>
      <c r="B115" s="36"/>
      <c r="C115" s="32"/>
      <c r="D115" s="32"/>
      <c r="E115" s="32"/>
      <c r="F115" s="32"/>
    </row>
    <row r="116" spans="1:6" s="32" customFormat="1" x14ac:dyDescent="0.2">
      <c r="A116" s="32">
        <v>1</v>
      </c>
      <c r="B116" s="36" t="s">
        <v>91</v>
      </c>
      <c r="C116" s="32" t="s">
        <v>92</v>
      </c>
      <c r="E116" s="32">
        <v>704</v>
      </c>
      <c r="F116" s="32">
        <f>E116*A116</f>
        <v>704</v>
      </c>
    </row>
    <row r="117" spans="1:6" s="32" customFormat="1" x14ac:dyDescent="0.2">
      <c r="A117" s="32">
        <v>1</v>
      </c>
      <c r="B117" s="36" t="s">
        <v>85</v>
      </c>
      <c r="C117" s="32" t="s">
        <v>78</v>
      </c>
      <c r="E117" s="32">
        <v>395</v>
      </c>
      <c r="F117" s="32">
        <f>E117*A117</f>
        <v>395</v>
      </c>
    </row>
    <row r="118" spans="1:6" s="32" customFormat="1" ht="10.5" customHeight="1" x14ac:dyDescent="0.2">
      <c r="A118" s="32">
        <v>1</v>
      </c>
      <c r="B118" s="36">
        <v>503130</v>
      </c>
      <c r="C118" s="32" t="s">
        <v>87</v>
      </c>
      <c r="E118" s="32">
        <v>199</v>
      </c>
      <c r="F118" s="32">
        <f>E118*A118</f>
        <v>199</v>
      </c>
    </row>
    <row r="119" spans="1:6" s="10" customFormat="1" x14ac:dyDescent="0.2">
      <c r="A119" s="32"/>
      <c r="B119" s="36"/>
      <c r="C119" s="32"/>
      <c r="D119" s="32"/>
      <c r="E119" s="32"/>
      <c r="F119" s="32"/>
    </row>
    <row r="120" spans="1:6" s="32" customFormat="1" x14ac:dyDescent="0.2">
      <c r="A120" s="32">
        <v>1</v>
      </c>
      <c r="B120" s="36">
        <v>720372</v>
      </c>
      <c r="C120" s="32" t="s">
        <v>128</v>
      </c>
      <c r="E120" s="32">
        <v>704</v>
      </c>
      <c r="F120" s="32">
        <f>E120*A120</f>
        <v>704</v>
      </c>
    </row>
    <row r="121" spans="1:6" s="32" customFormat="1" ht="10.5" customHeight="1" x14ac:dyDescent="0.2">
      <c r="A121" s="32">
        <v>1</v>
      </c>
      <c r="B121" s="36" t="s">
        <v>88</v>
      </c>
      <c r="C121" s="32" t="s">
        <v>86</v>
      </c>
      <c r="E121" s="32">
        <v>395</v>
      </c>
      <c r="F121" s="32">
        <f>E121*A121</f>
        <v>395</v>
      </c>
    </row>
    <row r="122" spans="1:6" s="10" customFormat="1" x14ac:dyDescent="0.2">
      <c r="A122" s="32"/>
      <c r="B122" s="36"/>
      <c r="C122" s="32"/>
      <c r="D122" s="32"/>
      <c r="E122" s="32"/>
      <c r="F122" s="32"/>
    </row>
    <row r="123" spans="1:6" s="32" customFormat="1" x14ac:dyDescent="0.2">
      <c r="A123" s="32">
        <v>2</v>
      </c>
      <c r="B123" s="36">
        <v>720328</v>
      </c>
      <c r="C123" s="32" t="s">
        <v>95</v>
      </c>
      <c r="E123" s="32">
        <v>604</v>
      </c>
      <c r="F123" s="32">
        <f>E123*A123</f>
        <v>1208</v>
      </c>
    </row>
    <row r="124" spans="1:6" s="32" customFormat="1" x14ac:dyDescent="0.2">
      <c r="A124" s="32">
        <v>2</v>
      </c>
      <c r="B124" s="36" t="s">
        <v>96</v>
      </c>
      <c r="C124" s="32" t="s">
        <v>86</v>
      </c>
      <c r="E124" s="32">
        <v>395</v>
      </c>
      <c r="F124" s="32">
        <f>E124*A124</f>
        <v>790</v>
      </c>
    </row>
    <row r="125" spans="1:6" s="32" customFormat="1" ht="10.5" customHeight="1" x14ac:dyDescent="0.2">
      <c r="A125" s="32">
        <v>2</v>
      </c>
      <c r="B125" s="36">
        <v>720424</v>
      </c>
      <c r="C125" s="32" t="s">
        <v>97</v>
      </c>
      <c r="E125" s="32">
        <v>109</v>
      </c>
      <c r="F125" s="32">
        <f>E125*A125</f>
        <v>218</v>
      </c>
    </row>
    <row r="126" spans="1:6" s="10" customFormat="1" x14ac:dyDescent="0.2">
      <c r="A126" s="32"/>
      <c r="B126" s="36"/>
      <c r="C126" s="32"/>
      <c r="D126" s="32"/>
      <c r="E126" s="32"/>
      <c r="F126" s="32"/>
    </row>
    <row r="127" spans="1:6" s="32" customFormat="1" x14ac:dyDescent="0.2">
      <c r="A127" s="32">
        <v>2</v>
      </c>
      <c r="B127" s="36" t="s">
        <v>101</v>
      </c>
      <c r="C127" s="32" t="s">
        <v>98</v>
      </c>
      <c r="E127" s="32">
        <v>704</v>
      </c>
      <c r="F127" s="32">
        <f>E127*A127</f>
        <v>1408</v>
      </c>
    </row>
    <row r="128" spans="1:6" s="32" customFormat="1" x14ac:dyDescent="0.2">
      <c r="A128" s="32">
        <v>2</v>
      </c>
      <c r="B128" s="36" t="s">
        <v>99</v>
      </c>
      <c r="C128" s="32" t="s">
        <v>78</v>
      </c>
      <c r="E128" s="32">
        <v>395</v>
      </c>
      <c r="F128" s="32">
        <f>E128*A128</f>
        <v>790</v>
      </c>
    </row>
    <row r="129" spans="1:6" s="32" customFormat="1" ht="10.5" customHeight="1" x14ac:dyDescent="0.2">
      <c r="A129" s="32">
        <v>2</v>
      </c>
      <c r="B129" s="36">
        <v>720425</v>
      </c>
      <c r="C129" s="32" t="s">
        <v>100</v>
      </c>
      <c r="E129" s="32">
        <v>149</v>
      </c>
      <c r="F129" s="32">
        <f>E129*A129</f>
        <v>298</v>
      </c>
    </row>
    <row r="130" spans="1:6" s="10" customFormat="1" x14ac:dyDescent="0.2">
      <c r="A130" s="32"/>
      <c r="B130" s="36"/>
      <c r="C130" s="32"/>
      <c r="D130" s="32"/>
      <c r="E130" s="32"/>
      <c r="F130" s="32"/>
    </row>
    <row r="131" spans="1:6" s="32" customFormat="1" x14ac:dyDescent="0.2">
      <c r="A131" s="32">
        <v>2</v>
      </c>
      <c r="B131" s="36">
        <v>720345</v>
      </c>
      <c r="C131" s="32" t="s">
        <v>44</v>
      </c>
      <c r="E131" s="32">
        <v>679</v>
      </c>
      <c r="F131" s="32">
        <f>E131*A131</f>
        <v>1358</v>
      </c>
    </row>
    <row r="132" spans="1:6" s="32" customFormat="1" x14ac:dyDescent="0.2">
      <c r="A132" s="32">
        <v>2</v>
      </c>
      <c r="B132" s="36">
        <v>703114</v>
      </c>
      <c r="C132" s="32" t="s">
        <v>117</v>
      </c>
      <c r="E132" s="32">
        <v>395</v>
      </c>
      <c r="F132" s="32">
        <f>E132*A132</f>
        <v>790</v>
      </c>
    </row>
    <row r="133" spans="1:6" s="32" customFormat="1" ht="10.5" customHeight="1" x14ac:dyDescent="0.2">
      <c r="A133" s="32">
        <v>3</v>
      </c>
      <c r="B133" s="36">
        <v>720358</v>
      </c>
      <c r="C133" s="32" t="s">
        <v>118</v>
      </c>
      <c r="E133" s="32">
        <v>119</v>
      </c>
      <c r="F133" s="32">
        <f>E133*A133</f>
        <v>357</v>
      </c>
    </row>
    <row r="134" spans="1:6" s="10" customFormat="1" ht="10.5" customHeight="1" x14ac:dyDescent="0.2">
      <c r="A134" s="32"/>
      <c r="B134" s="36"/>
      <c r="C134" s="32"/>
      <c r="D134" s="32"/>
      <c r="E134" s="32"/>
      <c r="F134" s="32"/>
    </row>
    <row r="135" spans="1:6" s="10" customFormat="1" ht="10.5" customHeight="1" x14ac:dyDescent="0.2">
      <c r="A135" s="32"/>
      <c r="B135" s="36"/>
      <c r="C135" s="32"/>
      <c r="D135" s="32"/>
      <c r="E135" s="32"/>
      <c r="F135" s="32"/>
    </row>
    <row r="136" spans="1:6" s="10" customFormat="1" ht="27.75" customHeight="1" x14ac:dyDescent="0.2">
      <c r="A136" s="32">
        <v>1</v>
      </c>
      <c r="B136" s="36">
        <v>503013</v>
      </c>
      <c r="C136" s="32" t="s">
        <v>119</v>
      </c>
      <c r="D136" s="32"/>
      <c r="E136" s="32">
        <v>15.5</v>
      </c>
      <c r="F136" s="32">
        <f>E136*A136</f>
        <v>15.5</v>
      </c>
    </row>
    <row r="137" spans="1:6" s="10" customFormat="1" ht="10.5" customHeight="1" x14ac:dyDescent="0.2">
      <c r="A137" s="32"/>
      <c r="B137" s="36"/>
      <c r="C137" s="32"/>
      <c r="D137" s="32"/>
      <c r="E137" s="32"/>
      <c r="F137" s="32"/>
    </row>
    <row r="138" spans="1:6" s="10" customFormat="1" ht="10.5" customHeight="1" x14ac:dyDescent="0.2">
      <c r="A138" s="32">
        <v>1</v>
      </c>
      <c r="B138" s="36">
        <v>503238</v>
      </c>
      <c r="C138" s="32" t="s">
        <v>123</v>
      </c>
      <c r="D138" s="32"/>
      <c r="E138" s="32">
        <v>0.5</v>
      </c>
      <c r="F138" s="32">
        <f>E138*A138</f>
        <v>0.5</v>
      </c>
    </row>
    <row r="139" spans="1:6" s="10" customFormat="1" ht="10.5" customHeight="1" x14ac:dyDescent="0.2">
      <c r="A139" s="32">
        <v>1</v>
      </c>
      <c r="B139" s="36">
        <v>503143</v>
      </c>
      <c r="C139" s="32" t="s">
        <v>124</v>
      </c>
      <c r="D139" s="32"/>
      <c r="E139" s="32">
        <v>15</v>
      </c>
      <c r="F139" s="32">
        <f>E139*A139</f>
        <v>15</v>
      </c>
    </row>
    <row r="140" spans="1:6" s="10" customFormat="1" ht="10.5" customHeight="1" x14ac:dyDescent="0.2">
      <c r="A140" s="32"/>
      <c r="B140" s="36"/>
      <c r="C140" s="32"/>
      <c r="D140" s="32"/>
      <c r="E140" s="32"/>
      <c r="F140" s="32"/>
    </row>
    <row r="141" spans="1:6" s="10" customFormat="1" ht="10.5" customHeight="1" x14ac:dyDescent="0.2">
      <c r="A141" s="32">
        <v>10</v>
      </c>
      <c r="B141" s="36">
        <v>100932</v>
      </c>
      <c r="C141" s="32" t="s">
        <v>141</v>
      </c>
      <c r="D141" s="32"/>
      <c r="E141" s="32">
        <v>2.35</v>
      </c>
      <c r="F141" s="32">
        <f>E141*A141</f>
        <v>23.5</v>
      </c>
    </row>
    <row r="142" spans="1:6" s="10" customFormat="1" ht="10.5" customHeight="1" x14ac:dyDescent="0.2">
      <c r="A142" s="32"/>
      <c r="B142" s="36"/>
      <c r="C142" s="32"/>
      <c r="D142" s="32"/>
      <c r="E142" s="32"/>
      <c r="F142" s="32"/>
    </row>
    <row r="143" spans="1:6" s="10" customFormat="1" ht="10.5" customHeight="1" x14ac:dyDescent="0.2">
      <c r="A143" s="32">
        <v>2</v>
      </c>
      <c r="B143" s="36" t="s">
        <v>138</v>
      </c>
      <c r="C143" s="32" t="s">
        <v>139</v>
      </c>
      <c r="D143" s="32"/>
      <c r="E143" s="32">
        <v>799</v>
      </c>
      <c r="F143" s="32">
        <f>E143*A143</f>
        <v>1598</v>
      </c>
    </row>
    <row r="144" spans="1:6" s="10" customFormat="1" ht="10.5" customHeight="1" x14ac:dyDescent="0.2">
      <c r="A144" s="32">
        <v>2</v>
      </c>
      <c r="B144" s="36">
        <v>951051</v>
      </c>
      <c r="C144" s="32" t="s">
        <v>142</v>
      </c>
      <c r="D144" s="32"/>
      <c r="E144" s="32">
        <v>130</v>
      </c>
      <c r="F144" s="32">
        <f>E144*A144</f>
        <v>260</v>
      </c>
    </row>
    <row r="145" spans="1:7" s="10" customFormat="1" ht="10.5" customHeight="1" x14ac:dyDescent="0.2">
      <c r="A145" s="32"/>
      <c r="B145" s="36">
        <v>50337</v>
      </c>
      <c r="C145" s="32" t="s">
        <v>143</v>
      </c>
      <c r="D145" s="32"/>
      <c r="E145" s="32">
        <v>229</v>
      </c>
      <c r="F145" s="32"/>
    </row>
    <row r="146" spans="1:7" s="10" customFormat="1" ht="10.5" customHeight="1" x14ac:dyDescent="0.2">
      <c r="A146" s="32"/>
      <c r="B146" s="36" t="s">
        <v>144</v>
      </c>
      <c r="C146" s="32" t="s">
        <v>145</v>
      </c>
      <c r="D146" s="32"/>
      <c r="E146" s="32">
        <v>0</v>
      </c>
      <c r="F146" s="32"/>
    </row>
    <row r="147" spans="1:7" s="10" customFormat="1" x14ac:dyDescent="0.2">
      <c r="A147" s="32"/>
      <c r="B147" s="36">
        <v>720346</v>
      </c>
      <c r="C147" s="32" t="s">
        <v>146</v>
      </c>
      <c r="D147" s="32"/>
      <c r="E147" s="32"/>
      <c r="F147" s="32"/>
    </row>
    <row r="148" spans="1:7" s="10" customFormat="1" x14ac:dyDescent="0.2">
      <c r="A148" s="32"/>
      <c r="B148" s="36"/>
      <c r="C148" s="32"/>
      <c r="D148" s="32"/>
      <c r="E148" s="32"/>
      <c r="F148" s="32"/>
    </row>
    <row r="149" spans="1:7" s="32" customFormat="1" x14ac:dyDescent="0.2">
      <c r="A149" s="32">
        <v>2</v>
      </c>
      <c r="B149" s="36">
        <v>721048</v>
      </c>
      <c r="C149" s="32" t="s">
        <v>147</v>
      </c>
      <c r="E149" s="32">
        <v>819</v>
      </c>
      <c r="F149" s="32">
        <f>E149*A149</f>
        <v>1638</v>
      </c>
    </row>
    <row r="150" spans="1:7" s="32" customFormat="1" x14ac:dyDescent="0.2">
      <c r="A150" s="32">
        <v>2</v>
      </c>
      <c r="B150" s="36">
        <v>703114</v>
      </c>
      <c r="C150" s="32" t="s">
        <v>148</v>
      </c>
      <c r="E150" s="32">
        <v>395</v>
      </c>
      <c r="F150" s="32">
        <f>E150*A150</f>
        <v>790</v>
      </c>
    </row>
    <row r="151" spans="1:7" s="32" customFormat="1" x14ac:dyDescent="0.2">
      <c r="A151" s="32">
        <v>2</v>
      </c>
      <c r="B151" s="36">
        <v>721049</v>
      </c>
      <c r="C151" s="32" t="s">
        <v>149</v>
      </c>
      <c r="E151" s="32">
        <v>49</v>
      </c>
      <c r="F151" s="32">
        <f>E151*A151</f>
        <v>98</v>
      </c>
    </row>
    <row r="152" spans="1:7" s="32" customFormat="1" x14ac:dyDescent="0.2">
      <c r="A152" s="32">
        <v>2</v>
      </c>
      <c r="B152" s="36">
        <v>721050</v>
      </c>
      <c r="C152" s="32" t="s">
        <v>118</v>
      </c>
      <c r="E152" s="32">
        <v>196</v>
      </c>
      <c r="F152" s="32">
        <f>E152*A152</f>
        <v>392</v>
      </c>
    </row>
    <row r="153" spans="1:7" s="10" customFormat="1" x14ac:dyDescent="0.2">
      <c r="A153" s="32"/>
      <c r="B153" s="36"/>
      <c r="C153" s="32"/>
      <c r="D153" s="32"/>
      <c r="E153" s="32"/>
      <c r="F153" s="32"/>
    </row>
    <row r="154" spans="1:7" s="10" customFormat="1" x14ac:dyDescent="0.2">
      <c r="A154" s="32">
        <v>3</v>
      </c>
      <c r="B154" s="36">
        <v>721048</v>
      </c>
      <c r="C154" s="32" t="s">
        <v>147</v>
      </c>
      <c r="D154" s="32"/>
      <c r="E154" s="32">
        <v>819</v>
      </c>
      <c r="F154" s="32">
        <f>E154*A154</f>
        <v>2457</v>
      </c>
    </row>
    <row r="155" spans="1:7" ht="23.25" x14ac:dyDescent="0.35">
      <c r="A155" s="32">
        <v>3</v>
      </c>
      <c r="B155" s="36">
        <v>703114</v>
      </c>
      <c r="C155" s="32" t="s">
        <v>148</v>
      </c>
      <c r="D155" s="32"/>
      <c r="E155" s="32">
        <v>395</v>
      </c>
      <c r="F155" s="32">
        <f>E155*A155</f>
        <v>1185</v>
      </c>
      <c r="G155" s="2"/>
    </row>
    <row r="156" spans="1:7" s="14" customFormat="1" ht="15" x14ac:dyDescent="0.2">
      <c r="A156" s="32">
        <v>3</v>
      </c>
      <c r="B156" s="36">
        <v>721050</v>
      </c>
      <c r="C156" s="32" t="s">
        <v>118</v>
      </c>
      <c r="D156" s="32"/>
      <c r="E156" s="32">
        <v>196</v>
      </c>
      <c r="F156" s="32">
        <f>E156*A156</f>
        <v>588</v>
      </c>
      <c r="G156" s="19"/>
    </row>
    <row r="157" spans="1:7" ht="23.25" x14ac:dyDescent="0.35">
      <c r="A157" s="32">
        <v>3</v>
      </c>
      <c r="B157" s="36">
        <v>720424</v>
      </c>
      <c r="C157" s="32" t="s">
        <v>97</v>
      </c>
      <c r="D157" s="32"/>
      <c r="E157" s="32">
        <v>125</v>
      </c>
      <c r="F157" s="32">
        <f>E157*A157</f>
        <v>375</v>
      </c>
      <c r="G157" s="2"/>
    </row>
    <row r="158" spans="1:7" x14ac:dyDescent="0.2">
      <c r="A158" s="12"/>
      <c r="B158" s="30"/>
      <c r="C158" s="32"/>
      <c r="D158" s="12"/>
      <c r="E158" s="12"/>
      <c r="F158" s="12"/>
    </row>
    <row r="159" spans="1:7" s="4" customFormat="1" x14ac:dyDescent="0.2">
      <c r="A159" s="32"/>
      <c r="B159" s="36"/>
      <c r="C159" s="32" t="s">
        <v>28</v>
      </c>
      <c r="D159" s="32"/>
      <c r="E159" s="32"/>
      <c r="F159" s="32"/>
    </row>
    <row r="160" spans="1:7" ht="23.25" x14ac:dyDescent="0.35">
      <c r="D160" s="3"/>
      <c r="E160" s="3"/>
      <c r="F160" s="9"/>
    </row>
    <row r="161" spans="1:6" ht="15.75" x14ac:dyDescent="0.25">
      <c r="A161" s="14"/>
      <c r="B161" s="31" t="s">
        <v>18</v>
      </c>
      <c r="C161" s="14"/>
      <c r="D161" s="6" t="s">
        <v>19</v>
      </c>
      <c r="E161" s="14" t="s">
        <v>18</v>
      </c>
      <c r="F161" s="48">
        <f>SUM(F21:F160)</f>
        <v>32517.440000000002</v>
      </c>
    </row>
    <row r="162" spans="1:6" ht="23.25" x14ac:dyDescent="0.35">
      <c r="B162" s="36"/>
      <c r="D162" s="16"/>
      <c r="E162" s="24"/>
      <c r="F162" s="49"/>
    </row>
    <row r="163" spans="1:6" s="32" customFormat="1" x14ac:dyDescent="0.2">
      <c r="A163" s="32">
        <v>1</v>
      </c>
      <c r="B163" s="36" t="s">
        <v>158</v>
      </c>
      <c r="C163" s="32" t="s">
        <v>159</v>
      </c>
      <c r="E163" s="32">
        <v>259</v>
      </c>
      <c r="F163" s="32">
        <f t="shared" ref="F163:F173" si="4">E163*A163</f>
        <v>259</v>
      </c>
    </row>
    <row r="164" spans="1:6" s="32" customFormat="1" x14ac:dyDescent="0.2">
      <c r="A164" s="32">
        <v>1</v>
      </c>
      <c r="B164" s="36">
        <v>950014</v>
      </c>
      <c r="C164" s="32" t="s">
        <v>67</v>
      </c>
      <c r="E164" s="32">
        <v>499</v>
      </c>
      <c r="F164" s="32">
        <f t="shared" si="4"/>
        <v>499</v>
      </c>
    </row>
    <row r="165" spans="1:6" s="32" customFormat="1" x14ac:dyDescent="0.2">
      <c r="A165" s="32">
        <v>3</v>
      </c>
      <c r="B165" s="36">
        <v>950019</v>
      </c>
      <c r="C165" s="32" t="s">
        <v>66</v>
      </c>
      <c r="E165" s="32">
        <v>509</v>
      </c>
      <c r="F165" s="32">
        <f t="shared" si="4"/>
        <v>1527</v>
      </c>
    </row>
    <row r="166" spans="1:6" s="32" customFormat="1" x14ac:dyDescent="0.2">
      <c r="A166" s="32">
        <v>2</v>
      </c>
      <c r="B166" s="36">
        <v>950084</v>
      </c>
      <c r="C166" s="32" t="s">
        <v>114</v>
      </c>
      <c r="D166" s="32" t="s">
        <v>116</v>
      </c>
      <c r="E166" s="32">
        <v>349</v>
      </c>
      <c r="F166" s="32">
        <f>E166*A166</f>
        <v>698</v>
      </c>
    </row>
    <row r="167" spans="1:6" s="32" customFormat="1" x14ac:dyDescent="0.2">
      <c r="A167" s="32">
        <v>1</v>
      </c>
      <c r="B167" s="36">
        <v>950085</v>
      </c>
      <c r="C167" s="32" t="s">
        <v>103</v>
      </c>
      <c r="D167" s="32" t="s">
        <v>115</v>
      </c>
      <c r="E167" s="32">
        <v>349</v>
      </c>
      <c r="F167" s="32">
        <f>E167*A167</f>
        <v>349</v>
      </c>
    </row>
    <row r="168" spans="1:6" s="32" customFormat="1" x14ac:dyDescent="0.2">
      <c r="A168" s="32">
        <v>1</v>
      </c>
      <c r="B168" s="36">
        <v>950089</v>
      </c>
      <c r="C168" s="32" t="s">
        <v>108</v>
      </c>
      <c r="E168" s="32">
        <v>899</v>
      </c>
      <c r="F168" s="32">
        <f t="shared" ref="F168:F176" si="5">E168*A168</f>
        <v>899</v>
      </c>
    </row>
    <row r="169" spans="1:6" s="10" customFormat="1" ht="14.25" customHeight="1" x14ac:dyDescent="0.2">
      <c r="A169" s="32">
        <v>1</v>
      </c>
      <c r="B169" s="36" t="s">
        <v>138</v>
      </c>
      <c r="C169" s="32" t="s">
        <v>139</v>
      </c>
      <c r="D169" s="32"/>
      <c r="E169" s="32">
        <v>799</v>
      </c>
      <c r="F169" s="32">
        <f>E169*A169</f>
        <v>799</v>
      </c>
    </row>
    <row r="170" spans="1:6" s="10" customFormat="1" ht="14.25" customHeight="1" x14ac:dyDescent="0.2">
      <c r="A170" s="32">
        <v>1</v>
      </c>
      <c r="B170" s="36">
        <v>50335</v>
      </c>
      <c r="C170" s="32" t="s">
        <v>140</v>
      </c>
      <c r="D170" s="32"/>
      <c r="E170" s="32">
        <v>129</v>
      </c>
      <c r="F170" s="32">
        <f>E170*A170</f>
        <v>129</v>
      </c>
    </row>
    <row r="171" spans="1:6" s="32" customFormat="1" x14ac:dyDescent="0.2">
      <c r="A171" s="32">
        <v>1</v>
      </c>
      <c r="B171" s="36" t="s">
        <v>158</v>
      </c>
      <c r="C171" s="32" t="s">
        <v>159</v>
      </c>
      <c r="E171" s="32">
        <v>259</v>
      </c>
      <c r="F171" s="32">
        <f t="shared" si="4"/>
        <v>259</v>
      </c>
    </row>
    <row r="172" spans="1:6" s="32" customFormat="1" x14ac:dyDescent="0.2">
      <c r="A172" s="32">
        <v>1</v>
      </c>
      <c r="B172" s="36">
        <v>950014</v>
      </c>
      <c r="C172" s="32" t="s">
        <v>67</v>
      </c>
      <c r="E172" s="32">
        <v>499</v>
      </c>
      <c r="F172" s="32">
        <f t="shared" si="4"/>
        <v>499</v>
      </c>
    </row>
    <row r="173" spans="1:6" s="32" customFormat="1" x14ac:dyDescent="0.2">
      <c r="A173" s="32">
        <v>3</v>
      </c>
      <c r="B173" s="36">
        <v>950019</v>
      </c>
      <c r="C173" s="32" t="s">
        <v>66</v>
      </c>
      <c r="E173" s="32">
        <v>509</v>
      </c>
      <c r="F173" s="32">
        <f t="shared" si="4"/>
        <v>1527</v>
      </c>
    </row>
    <row r="174" spans="1:6" s="32" customFormat="1" x14ac:dyDescent="0.2">
      <c r="A174" s="32">
        <v>2</v>
      </c>
      <c r="B174" s="36">
        <v>950084</v>
      </c>
      <c r="C174" s="32" t="s">
        <v>114</v>
      </c>
      <c r="D174" s="32" t="s">
        <v>116</v>
      </c>
      <c r="E174" s="32">
        <v>349</v>
      </c>
      <c r="F174" s="32">
        <f>E174*A174</f>
        <v>698</v>
      </c>
    </row>
    <row r="175" spans="1:6" s="32" customFormat="1" x14ac:dyDescent="0.2">
      <c r="A175" s="32">
        <v>1</v>
      </c>
      <c r="B175" s="36">
        <v>950085</v>
      </c>
      <c r="C175" s="32" t="s">
        <v>103</v>
      </c>
      <c r="D175" s="32" t="s">
        <v>115</v>
      </c>
      <c r="E175" s="32">
        <v>349</v>
      </c>
      <c r="F175" s="32">
        <f>E175*A175</f>
        <v>349</v>
      </c>
    </row>
    <row r="176" spans="1:6" s="32" customFormat="1" x14ac:dyDescent="0.2">
      <c r="A176" s="32">
        <v>1</v>
      </c>
      <c r="B176" s="36">
        <v>950089</v>
      </c>
      <c r="C176" s="32" t="s">
        <v>108</v>
      </c>
      <c r="E176" s="32">
        <v>899</v>
      </c>
      <c r="F176" s="32">
        <f t="shared" si="5"/>
        <v>899</v>
      </c>
    </row>
    <row r="177" spans="1:6" s="10" customFormat="1" ht="14.25" customHeight="1" x14ac:dyDescent="0.2">
      <c r="A177" s="32">
        <v>1</v>
      </c>
      <c r="B177" s="36" t="s">
        <v>138</v>
      </c>
      <c r="C177" s="32" t="s">
        <v>139</v>
      </c>
      <c r="D177" s="32"/>
      <c r="E177" s="32">
        <v>799</v>
      </c>
      <c r="F177" s="32">
        <f>E177*A177</f>
        <v>799</v>
      </c>
    </row>
    <row r="178" spans="1:6" s="10" customFormat="1" ht="14.25" customHeight="1" x14ac:dyDescent="0.2">
      <c r="A178" s="32">
        <v>1</v>
      </c>
      <c r="B178" s="36">
        <v>503335</v>
      </c>
      <c r="C178" s="32" t="s">
        <v>140</v>
      </c>
      <c r="D178" s="32"/>
      <c r="E178" s="32">
        <v>129</v>
      </c>
      <c r="F178" s="32">
        <f>E178*A178</f>
        <v>129</v>
      </c>
    </row>
    <row r="180" spans="1:6" s="32" customFormat="1" x14ac:dyDescent="0.2">
      <c r="A180" s="32">
        <v>1</v>
      </c>
      <c r="B180" s="36">
        <v>951055</v>
      </c>
      <c r="C180" s="32" t="s">
        <v>160</v>
      </c>
      <c r="E180" s="32">
        <v>450</v>
      </c>
      <c r="F180" s="32">
        <f>E180*A180</f>
        <v>450</v>
      </c>
    </row>
    <row r="181" spans="1:6" s="32" customFormat="1" x14ac:dyDescent="0.2">
      <c r="A181" s="32">
        <v>1</v>
      </c>
      <c r="B181" s="36">
        <v>951051</v>
      </c>
      <c r="C181" s="32" t="s">
        <v>170</v>
      </c>
      <c r="E181" s="32">
        <v>130</v>
      </c>
      <c r="F181" s="32">
        <f>E181*A181</f>
        <v>130</v>
      </c>
    </row>
    <row r="183" spans="1:6" s="32" customFormat="1" x14ac:dyDescent="0.2">
      <c r="A183" s="32">
        <v>1</v>
      </c>
      <c r="B183" s="36">
        <v>951059</v>
      </c>
      <c r="C183" s="32" t="s">
        <v>163</v>
      </c>
      <c r="E183" s="32">
        <v>225</v>
      </c>
      <c r="F183" s="32">
        <f t="shared" ref="F183" si="6">E183*A183</f>
        <v>225</v>
      </c>
    </row>
    <row r="185" spans="1:6" s="32" customFormat="1" x14ac:dyDescent="0.2">
      <c r="A185" s="32">
        <v>1</v>
      </c>
      <c r="B185" s="36">
        <v>721047</v>
      </c>
      <c r="C185" s="32" t="s">
        <v>161</v>
      </c>
      <c r="E185" s="32">
        <v>624</v>
      </c>
      <c r="F185" s="32">
        <f>E185*A185</f>
        <v>624</v>
      </c>
    </row>
    <row r="186" spans="1:6" s="32" customFormat="1" x14ac:dyDescent="0.2">
      <c r="A186" s="32">
        <v>1</v>
      </c>
      <c r="B186" s="36">
        <v>721049</v>
      </c>
      <c r="C186" s="32" t="s">
        <v>164</v>
      </c>
      <c r="E186" s="32">
        <v>49</v>
      </c>
      <c r="F186" s="32">
        <f t="shared" ref="F186:F189" si="7">E186*A186</f>
        <v>49</v>
      </c>
    </row>
    <row r="187" spans="1:6" s="32" customFormat="1" x14ac:dyDescent="0.2">
      <c r="A187" s="32">
        <v>1</v>
      </c>
      <c r="B187" s="36">
        <v>720468</v>
      </c>
      <c r="C187" s="32" t="s">
        <v>162</v>
      </c>
      <c r="E187" s="32">
        <v>179</v>
      </c>
      <c r="F187" s="32">
        <f t="shared" si="7"/>
        <v>179</v>
      </c>
    </row>
    <row r="189" spans="1:6" x14ac:dyDescent="0.2">
      <c r="A189">
        <v>1</v>
      </c>
      <c r="B189" s="26">
        <v>132077</v>
      </c>
      <c r="C189" t="s">
        <v>169</v>
      </c>
      <c r="E189">
        <v>239</v>
      </c>
      <c r="F189" s="32">
        <f t="shared" si="7"/>
        <v>239</v>
      </c>
    </row>
    <row r="191" spans="1:6" s="32" customFormat="1" x14ac:dyDescent="0.2">
      <c r="A191" s="32">
        <v>2</v>
      </c>
      <c r="B191" s="36">
        <v>951055</v>
      </c>
      <c r="C191" s="32" t="s">
        <v>168</v>
      </c>
      <c r="E191" s="32">
        <v>450</v>
      </c>
      <c r="F191" s="32">
        <f t="shared" ref="F191" si="8">E191*A191</f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</vt:lpstr>
      <vt:lpstr>P.O.</vt:lpstr>
      <vt:lpstr>NCC</vt:lpstr>
      <vt:lpstr>Drop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Robert Freaney</cp:lastModifiedBy>
  <cp:lastPrinted>2024-01-19T17:41:41Z</cp:lastPrinted>
  <dcterms:created xsi:type="dcterms:W3CDTF">2001-09-06T00:28:27Z</dcterms:created>
  <dcterms:modified xsi:type="dcterms:W3CDTF">2024-05-17T16:10:04Z</dcterms:modified>
</cp:coreProperties>
</file>